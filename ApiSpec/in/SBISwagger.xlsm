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9168" tabRatio="844"/>
  </bookViews>
  <sheets>
    <sheet name="defs.csv" sheetId="27" r:id="rId1"/>
    <sheet name="path.csv" sheetId="30" r:id="rId2"/>
    <sheet name="model.csv" sheetId="29" r:id="rId3"/>
    <sheet name="api.csv" sheetId="31" r:id="rId4"/>
  </sheets>
  <functionGroups builtInGroupCount="18"/>
  <definedNames>
    <definedName name="_xlnm._FilterDatabase" localSheetId="0" hidden="1">defs.csv!$A$1:$I$232</definedName>
    <definedName name="_xlnm._FilterDatabase" localSheetId="1" hidden="1">path.csv!$A$1:$F$26</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T11" i="27" l="1"/>
  <c r="R20" i="30" l="1"/>
  <c r="G20" i="30"/>
  <c r="H20" i="30"/>
  <c r="I20" i="30"/>
  <c r="J20" i="30"/>
  <c r="K20" i="30"/>
  <c r="L20" i="30"/>
  <c r="M20" i="30"/>
  <c r="N20" i="30"/>
  <c r="O20" i="30"/>
  <c r="P20" i="30"/>
  <c r="Q20" i="30"/>
  <c r="S20" i="30"/>
  <c r="T20" i="30"/>
  <c r="R4" i="30"/>
  <c r="G4" i="30"/>
  <c r="H4" i="30"/>
  <c r="I4" i="30"/>
  <c r="J4" i="30"/>
  <c r="K4" i="30"/>
  <c r="L4" i="30"/>
  <c r="M4" i="30"/>
  <c r="N4" i="30"/>
  <c r="O4" i="30"/>
  <c r="P4" i="30"/>
  <c r="Q4" i="30"/>
  <c r="S4" i="30"/>
  <c r="T4" i="30"/>
  <c r="G5" i="30" l="1"/>
  <c r="G6" i="30"/>
  <c r="G7" i="30"/>
  <c r="G10" i="30"/>
  <c r="G12" i="30"/>
  <c r="G11" i="30"/>
  <c r="G13" i="30"/>
  <c r="G14" i="30"/>
  <c r="G2" i="30"/>
  <c r="G3" i="30"/>
  <c r="G22" i="30"/>
  <c r="G23" i="30"/>
  <c r="G24" i="30"/>
  <c r="G26" i="30"/>
  <c r="G25" i="30"/>
  <c r="G8" i="30"/>
  <c r="G9" i="30"/>
  <c r="G19" i="30"/>
  <c r="G21" i="30"/>
  <c r="G17" i="30"/>
  <c r="G18"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232"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P231" i="27"/>
  <c r="P232"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I2" i="27"/>
  <c r="Q2" i="27"/>
  <c r="T2" i="27"/>
  <c r="T5" i="30"/>
  <c r="T6" i="30"/>
  <c r="T7" i="30"/>
  <c r="T10" i="30"/>
  <c r="T12" i="30"/>
  <c r="T11" i="30"/>
  <c r="T13" i="30"/>
  <c r="T14" i="30"/>
  <c r="T2" i="30"/>
  <c r="T3" i="30"/>
  <c r="T22" i="30"/>
  <c r="T23" i="30"/>
  <c r="T24" i="30"/>
  <c r="T26" i="30"/>
  <c r="T25" i="30"/>
  <c r="T8" i="30"/>
  <c r="T9" i="30"/>
  <c r="T19" i="30"/>
  <c r="T21" i="30"/>
  <c r="T17" i="30"/>
  <c r="T18" i="30"/>
  <c r="T16" i="30"/>
  <c r="T15" i="30"/>
  <c r="S5" i="30"/>
  <c r="S6" i="30"/>
  <c r="S7" i="30"/>
  <c r="S10" i="30"/>
  <c r="S12" i="30"/>
  <c r="S11" i="30"/>
  <c r="S13" i="30"/>
  <c r="S14" i="30"/>
  <c r="S2" i="30"/>
  <c r="S3" i="30"/>
  <c r="S22" i="30"/>
  <c r="S23" i="30"/>
  <c r="S24" i="30"/>
  <c r="S26" i="30"/>
  <c r="S25" i="30"/>
  <c r="S8" i="30"/>
  <c r="S9" i="30"/>
  <c r="S19" i="30"/>
  <c r="S21" i="30"/>
  <c r="S17" i="30"/>
  <c r="S18" i="30"/>
  <c r="S16" i="30"/>
  <c r="S15" i="30"/>
  <c r="R5" i="30"/>
  <c r="R6" i="30"/>
  <c r="R7" i="30"/>
  <c r="R10" i="30"/>
  <c r="R12" i="30"/>
  <c r="R13" i="30"/>
  <c r="R14" i="30"/>
  <c r="R2" i="30"/>
  <c r="R3" i="30"/>
  <c r="R22" i="30"/>
  <c r="R23" i="30"/>
  <c r="R24" i="30"/>
  <c r="R26" i="30"/>
  <c r="R25" i="30"/>
  <c r="R8" i="30"/>
  <c r="R9" i="30"/>
  <c r="R19" i="30"/>
  <c r="R21" i="30"/>
  <c r="R17" i="30"/>
  <c r="R18" i="30"/>
  <c r="R16" i="30"/>
  <c r="R15" i="30"/>
  <c r="Q5" i="30"/>
  <c r="Q6" i="30"/>
  <c r="Q7" i="30"/>
  <c r="Q10" i="30"/>
  <c r="Q12" i="30"/>
  <c r="Q11" i="30"/>
  <c r="Q13" i="30"/>
  <c r="Q14" i="30"/>
  <c r="Q2" i="30"/>
  <c r="Q3" i="30"/>
  <c r="Q22" i="30"/>
  <c r="Q23" i="30"/>
  <c r="Q24" i="30"/>
  <c r="Q26" i="30"/>
  <c r="Q25" i="30"/>
  <c r="Q8" i="30"/>
  <c r="Q9" i="30"/>
  <c r="Q19" i="30"/>
  <c r="Q21" i="30"/>
  <c r="Q17" i="30"/>
  <c r="Q18" i="30"/>
  <c r="Q16" i="30"/>
  <c r="Q15" i="30"/>
  <c r="P5" i="30"/>
  <c r="P6" i="30"/>
  <c r="P7" i="30"/>
  <c r="P10" i="30"/>
  <c r="P12" i="30"/>
  <c r="P13" i="30"/>
  <c r="P14" i="30"/>
  <c r="P2" i="30"/>
  <c r="P3" i="30"/>
  <c r="P22" i="30"/>
  <c r="P23" i="30"/>
  <c r="P24" i="30"/>
  <c r="P26" i="30"/>
  <c r="P25" i="30"/>
  <c r="P8" i="30"/>
  <c r="P9" i="30"/>
  <c r="P19" i="30"/>
  <c r="P21" i="30"/>
  <c r="P17" i="30"/>
  <c r="P18" i="30"/>
  <c r="P16" i="30"/>
  <c r="P15" i="30"/>
  <c r="I5" i="30"/>
  <c r="I6" i="30"/>
  <c r="I7" i="30"/>
  <c r="I10" i="30"/>
  <c r="I12" i="30"/>
  <c r="I11" i="30"/>
  <c r="I13" i="30"/>
  <c r="I14" i="30"/>
  <c r="I2" i="30"/>
  <c r="I3" i="30"/>
  <c r="I22" i="30"/>
  <c r="I23" i="30"/>
  <c r="I24" i="30"/>
  <c r="I26" i="30"/>
  <c r="I25" i="30"/>
  <c r="I8" i="30"/>
  <c r="I9" i="30"/>
  <c r="I19" i="30"/>
  <c r="I21" i="30"/>
  <c r="I17" i="30"/>
  <c r="I18" i="30"/>
  <c r="I16" i="30"/>
  <c r="I15" i="30"/>
  <c r="J5" i="30"/>
  <c r="J6" i="30"/>
  <c r="J7" i="30"/>
  <c r="J10" i="30"/>
  <c r="J12" i="30"/>
  <c r="J11" i="30"/>
  <c r="J13" i="30"/>
  <c r="J14" i="30"/>
  <c r="J2" i="30"/>
  <c r="J3" i="30"/>
  <c r="J22" i="30"/>
  <c r="J23" i="30"/>
  <c r="J24" i="30"/>
  <c r="J26" i="30"/>
  <c r="J25" i="30"/>
  <c r="J8" i="30"/>
  <c r="J9" i="30"/>
  <c r="J19" i="30"/>
  <c r="J21" i="30"/>
  <c r="J17" i="30"/>
  <c r="J18" i="30"/>
  <c r="J16" i="30"/>
  <c r="J15" i="30"/>
  <c r="K5" i="30"/>
  <c r="K6" i="30"/>
  <c r="K7" i="30"/>
  <c r="K10" i="30"/>
  <c r="K12" i="30"/>
  <c r="K11" i="30"/>
  <c r="K13" i="30"/>
  <c r="K14" i="30"/>
  <c r="K2" i="30"/>
  <c r="K3" i="30"/>
  <c r="K22" i="30"/>
  <c r="K23" i="30"/>
  <c r="K24" i="30"/>
  <c r="K26" i="30"/>
  <c r="K25" i="30"/>
  <c r="K8" i="30"/>
  <c r="K9" i="30"/>
  <c r="K19" i="30"/>
  <c r="K21" i="30"/>
  <c r="K17" i="30"/>
  <c r="K18" i="30"/>
  <c r="K16" i="30"/>
  <c r="K15" i="30"/>
  <c r="L5" i="30"/>
  <c r="L6" i="30"/>
  <c r="L7" i="30"/>
  <c r="L10" i="30"/>
  <c r="L12" i="30"/>
  <c r="L11" i="30"/>
  <c r="L13" i="30"/>
  <c r="L14" i="30"/>
  <c r="L2" i="30"/>
  <c r="L3" i="30"/>
  <c r="L22" i="30"/>
  <c r="L23" i="30"/>
  <c r="L24" i="30"/>
  <c r="L26" i="30"/>
  <c r="L25" i="30"/>
  <c r="L8" i="30"/>
  <c r="L9" i="30"/>
  <c r="L19" i="30"/>
  <c r="L21" i="30"/>
  <c r="L17" i="30"/>
  <c r="L18" i="30"/>
  <c r="L16" i="30"/>
  <c r="L15" i="30"/>
  <c r="M5" i="30"/>
  <c r="M6" i="30"/>
  <c r="M7" i="30"/>
  <c r="M10" i="30"/>
  <c r="M12" i="30"/>
  <c r="M11" i="30"/>
  <c r="M13" i="30"/>
  <c r="M14" i="30"/>
  <c r="M2" i="30"/>
  <c r="M3" i="30"/>
  <c r="M22" i="30"/>
  <c r="M23" i="30"/>
  <c r="M24" i="30"/>
  <c r="M26" i="30"/>
  <c r="M25" i="30"/>
  <c r="M8" i="30"/>
  <c r="M9" i="30"/>
  <c r="M19" i="30"/>
  <c r="M21" i="30"/>
  <c r="M17" i="30"/>
  <c r="M18" i="30"/>
  <c r="M16" i="30"/>
  <c r="M15" i="30"/>
  <c r="N5" i="30"/>
  <c r="N6" i="30"/>
  <c r="N7" i="30"/>
  <c r="N10" i="30"/>
  <c r="N12" i="30"/>
  <c r="N11" i="30"/>
  <c r="N13" i="30"/>
  <c r="N14" i="30"/>
  <c r="N2" i="30"/>
  <c r="N3" i="30"/>
  <c r="N22" i="30"/>
  <c r="N23" i="30"/>
  <c r="N24" i="30"/>
  <c r="N26" i="30"/>
  <c r="N25" i="30"/>
  <c r="N8" i="30"/>
  <c r="N9" i="30"/>
  <c r="N19" i="30"/>
  <c r="N21" i="30"/>
  <c r="N17" i="30"/>
  <c r="N18" i="30"/>
  <c r="N16" i="30"/>
  <c r="N15" i="30"/>
  <c r="O5" i="30"/>
  <c r="O6" i="30"/>
  <c r="O7" i="30"/>
  <c r="O10" i="30"/>
  <c r="O12" i="30"/>
  <c r="O11" i="30"/>
  <c r="O13" i="30"/>
  <c r="O14" i="30"/>
  <c r="O2" i="30"/>
  <c r="O3" i="30"/>
  <c r="O22" i="30"/>
  <c r="O23" i="30"/>
  <c r="O24" i="30"/>
  <c r="O26" i="30"/>
  <c r="O25" i="30"/>
  <c r="O8" i="30"/>
  <c r="O9" i="30"/>
  <c r="O19" i="30"/>
  <c r="O21" i="30"/>
  <c r="O17" i="30"/>
  <c r="O18" i="30"/>
  <c r="O16" i="30"/>
  <c r="O15" i="30"/>
  <c r="H5" i="30"/>
  <c r="H6" i="30"/>
  <c r="H7" i="30"/>
  <c r="H10" i="30"/>
  <c r="H12" i="30"/>
  <c r="H11" i="30"/>
  <c r="H13" i="30"/>
  <c r="H14" i="30"/>
  <c r="H2" i="30"/>
  <c r="H3" i="30"/>
  <c r="H22" i="30"/>
  <c r="H23" i="30"/>
  <c r="H24" i="30"/>
  <c r="H26" i="30"/>
  <c r="H25" i="30"/>
  <c r="H8" i="30"/>
  <c r="H9" i="30"/>
  <c r="H19" i="30"/>
  <c r="H21" i="30"/>
  <c r="H17" i="30"/>
  <c r="H18" i="30"/>
  <c r="H16" i="30"/>
  <c r="H15" i="30"/>
  <c r="P11" i="30"/>
  <c r="R11" i="30"/>
  <c r="U190" i="27"/>
  <c r="U215" i="27"/>
  <c r="U210" i="27"/>
  <c r="U117" i="27"/>
  <c r="U154" i="27"/>
  <c r="U59" i="27"/>
  <c r="U3" i="27"/>
  <c r="U231" i="27"/>
  <c r="U147" i="27"/>
  <c r="U44" i="27"/>
  <c r="U144" i="27"/>
  <c r="U139" i="27"/>
  <c r="U134" i="27"/>
  <c r="U133" i="27"/>
  <c r="U209" i="27"/>
  <c r="U197" i="27"/>
  <c r="U26" i="27"/>
  <c r="U93" i="27"/>
  <c r="U88" i="27"/>
  <c r="U192" i="27"/>
  <c r="U182" i="27"/>
  <c r="U150" i="27"/>
  <c r="U226" i="27"/>
  <c r="U12" i="27"/>
  <c r="U158" i="27"/>
  <c r="U172" i="27"/>
  <c r="U33" i="27"/>
  <c r="U161" i="27"/>
  <c r="U96" i="27"/>
  <c r="U51" i="27"/>
  <c r="U112" i="27"/>
  <c r="U107" i="27"/>
  <c r="U102" i="27"/>
  <c r="U220" i="27"/>
  <c r="U84" i="27"/>
  <c r="U66" i="27"/>
  <c r="U128" i="27"/>
  <c r="U118" i="27"/>
  <c r="U47" i="27"/>
  <c r="U41" i="27"/>
  <c r="U36" i="27"/>
  <c r="U31" i="27"/>
  <c r="U110" i="27"/>
  <c r="U227" i="27"/>
  <c r="U126" i="27"/>
  <c r="U60" i="27"/>
  <c r="U221" i="27"/>
  <c r="U49" i="27"/>
  <c r="U217" i="27"/>
  <c r="U143" i="27"/>
  <c r="U72" i="27"/>
  <c r="U20" i="27"/>
  <c r="U194" i="27"/>
  <c r="U55" i="27"/>
  <c r="U50" i="27"/>
  <c r="U218" i="27"/>
  <c r="U195" i="27"/>
  <c r="U224" i="27"/>
  <c r="U214" i="27"/>
  <c r="U4" i="27"/>
  <c r="U230" i="27"/>
  <c r="U142" i="27"/>
  <c r="U109" i="27"/>
  <c r="U52" i="27"/>
  <c r="U153" i="27"/>
  <c r="U207" i="27"/>
  <c r="U232" i="27"/>
  <c r="U169" i="27"/>
  <c r="U164" i="27"/>
  <c r="U159" i="27"/>
  <c r="U7" i="27"/>
  <c r="U130" i="27"/>
  <c r="U23" i="27"/>
  <c r="U18" i="27"/>
  <c r="U106" i="27"/>
  <c r="U35" i="27"/>
  <c r="U108" i="27"/>
  <c r="U168" i="27"/>
  <c r="U37" i="27"/>
  <c r="U45" i="27"/>
  <c r="U116" i="27"/>
  <c r="U183" i="27"/>
  <c r="U178" i="27"/>
  <c r="U5" i="27"/>
  <c r="U213" i="27"/>
  <c r="U121" i="27"/>
  <c r="U136" i="27"/>
  <c r="U137" i="27"/>
  <c r="U132" i="27"/>
  <c r="U127" i="27"/>
  <c r="U39" i="27"/>
  <c r="U170" i="27"/>
  <c r="U205" i="27"/>
  <c r="U99" i="27"/>
  <c r="U97" i="27"/>
  <c r="U131" i="27"/>
  <c r="U177" i="27"/>
  <c r="U61" i="27"/>
  <c r="U56" i="27"/>
  <c r="U135" i="27"/>
  <c r="U219" i="27"/>
  <c r="U151" i="27"/>
  <c r="U146" i="27"/>
  <c r="U124" i="27"/>
  <c r="U85" i="27"/>
  <c r="U162" i="27"/>
  <c r="U140" i="27"/>
  <c r="U14" i="27"/>
  <c r="U145" i="27"/>
  <c r="U65" i="27"/>
  <c r="U80" i="27"/>
  <c r="U75" i="27"/>
  <c r="U70" i="27"/>
  <c r="U76" i="27"/>
  <c r="U17" i="27"/>
  <c r="U58" i="27"/>
  <c r="U9" i="27"/>
  <c r="U81" i="27"/>
  <c r="U29" i="27"/>
  <c r="U24" i="27"/>
  <c r="U167" i="27"/>
  <c r="U54" i="27"/>
  <c r="U69" i="27"/>
  <c r="U98" i="27"/>
  <c r="U149" i="27"/>
  <c r="U94" i="27"/>
  <c r="U163" i="27"/>
  <c r="U189" i="27"/>
  <c r="U184" i="27"/>
  <c r="U32" i="27"/>
  <c r="U141" i="27"/>
  <c r="U48" i="27"/>
  <c r="U43" i="27"/>
  <c r="U38" i="27"/>
  <c r="U179" i="27"/>
  <c r="U187" i="27"/>
  <c r="U53" i="27"/>
  <c r="U64" i="27"/>
  <c r="U181" i="27"/>
  <c r="U86" i="27"/>
  <c r="U208" i="27"/>
  <c r="U203" i="27"/>
  <c r="U198" i="27"/>
  <c r="U46" i="27"/>
  <c r="U202" i="27"/>
  <c r="U62" i="27"/>
  <c r="U19" i="27"/>
  <c r="U157" i="27"/>
  <c r="U152" i="27"/>
  <c r="U89" i="27"/>
  <c r="U15" i="27"/>
  <c r="U111" i="27"/>
  <c r="U123" i="27"/>
  <c r="U21" i="27"/>
  <c r="U222" i="27"/>
  <c r="U229" i="27"/>
  <c r="U193" i="27"/>
  <c r="U122" i="27"/>
  <c r="U160" i="27"/>
  <c r="U22" i="27"/>
  <c r="U176" i="27"/>
  <c r="U171" i="27"/>
  <c r="U166" i="27"/>
  <c r="U78" i="27"/>
  <c r="U212" i="27"/>
  <c r="U91" i="27"/>
  <c r="U25" i="27"/>
  <c r="U79" i="27"/>
  <c r="U8" i="27"/>
  <c r="U105" i="27"/>
  <c r="U100" i="27"/>
  <c r="U95" i="27"/>
  <c r="U174" i="27"/>
  <c r="U2" i="27"/>
  <c r="U101" i="27"/>
  <c r="U113" i="27"/>
  <c r="U10" i="27"/>
  <c r="U90" i="27"/>
  <c r="U40" i="27"/>
  <c r="U225" i="27"/>
  <c r="U148" i="27"/>
  <c r="U155" i="27"/>
  <c r="U119" i="27"/>
  <c r="U114" i="27"/>
  <c r="U211" i="27"/>
  <c r="U204" i="27"/>
  <c r="U57" i="27"/>
  <c r="U175" i="27"/>
  <c r="U73" i="27"/>
  <c r="U68" i="27"/>
  <c r="U63" i="27"/>
  <c r="U206" i="27"/>
  <c r="U216" i="27"/>
  <c r="U13" i="27"/>
  <c r="U129" i="27"/>
  <c r="U104" i="27"/>
  <c r="U28" i="27"/>
  <c r="U200" i="27"/>
  <c r="U228" i="27"/>
  <c r="U223" i="27"/>
  <c r="U71" i="27"/>
  <c r="U27" i="27"/>
  <c r="U87" i="27"/>
  <c r="U82" i="27"/>
  <c r="U83" i="27"/>
  <c r="U92" i="27"/>
  <c r="U34" i="27"/>
  <c r="U74" i="27"/>
  <c r="U156" i="27"/>
  <c r="U173" i="27"/>
  <c r="U77" i="27"/>
  <c r="U16" i="27"/>
  <c r="U11" i="27"/>
  <c r="U6" i="27"/>
  <c r="U67" i="27"/>
  <c r="U185" i="27"/>
  <c r="U186" i="27"/>
  <c r="U201" i="27"/>
  <c r="U196" i="27"/>
  <c r="U191" i="27"/>
  <c r="U103" i="27"/>
  <c r="U188" i="27"/>
  <c r="U42" i="27"/>
  <c r="U165" i="27"/>
  <c r="U115" i="27"/>
  <c r="U30" i="27"/>
  <c r="U138" i="27"/>
  <c r="U125" i="27"/>
  <c r="U120" i="27"/>
  <c r="U199" i="27"/>
  <c r="U180" i="27"/>
</calcChain>
</file>

<file path=xl/sharedStrings.xml><?xml version="1.0" encoding="utf-8"?>
<sst xmlns="http://schemas.openxmlformats.org/spreadsheetml/2006/main" count="1324" uniqueCount="320">
  <si>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</si>
  <si>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</si>
  <si>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</si>
  <si>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</si>
  <si>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</si>
  <si>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</si>
  <si>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</si>
  <si>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</si>
  <si>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</si>
  <si>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</si>
  <si>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</si>
  <si>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</si>
  <si>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</si>
  <si>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</si>
  <si>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</si>
  <si>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</si>
  <si>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</si>
  <si>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</si>
  <si>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</si>
  <si>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</si>
  <si>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</si>
  <si>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</si>
  <si>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</si>
  <si>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</si>
  <si>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</si>
  <si>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</si>
  <si>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</si>
  <si>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</si>
  <si>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</si>
  <si>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</si>
  <si>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</si>
  <si>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</si>
  <si>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</si>
  <si>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</si>
  <si>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</si>
  <si>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</si>
  <si>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</si>
  <si>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</si>
  <si>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</si>
  <si>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</si>
  <si>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</si>
  <si>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</si>
  <si>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</si>
  <si>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</si>
  <si>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</si>
  <si>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</si>
  <si>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</si>
  <si>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</si>
  <si>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</si>
  <si>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</si>
  <si>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</si>
  <si>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</si>
  <si>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</si>
  <si>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</si>
  <si>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</si>
  <si>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</si>
  <si>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</si>
  <si>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</si>
  <si>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</si>
  <si>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</si>
  <si>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</si>
  <si>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</si>
  <si>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</si>
  <si>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</si>
  <si>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</si>
  <si>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</si>
  <si>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</si>
  <si>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</si>
  <si>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</si>
  <si>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</si>
  <si>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</si>
  <si>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</si>
  <si>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</si>
  <si>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</si>
  <si>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</si>
  <si>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</si>
  <si>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</si>
  <si>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</si>
  <si>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</si>
  <si>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</si>
  <si>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</si>
  <si>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</si>
  <si>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</si>
  <si>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</si>
  <si>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</si>
  <si>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</si>
  <si>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</si>
  <si>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</si>
  <si>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</si>
  <si>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</si>
  <si>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</si>
  <si>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</si>
  <si>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</si>
  <si>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</si>
  <si>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</si>
  <si>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</si>
  <si>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</si>
  <si>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</si>
  <si>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</si>
  <si>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</si>
  <si>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</si>
  <si>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</si>
  <si>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</si>
  <si>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</si>
  <si>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</si>
  <si>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</si>
  <si>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</si>
  <si>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</si>
  <si>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</si>
  <si>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</si>
  <si>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</si>
  <si>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</si>
  <si>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</si>
  <si>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</si>
  <si>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</si>
  <si>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</si>
  <si>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</si>
  <si>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</si>
  <si>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</si>
  <si>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</si>
  <si>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</si>
  <si>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</si>
  <si>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</si>
  <si>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</si>
  <si>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</si>
  <si>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</si>
  <si>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</si>
  <si>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</si>
  <si>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</si>
  <si>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</si>
  <si>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</si>
  <si>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</si>
  <si>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</si>
  <si>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</si>
  <si>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</si>
  <si>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</si>
  <si>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</si>
  <si>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</si>
  <si>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</si>
  <si>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</si>
  <si>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</si>
  <si>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</si>
  <si>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</si>
  <si>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</si>
  <si>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</si>
  <si>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</si>
  <si>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</si>
  <si>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</si>
  <si>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</si>
  <si>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</si>
  <si>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</si>
  <si>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</si>
  <si>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favouriteContextType</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</si>
  <si>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</si>
  <si>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</si>
  <si>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</si>
  <si>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</si>
  <si>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</si>
  <si>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</si>
  <si>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</si>
  <si>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</si>
  <si>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</si>
  <si>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</si>
  <si>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</si>
  <si>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</si>
  <si>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</si>
  <si>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</si>
  <si>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</si>
  <si>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</si>
  <si>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</si>
  <si>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</si>
  <si>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</si>
  <si>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</si>
  <si>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</si>
  <si>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</si>
  <si>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</si>
  <si>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</si>
  <si>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</si>
  <si>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</si>
  <si>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</si>
  <si>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</si>
  <si>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</si>
  <si>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</si>
  <si>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</si>
  <si>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</si>
  <si>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</si>
  <si>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</si>
  <si>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</si>
  <si>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</si>
  <si>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</si>
  <si>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</si>
  <si>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</si>
  <si>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</si>
  <si>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</si>
  <si>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</si>
  <si>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</si>
  <si>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</si>
  <si>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</si>
  <si>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</si>
  <si>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</si>
  <si>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</si>
  <si>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</si>
  <si>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</si>
  <si>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</si>
  <si>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</si>
  <si>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</si>
  <si>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</si>
  <si>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</si>
  <si>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</si>
  <si>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</si>
  <si>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</si>
  <si>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</si>
  <si>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</si>
  <si>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</si>
  <si>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</si>
  <si>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</si>
  <si>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</si>
  <si>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</si>
  <si>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</si>
  <si>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</si>
  <si>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</si>
  <si>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</si>
  <si>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</si>
  <si>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</si>
  <si>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</si>
  <si>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</si>
  <si>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</si>
  <si>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</si>
  <si>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</si>
  <si>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</si>
  <si>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</si>
  <si>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</si>
  <si>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</si>
  <si>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</si>
  <si>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</si>
  <si>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</si>
  <si>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</si>
  <si>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</si>
  <si>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</si>
  <si>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</si>
  <si>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</si>
  <si>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</si>
  <si>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</si>
  <si>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</si>
  <si>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</si>
  <si>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</si>
  <si>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</si>
  <si>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</si>
  <si>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</si>
  <si>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</si>
  <si>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</si>
  <si>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</si>
  <si>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</si>
  <si>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</si>
  <si>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</si>
  <si>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</si>
  <si>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</si>
  <si>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</si>
  <si>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</si>
  <si>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</si>
  <si>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</si>
  <si>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</si>
  <si>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</si>
  <si>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</si>
  <si>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</si>
  <si>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</si>
  <si>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</si>
  <si>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</si>
  <si>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</si>
  <si>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</si>
  <si>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</si>
  <si>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</si>
  <si>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</si>
  <si>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</si>
  <si>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</si>
  <si>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</si>
  <si>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</si>
  <si>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</si>
  <si>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</si>
  <si>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</si>
  <si>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</si>
  <si>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</si>
  <si>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</si>
  <si>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</si>
  <si>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</si>
  <si>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rg:dataset('path.csv','Path')</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</si>
  <si>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</si>
  <si>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</si>
  <si>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</si>
  <si>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</si>
  <si>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</si>
  <si>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</si>
  <si>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</si>
  <si>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</si>
  <si>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</si>
  <si>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</si>
  <si>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</si>
  <si>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</si>
  <si>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</si>
  <si>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</si>
  <si>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</si>
  <si>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</si>
  <si>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</si>
  <si>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</si>
  <si>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</si>
  <si>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</si>
  <si>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</si>
  <si>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</si>
  <si>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</si>
  <si>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</si>
  <si>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</si>
  <si>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</si>
  <si>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</si>
  <si>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</si>
  <si>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</si>
  <si>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</si>
  <si>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</si>
  <si>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</si>
  <si>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</si>
  <si>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UserViewModel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</si>
</sst>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5" fillId="0" borderId="0"/>
  </cellStyleXfs>
  <cellXfs count="19">
    <xf numFmtId="0" fontId="0" fillId="0" borderId="0" xfId="0"/>
    <xf numFmtId="0" fontId="9" fillId="0" borderId="0" xfId="719" applyFont="1" applyAlignment="1">
      <alignment vertical="top"/>
    </xf>
    <xf numFmtId="0" fontId="9" fillId="0" borderId="0" xfId="719" applyFont="1" applyAlignment="1">
      <alignment vertical="top" wrapText="1"/>
    </xf>
    <xf numFmtId="0" fontId="5" fillId="0" borderId="0" xfId="719"/>
    <xf numFmtId="0" fontId="5" fillId="0" borderId="0" xfId="719" applyNumberFormat="1" applyAlignment="1">
      <alignment vertical="top"/>
    </xf>
    <xf numFmtId="0" fontId="5" fillId="0" borderId="0" xfId="719" applyAlignment="1">
      <alignment vertical="top"/>
    </xf>
    <xf numFmtId="0" fontId="5" fillId="0" borderId="0" xfId="719" applyAlignment="1">
      <alignment vertical="top" wrapText="1"/>
    </xf>
    <xf numFmtId="0" fontId="8" fillId="0" borderId="0" xfId="0" applyFont="1"/>
    <xf numFmtId="0" fontId="4" fillId="0" borderId="0" xfId="719" applyFont="1"/>
    <xf numFmtId="0" fontId="3" fillId="0" borderId="0" xfId="719" applyFont="1"/>
    <xf numFmtId="0" fontId="0" fillId="0" borderId="0" xfId="0" applyAlignment="1">
      <alignment vertical="top"/>
    </xf>
    <xf numFmtId="0" fontId="9" fillId="0" borderId="0" xfId="0" applyFont="1" applyAlignment="1">
      <alignment vertical="top"/>
    </xf>
    <xf numFmtId="0" fontId="2" fillId="0" borderId="0" xfId="719" applyFont="1"/>
    <xf numFmtId="0" fontId="2" fillId="0" borderId="0" xfId="719" applyFont="1" applyAlignment="1">
      <alignment vertical="top"/>
    </xf>
    <xf numFmtId="0" fontId="5" fillId="0" borderId="0" xfId="719" applyFill="1" applyAlignment="1">
      <alignment vertical="top" wrapText="1"/>
    </xf>
    <xf numFmtId="0" fontId="5" fillId="0" borderId="0" xfId="719" applyNumberFormat="1" applyFill="1"/>
    <xf numFmtId="0" fontId="0" fillId="0" borderId="0" xfId="0" applyNumberFormat="1" applyAlignment="1">
      <alignment vertical="top"/>
    </xf>
    <xf numFmtId="0" fontId="1" fillId="0" borderId="0" xfId="719" applyFont="1"/>
    <xf numFmtId="0" fontId="1" fillId="0" borderId="0" xfId="719" applyFont="1" applyFill="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32" totalsRowShown="0" headerRowDxfId="42" dataDxfId="41">
  <autoFilter ref="A1:U232"/>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6" totalsRowShown="0" headerRowDxfId="20" dataDxfId="19">
  <autoFilter ref="A1:T2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32"/>
  <sheetViews>
    <sheetView tabSelected="1" zoomScale="110" zoomScaleNormal="110" workbookViewId="0">
      <pane ySplit="1" topLeftCell="A2" activePane="bottomLeft" state="frozen"/>
      <selection pane="bottomLeft" activeCell="U2" sqref="U2"/>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286</v>
      </c>
      <c r="B1" s="1" t="s">
        <v>287</v>
      </c>
      <c r="C1" s="1" t="s">
        <v>288</v>
      </c>
      <c r="D1" s="1" t="s">
        <v>289</v>
      </c>
      <c r="E1" s="2" t="s">
        <v>284</v>
      </c>
      <c r="F1" s="2" t="s">
        <v>290</v>
      </c>
      <c r="G1" s="1" t="s">
        <v>262</v>
      </c>
      <c r="H1" s="7" t="s">
        <v>260</v>
      </c>
      <c r="I1" s="7" t="s">
        <v>24</v>
      </c>
      <c r="J1" s="11" t="s">
        <v>43</v>
      </c>
      <c r="K1" s="11" t="s">
        <v>8</v>
      </c>
      <c r="L1" s="11" t="s">
        <v>62</v>
      </c>
      <c r="M1" s="11" t="s">
        <v>107</v>
      </c>
      <c r="N1" s="11" t="s">
        <v>17</v>
      </c>
      <c r="O1" s="11" t="s">
        <v>10</v>
      </c>
      <c r="P1" s="11" t="s">
        <v>5</v>
      </c>
      <c r="Q1" s="11" t="s">
        <v>2</v>
      </c>
      <c r="R1" s="11" t="s">
        <v>3</v>
      </c>
      <c r="S1" s="11" t="s">
        <v>1</v>
      </c>
      <c r="T1" s="11" t="s">
        <v>291</v>
      </c>
      <c r="U1" s="11" t="s">
        <v>261</v>
      </c>
    </row>
    <row r="2" spans="1:21" x14ac:dyDescent="0.3">
      <c r="A2" s="3" t="s">
        <v>4</v>
      </c>
      <c r="B2" s="3" t="s">
        <v>5</v>
      </c>
      <c r="C2" s="3"/>
      <c r="D2" s="3" t="s">
        <v>4</v>
      </c>
      <c r="E2" s="3" t="s">
        <v>6</v>
      </c>
      <c r="F2" s="3" t="s">
        <v>7</v>
      </c>
      <c r="G2" s="4"/>
      <c r="H2" t="str">
        <f t="shared" ref="H2:H65"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215</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67</v>
      </c>
      <c r="B30" s="3" t="s">
        <v>5</v>
      </c>
      <c r="C30" s="3"/>
      <c r="D30" s="3" t="s">
        <v>67</v>
      </c>
      <c r="E30" s="3" t="s">
        <v>68</v>
      </c>
      <c r="F30" s="3" t="s">
        <v>7</v>
      </c>
      <c r="G30" s="4"/>
      <c r="H30" s="5" t="str">
        <f t="shared" si="0"/>
        <v>Defs</v>
      </c>
      <c r="I30" t="str">
        <f>IF(Table2[[#This Row],[!Type]]=I$1, I$1,"rg:None")</f>
        <v>rg:None</v>
      </c>
      <c r="J30" t="str">
        <f>IF(Table2[[#This Row],[!Type]]=J$1, J$1,"rg:None")</f>
        <v>rg:None</v>
      </c>
      <c r="K30" t="str">
        <f>IF(Table2[[#This Row],[!Type]]=K$1, K$1,"rg:None")</f>
        <v>rg:None</v>
      </c>
      <c r="L30" s="10" t="str">
        <f>IF(Table2[[#This Row],[!Type]]=L$1, L$1,"rg:None")</f>
        <v>rg:None</v>
      </c>
      <c r="M30" s="5" t="str">
        <f>IF(Table2[[#This Row],[!Type]]=M$1, M$1,"rg:None")</f>
        <v>rg:None</v>
      </c>
      <c r="N30" s="5" t="str">
        <f>IF(Table2[[#This Row],[!Type]]=N$1, N$1,"rg:None")</f>
        <v>rg:None</v>
      </c>
      <c r="O30" s="5" t="str">
        <f>IF(Table2[[#This Row],[!Type]]=O$1, O$1,"rg:None")</f>
        <v>rg:None</v>
      </c>
      <c r="P30" s="5" t="str">
        <f>IF(Table2[[#This Row],[!Type]]=P$1, P$1,"rg:None")</f>
        <v>table</v>
      </c>
      <c r="Q30" s="10" t="str">
        <f>IF(LEN(Table2[[#This Row],[!Length]]) &gt; 0, Table2[[#This Row],[!Length]], "rg:None")</f>
        <v>rg:None</v>
      </c>
      <c r="R30" s="10" t="str">
        <f>IF(LEN(Table2[[#This Row],[!Name]]) &gt; 0, Table2[[#This Row],[!Name]], "rg:None")</f>
        <v>SchoolBusNote</v>
      </c>
      <c r="S30" s="10" t="str">
        <f>IF(LEN(Table2[[#This Row],[!Description]]) &gt; 0, Table2[[#This Row],[!Description]], "rg:None")</f>
        <v>Notes entered by users about a specific School Bus.</v>
      </c>
      <c r="T30" s="10" t="str">
        <f>IF(LEN(Table2[[#This Row],[!FK]])&gt;0,Table2[[#This Row],[!FK]],"rg:None")</f>
        <v>rg:None</v>
      </c>
      <c r="U30" s="10" t="str">
        <f>IF(LEN(concatif2(A:A,Table2[[#This Row],[!Table]],G:G,"Y",D:D,",")) &gt; 0,"rg:[ { 'req' : '"&amp;concatif2(A:A,Table2[[#This Row],[!Table]],G:G,"Y",D:D,"' }, { 'req': '")&amp;"'} ]","rg:[]")</f>
        <v>rg:[ { 'req' : 'id'} ]</v>
      </c>
    </row>
    <row r="31" spans="1:21" x14ac:dyDescent="0.3">
      <c r="A31" s="3" t="s">
        <v>67</v>
      </c>
      <c r="B31" s="3" t="s">
        <v>8</v>
      </c>
      <c r="C31" s="3"/>
      <c r="D31" s="3" t="s">
        <v>8</v>
      </c>
      <c r="E31" s="3" t="s">
        <v>9</v>
      </c>
      <c r="F31" s="3" t="s">
        <v>7</v>
      </c>
      <c r="G31" s="4" t="s">
        <v>215</v>
      </c>
      <c r="H31" s="5" t="str">
        <f t="shared" si="0"/>
        <v>Defs</v>
      </c>
      <c r="I31" t="str">
        <f>IF(Table2[[#This Row],[!Type]]=I$1, I$1,"rg:None")</f>
        <v>rg:None</v>
      </c>
      <c r="J31" t="str">
        <f>IF(Table2[[#This Row],[!Type]]=J$1, J$1,"rg:None")</f>
        <v>rg:None</v>
      </c>
      <c r="K31" t="str">
        <f>IF(Table2[[#This Row],[!Type]]=K$1, K$1,"rg:None")</f>
        <v>id</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rg:None</v>
      </c>
      <c r="Q31" s="10" t="str">
        <f>IF(LEN(Table2[[#This Row],[!Length]]) &gt; 0, Table2[[#This Row],[!Length]], "rg:None")</f>
        <v>rg:None</v>
      </c>
      <c r="R31" s="10" t="str">
        <f>IF(LEN(Table2[[#This Row],[!Name]]) &gt; 0, Table2[[#This Row],[!Name]], "rg:None")</f>
        <v>id</v>
      </c>
      <c r="S31" s="10" t="str">
        <f>IF(LEN(Table2[[#This Row],[!Description]]) &gt; 0, Table2[[#This Row],[!Description]], "rg:None")</f>
        <v>Primary Key</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10</v>
      </c>
      <c r="C32" s="3"/>
      <c r="D32" s="3" t="s">
        <v>69</v>
      </c>
      <c r="E32" s="3" t="s">
        <v>70</v>
      </c>
      <c r="F32" s="3" t="s">
        <v>7</v>
      </c>
      <c r="G32" s="4"/>
      <c r="H32" s="5" t="str">
        <f t="shared" si="0"/>
        <v>Defs</v>
      </c>
      <c r="I32" t="str">
        <f>IF(Table2[[#This Row],[!Type]]=I$1, I$1,"rg:None")</f>
        <v>rg:None</v>
      </c>
      <c r="J32" t="str">
        <f>IF(Table2[[#This Row],[!Type]]=J$1, J$1,"rg:None")</f>
        <v>rg:None</v>
      </c>
      <c r="K32" t="str">
        <f>IF(Table2[[#This Row],[!Type]]=K$1, K$1,"rg:None")</f>
        <v>rg:None</v>
      </c>
      <c r="L32" s="10" t="str">
        <f>IF(Table2[[#This Row],[!Type]]=L$1, L$1,"rg:None")</f>
        <v>rg:None</v>
      </c>
      <c r="M32" s="5" t="str">
        <f>IF(Table2[[#This Row],[!Type]]=M$1, M$1,"rg:None")</f>
        <v>rg:None</v>
      </c>
      <c r="N32" s="5" t="str">
        <f>IF(Table2[[#This Row],[!Type]]=N$1, N$1,"rg:None")</f>
        <v>rg:None</v>
      </c>
      <c r="O32" s="5" t="str">
        <f>IF(Table2[[#This Row],[!Type]]=O$1, O$1,"rg:None")</f>
        <v>string</v>
      </c>
      <c r="P32" s="5" t="str">
        <f>IF(Table2[[#This Row],[!Type]]=P$1, P$1,"rg:None")</f>
        <v>rg:None</v>
      </c>
      <c r="Q32" s="10" t="str">
        <f>IF(LEN(Table2[[#This Row],[!Length]]) &gt; 0, Table2[[#This Row],[!Length]], "rg:None")</f>
        <v>rg:None</v>
      </c>
      <c r="R32" s="10" t="str">
        <f>IF(LEN(Table2[[#This Row],[!Name]]) &gt; 0, Table2[[#This Row],[!Name]], "rg:None")</f>
        <v>note</v>
      </c>
      <c r="S32" s="10" t="str">
        <f>IF(LEN(Table2[[#This Row],[!Description]]) &gt; 0, Table2[[#This Row],[!Description]], "rg:None")</f>
        <v>The contents of the note.</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24</v>
      </c>
      <c r="C33" s="3"/>
      <c r="D33" s="3" t="s">
        <v>71</v>
      </c>
      <c r="E33" s="3" t="s">
        <v>72</v>
      </c>
      <c r="F33" s="3" t="s">
        <v>7</v>
      </c>
      <c r="G33" s="4"/>
      <c r="H33" s="5" t="str">
        <f t="shared" si="0"/>
        <v>Defs</v>
      </c>
      <c r="I33" t="str">
        <f>IF(Table2[[#This Row],[!Type]]=I$1, I$1,"rg:None")</f>
        <v>boolean</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rg:None</v>
      </c>
      <c r="P33" s="5" t="str">
        <f>IF(Table2[[#This Row],[!Type]]=P$1, P$1,"rg:None")</f>
        <v>rg:None</v>
      </c>
      <c r="Q33" s="10" t="str">
        <f>IF(LEN(Table2[[#This Row],[!Length]]) &gt; 0, Table2[[#This Row],[!Length]], "rg:None")</f>
        <v>rg:None</v>
      </c>
      <c r="R33" s="10" t="str">
        <f>IF(LEN(Table2[[#This Row],[!Name]]) &gt; 0, Table2[[#This Row],[!Name]], "rg:None")</f>
        <v>isNoLongerRelevant</v>
      </c>
      <c r="S33" s="10" t="str">
        <f>IF(LEN(Table2[[#This Row],[!Description]]) &gt; 0, Table2[[#This Row],[!Description]], "rg:None")</f>
        <v>A user set flag that the note is no longer relevant. Allows the note to be retained for historical reasons,  but identified to the user as no longer relevant.</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17</v>
      </c>
      <c r="C34" s="3"/>
      <c r="D34" s="3" t="s">
        <v>73</v>
      </c>
      <c r="E34" s="3" t="s">
        <v>7</v>
      </c>
      <c r="F34" s="3" t="s">
        <v>4</v>
      </c>
      <c r="G34" s="4"/>
      <c r="H34" s="5" t="str">
        <f t="shared" si="0"/>
        <v>Defs</v>
      </c>
      <c r="I34" t="str">
        <f>IF(Table2[[#This Row],[!Type]]=I$1, I$1,"rg:None")</f>
        <v>rg:None</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ref</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schoolBus</v>
      </c>
      <c r="S34" s="10" t="str">
        <f>IF(LEN(Table2[[#This Row],[!Description]]) &gt; 0, Table2[[#This Row],[!Description]], "rg:None")</f>
        <v>rg:None</v>
      </c>
      <c r="T34" s="10" t="str">
        <f>IF(LEN(Table2[[#This Row],[!FK]])&gt;0,Table2[[#This Row],[!FK]],"rg:None")</f>
        <v>SchoolBus</v>
      </c>
      <c r="U34" s="10" t="str">
        <f>IF(LEN(concatif2(A:A,Table2[[#This Row],[!Table]],G:G,"Y",D:D,",")) &gt; 0,"rg:[ { 'req' : '"&amp;concatif2(A:A,Table2[[#This Row],[!Table]],G:G,"Y",D:D,"' }, { 'req': '")&amp;"'} ]","rg:[]")</f>
        <v>rg:[ { 'req' : 'id'} ]</v>
      </c>
    </row>
    <row r="35" spans="1:21" x14ac:dyDescent="0.3">
      <c r="A35" s="3" t="s">
        <v>74</v>
      </c>
      <c r="B35" s="3" t="s">
        <v>5</v>
      </c>
      <c r="C35" s="3"/>
      <c r="D35" s="3" t="s">
        <v>74</v>
      </c>
      <c r="E35" s="3" t="s">
        <v>75</v>
      </c>
      <c r="F35" s="3" t="s">
        <v>7</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rg:None</v>
      </c>
      <c r="O35" s="5" t="str">
        <f>IF(Table2[[#This Row],[!Type]]=O$1, O$1,"rg:None")</f>
        <v>rg:None</v>
      </c>
      <c r="P35" s="5" t="str">
        <f>IF(Table2[[#This Row],[!Type]]=P$1, P$1,"rg:None")</f>
        <v>table</v>
      </c>
      <c r="Q35" s="10" t="str">
        <f>IF(LEN(Table2[[#This Row],[!Length]]) &gt; 0, Table2[[#This Row],[!Length]], "rg:None")</f>
        <v>rg:None</v>
      </c>
      <c r="R35" s="10" t="str">
        <f>IF(LEN(Table2[[#This Row],[!Name]]) &gt; 0, Table2[[#This Row],[!Name]], "rg:None")</f>
        <v>SchoolBusAttachment</v>
      </c>
      <c r="S35" s="10" t="str">
        <f>IF(LEN(Table2[[#This Row],[!Description]]) &gt; 0, Table2[[#This Row],[!Description]], "rg:None")</f>
        <v>Attachments uploaded by users about a specific School Bus. Attachments are stored in the file system, with rows in this table pointing to the file system location of the attachment.</v>
      </c>
      <c r="T35" s="10" t="str">
        <f>IF(LEN(Table2[[#This Row],[!FK]])&gt;0,Table2[[#This Row],[!FK]],"rg:None")</f>
        <v>rg:None</v>
      </c>
      <c r="U35" s="10" t="str">
        <f>IF(LEN(concatif2(A:A,Table2[[#This Row],[!Table]],G:G,"Y",D:D,",")) &gt; 0,"rg:[ { 'req' : '"&amp;concatif2(A:A,Table2[[#This Row],[!Table]],G:G,"Y",D:D,"' }, { 'req': '")&amp;"'} ]","rg:[]")</f>
        <v>rg:[ { 'req' : 'id'} ]</v>
      </c>
    </row>
    <row r="36" spans="1:21" x14ac:dyDescent="0.3">
      <c r="A36" s="3" t="s">
        <v>74</v>
      </c>
      <c r="B36" s="3" t="s">
        <v>8</v>
      </c>
      <c r="C36" s="3"/>
      <c r="D36" s="3" t="s">
        <v>8</v>
      </c>
      <c r="E36" s="3" t="s">
        <v>9</v>
      </c>
      <c r="F36" s="3" t="s">
        <v>7</v>
      </c>
      <c r="G36" s="4" t="s">
        <v>215</v>
      </c>
      <c r="H36" s="5" t="str">
        <f t="shared" si="0"/>
        <v>Defs</v>
      </c>
      <c r="I36" t="str">
        <f>IF(Table2[[#This Row],[!Type]]=I$1, I$1,"rg:None")</f>
        <v>rg:None</v>
      </c>
      <c r="J36" t="str">
        <f>IF(Table2[[#This Row],[!Type]]=J$1, J$1,"rg:None")</f>
        <v>rg:None</v>
      </c>
      <c r="K36" t="str">
        <f>IF(Table2[[#This Row],[!Type]]=K$1, K$1,"rg:None")</f>
        <v>id</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rg:None</v>
      </c>
      <c r="Q36" s="10" t="str">
        <f>IF(LEN(Table2[[#This Row],[!Length]]) &gt; 0, Table2[[#This Row],[!Length]], "rg:None")</f>
        <v>rg:None</v>
      </c>
      <c r="R36" s="10" t="str">
        <f>IF(LEN(Table2[[#This Row],[!Name]]) &gt; 0, Table2[[#This Row],[!Name]], "rg:None")</f>
        <v>id</v>
      </c>
      <c r="S36" s="10" t="str">
        <f>IF(LEN(Table2[[#This Row],[!Description]]) &gt; 0, Table2[[#This Row],[!Description]], "rg:None")</f>
        <v>Primary Key</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10</v>
      </c>
      <c r="C37" s="3"/>
      <c r="D37" s="3" t="s">
        <v>76</v>
      </c>
      <c r="E37" s="3" t="s">
        <v>77</v>
      </c>
      <c r="F37" s="3" t="s">
        <v>7</v>
      </c>
      <c r="G37" s="4"/>
      <c r="H37" s="5" t="str">
        <f t="shared" si="0"/>
        <v>Defs</v>
      </c>
      <c r="I37" t="str">
        <f>IF(Table2[[#This Row],[!Type]]=I$1, I$1,"rg:None")</f>
        <v>rg:None</v>
      </c>
      <c r="J37" t="str">
        <f>IF(Table2[[#This Row],[!Type]]=J$1, J$1,"rg:None")</f>
        <v>rg:None</v>
      </c>
      <c r="K37" t="str">
        <f>IF(Table2[[#This Row],[!Type]]=K$1, K$1,"rg:None")</f>
        <v>rg:None</v>
      </c>
      <c r="L37" s="10" t="str">
        <f>IF(Table2[[#This Row],[!Type]]=L$1, L$1,"rg:None")</f>
        <v>rg:None</v>
      </c>
      <c r="M37" s="5" t="str">
        <f>IF(Table2[[#This Row],[!Type]]=M$1, M$1,"rg:None")</f>
        <v>rg:None</v>
      </c>
      <c r="N37" s="5" t="str">
        <f>IF(Table2[[#This Row],[!Type]]=N$1, N$1,"rg:None")</f>
        <v>rg:None</v>
      </c>
      <c r="O37" s="5" t="str">
        <f>IF(Table2[[#This Row],[!Type]]=O$1, O$1,"rg:None")</f>
        <v>string</v>
      </c>
      <c r="P37" s="5" t="str">
        <f>IF(Table2[[#This Row],[!Type]]=P$1, P$1,"rg:None")</f>
        <v>rg:None</v>
      </c>
      <c r="Q37" s="10" t="str">
        <f>IF(LEN(Table2[[#This Row],[!Length]]) &gt; 0, Table2[[#This Row],[!Length]], "rg:None")</f>
        <v>rg:None</v>
      </c>
      <c r="R37" s="10" t="str">
        <f>IF(LEN(Table2[[#This Row],[!Name]]) &gt; 0, Table2[[#This Row],[!Name]], "rg:None")</f>
        <v>internalFileName</v>
      </c>
      <c r="S37" s="10" t="str">
        <f>IF(LEN(Table2[[#This Row],[!Description]]) &gt; 0, Table2[[#This Row],[!Description]], "rg:None")</f>
        <v>The physical location of the attachment on the file system.</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78</v>
      </c>
      <c r="E38" s="3" t="s">
        <v>79</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externalFileName</v>
      </c>
      <c r="S38" s="10" t="str">
        <f>IF(LEN(Table2[[#This Row],[!Description]]) &gt; 0, Table2[[#This Row],[!Description]], "rg:None")</f>
        <v>The name of the attachment as defined by the user in uploading the document.</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80</v>
      </c>
      <c r="E39" s="3" t="s">
        <v>81</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description</v>
      </c>
      <c r="S39" s="10" t="str">
        <f>IF(LEN(Table2[[#This Row],[!Description]]) &gt; 0, Table2[[#This Row],[!Description]], "rg:None")</f>
        <v>A note about the attachment,  optionally maintained by the user.</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17</v>
      </c>
      <c r="C40" s="3"/>
      <c r="D40" s="3" t="s">
        <v>73</v>
      </c>
      <c r="E40" s="3" t="s">
        <v>7</v>
      </c>
      <c r="F40" s="3" t="s">
        <v>4</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ref</v>
      </c>
      <c r="O40" s="5" t="str">
        <f>IF(Table2[[#This Row],[!Type]]=O$1, O$1,"rg:None")</f>
        <v>rg:None</v>
      </c>
      <c r="P40" s="5" t="str">
        <f>IF(Table2[[#This Row],[!Type]]=P$1, P$1,"rg:None")</f>
        <v>rg:None</v>
      </c>
      <c r="Q40" s="10" t="str">
        <f>IF(LEN(Table2[[#This Row],[!Length]]) &gt; 0, Table2[[#This Row],[!Length]], "rg:None")</f>
        <v>rg:None</v>
      </c>
      <c r="R40" s="10" t="str">
        <f>IF(LEN(Table2[[#This Row],[!Name]]) &gt; 0, Table2[[#This Row],[!Name]], "rg:None")</f>
        <v>schoolBus</v>
      </c>
      <c r="S40" s="10" t="str">
        <f>IF(LEN(Table2[[#This Row],[!Description]]) &gt; 0, Table2[[#This Row],[!Description]], "rg:None")</f>
        <v>rg:None</v>
      </c>
      <c r="T40" s="10" t="str">
        <f>IF(LEN(Table2[[#This Row],[!FK]])&gt;0,Table2[[#This Row],[!FK]],"rg:None")</f>
        <v>SchoolBus</v>
      </c>
      <c r="U40" s="10" t="str">
        <f>IF(LEN(concatif2(A:A,Table2[[#This Row],[!Table]],G:G,"Y",D:D,",")) &gt; 0,"rg:[ { 'req' : '"&amp;concatif2(A:A,Table2[[#This Row],[!Table]],G:G,"Y",D:D,"' }, { 'req': '")&amp;"'} ]","rg:[]")</f>
        <v>rg:[ { 'req' : 'id'} ]</v>
      </c>
    </row>
    <row r="41" spans="1:21" x14ac:dyDescent="0.3">
      <c r="A41" s="3" t="s">
        <v>82</v>
      </c>
      <c r="B41" s="3" t="s">
        <v>5</v>
      </c>
      <c r="C41" s="3"/>
      <c r="D41" s="3" t="s">
        <v>82</v>
      </c>
      <c r="E41" s="3" t="s">
        <v>83</v>
      </c>
      <c r="F41" s="3" t="s">
        <v>7</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rg:None</v>
      </c>
      <c r="O41" s="5" t="str">
        <f>IF(Table2[[#This Row],[!Type]]=O$1, O$1,"rg:None")</f>
        <v>rg:None</v>
      </c>
      <c r="P41" s="5" t="str">
        <f>IF(Table2[[#This Row],[!Type]]=P$1, P$1,"rg:None")</f>
        <v>table</v>
      </c>
      <c r="Q41" s="10" t="str">
        <f>IF(LEN(Table2[[#This Row],[!Length]]) &gt; 0, Table2[[#This Row],[!Length]], "rg:None")</f>
        <v>rg:None</v>
      </c>
      <c r="R41" s="10" t="str">
        <f>IF(LEN(Table2[[#This Row],[!Name]]) &gt; 0, Table2[[#This Row],[!Name]], "rg:None")</f>
        <v>SchoolBusHistory</v>
      </c>
      <c r="S41" s="10" t="str">
        <f>IF(LEN(Table2[[#This Row],[!Description]]) &gt; 0, Table2[[#This Row],[!Description]], "rg:None")</f>
        <v>The history of updates made to a School Bus. Exact format of the history TBD.</v>
      </c>
      <c r="T41" s="10" t="str">
        <f>IF(LEN(Table2[[#This Row],[!FK]])&gt;0,Table2[[#This Row],[!FK]],"rg:None")</f>
        <v>rg:None</v>
      </c>
      <c r="U41" s="10" t="str">
        <f>IF(LEN(concatif2(A:A,Table2[[#This Row],[!Table]],G:G,"Y",D:D,",")) &gt; 0,"rg:[ { 'req' : '"&amp;concatif2(A:A,Table2[[#This Row],[!Table]],G:G,"Y",D:D,"' }, { 'req': '")&amp;"'} ]","rg:[]")</f>
        <v>rg:[ { 'req' : 'id'} ]</v>
      </c>
    </row>
    <row r="42" spans="1:21" x14ac:dyDescent="0.3">
      <c r="A42" s="3" t="s">
        <v>82</v>
      </c>
      <c r="B42" s="3" t="s">
        <v>8</v>
      </c>
      <c r="C42" s="3"/>
      <c r="D42" s="3" t="s">
        <v>8</v>
      </c>
      <c r="E42" s="3" t="s">
        <v>9</v>
      </c>
      <c r="F42" s="3" t="s">
        <v>7</v>
      </c>
      <c r="G42" s="4" t="s">
        <v>215</v>
      </c>
      <c r="H42" s="5" t="str">
        <f t="shared" si="0"/>
        <v>Defs</v>
      </c>
      <c r="I42" t="str">
        <f>IF(Table2[[#This Row],[!Type]]=I$1, I$1,"rg:None")</f>
        <v>rg:None</v>
      </c>
      <c r="J42" t="str">
        <f>IF(Table2[[#This Row],[!Type]]=J$1, J$1,"rg:None")</f>
        <v>rg:None</v>
      </c>
      <c r="K42" t="str">
        <f>IF(Table2[[#This Row],[!Type]]=K$1, K$1,"rg:None")</f>
        <v>id</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rg:None</v>
      </c>
      <c r="Q42" s="10" t="str">
        <f>IF(LEN(Table2[[#This Row],[!Length]]) &gt; 0, Table2[[#This Row],[!Length]], "rg:None")</f>
        <v>rg:None</v>
      </c>
      <c r="R42" s="10" t="str">
        <f>IF(LEN(Table2[[#This Row],[!Name]]) &gt; 0, Table2[[#This Row],[!Name]], "rg:None")</f>
        <v>id</v>
      </c>
      <c r="S42" s="10" t="str">
        <f>IF(LEN(Table2[[#This Row],[!Description]]) &gt; 0, Table2[[#This Row],[!Description]], "rg:None")</f>
        <v>Primary Key</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17</v>
      </c>
      <c r="C43" s="3"/>
      <c r="D43" s="3" t="s">
        <v>73</v>
      </c>
      <c r="E43" s="3" t="s">
        <v>7</v>
      </c>
      <c r="F43" s="3" t="s">
        <v>4</v>
      </c>
      <c r="G43" s="4"/>
      <c r="H43" s="5" t="str">
        <f t="shared" si="0"/>
        <v>Defs</v>
      </c>
      <c r="I43" t="str">
        <f>IF(Table2[[#This Row],[!Type]]=I$1, I$1,"rg:None")</f>
        <v>rg:None</v>
      </c>
      <c r="J43" t="str">
        <f>IF(Table2[[#This Row],[!Type]]=J$1, J$1,"rg:None")</f>
        <v>rg:None</v>
      </c>
      <c r="K43" t="str">
        <f>IF(Table2[[#This Row],[!Type]]=K$1, K$1,"rg:None")</f>
        <v>rg:None</v>
      </c>
      <c r="L43" s="10" t="str">
        <f>IF(Table2[[#This Row],[!Type]]=L$1, L$1,"rg:None")</f>
        <v>rg:None</v>
      </c>
      <c r="M43" s="5" t="str">
        <f>IF(Table2[[#This Row],[!Type]]=M$1, M$1,"rg:None")</f>
        <v>rg:None</v>
      </c>
      <c r="N43" s="5" t="str">
        <f>IF(Table2[[#This Row],[!Type]]=N$1, N$1,"rg:None")</f>
        <v>ref</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schoolBus</v>
      </c>
      <c r="S43" s="10" t="str">
        <f>IF(LEN(Table2[[#This Row],[!Description]]) &gt; 0, Table2[[#This Row],[!Description]], "rg:None")</f>
        <v>rg:None</v>
      </c>
      <c r="T43" s="10" t="str">
        <f>IF(LEN(Table2[[#This Row],[!FK]])&gt;0,Table2[[#This Row],[!FK]],"rg:None")</f>
        <v>SchoolBus</v>
      </c>
      <c r="U43" s="10" t="str">
        <f>IF(LEN(concatif2(A:A,Table2[[#This Row],[!Table]],G:G,"Y",D:D,",")) &gt; 0,"rg:[ { 'req' : '"&amp;concatif2(A:A,Table2[[#This Row],[!Table]],G:G,"Y",D:D,"' }, { 'req': '")&amp;"'} ]","rg:[]")</f>
        <v>rg:[ { 'req' : 'id'} ]</v>
      </c>
    </row>
    <row r="44" spans="1:21" x14ac:dyDescent="0.3">
      <c r="A44" s="3" t="s">
        <v>19</v>
      </c>
      <c r="B44" s="3" t="s">
        <v>5</v>
      </c>
      <c r="C44" s="3"/>
      <c r="D44" s="3" t="s">
        <v>19</v>
      </c>
      <c r="E44" s="3" t="s">
        <v>7</v>
      </c>
      <c r="F44" s="3" t="s">
        <v>7</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rg:None</v>
      </c>
      <c r="O44" s="5" t="str">
        <f>IF(Table2[[#This Row],[!Type]]=O$1, O$1,"rg:None")</f>
        <v>rg:None</v>
      </c>
      <c r="P44" s="5" t="str">
        <f>IF(Table2[[#This Row],[!Type]]=P$1, P$1,"rg:None")</f>
        <v>table</v>
      </c>
      <c r="Q44" s="10" t="str">
        <f>IF(LEN(Table2[[#This Row],[!Length]]) &gt; 0, Table2[[#This Row],[!Length]], "rg:None")</f>
        <v>rg:None</v>
      </c>
      <c r="R44" s="10" t="str">
        <f>IF(LEN(Table2[[#This Row],[!Name]]) &gt; 0, Table2[[#This Row],[!Name]], "rg:None")</f>
        <v>SchoolBusOwner</v>
      </c>
      <c r="S44" s="10" t="str">
        <f>IF(LEN(Table2[[#This Row],[!Description]]) &gt; 0, Table2[[#This Row],[!Description]], "rg:None")</f>
        <v>rg:None</v>
      </c>
      <c r="T44" s="10" t="str">
        <f>IF(LEN(Table2[[#This Row],[!FK]])&gt;0,Table2[[#This Row],[!FK]],"rg:None")</f>
        <v>rg:None</v>
      </c>
      <c r="U44" s="10" t="str">
        <f>IF(LEN(concatif2(A:A,Table2[[#This Row],[!Table]],G:G,"Y",D:D,",")) &gt; 0,"rg:[ { 'req' : '"&amp;concatif2(A:A,Table2[[#This Row],[!Table]],G:G,"Y",D:D,"' }, { 'req': '")&amp;"'} ]","rg:[]")</f>
        <v>rg:[ { 'req' : 'id'} ]</v>
      </c>
    </row>
    <row r="45" spans="1:21" x14ac:dyDescent="0.3">
      <c r="A45" s="3" t="s">
        <v>19</v>
      </c>
      <c r="B45" s="3" t="s">
        <v>8</v>
      </c>
      <c r="C45" s="3"/>
      <c r="D45" s="3" t="s">
        <v>8</v>
      </c>
      <c r="E45" s="3" t="s">
        <v>9</v>
      </c>
      <c r="F45" s="3" t="s">
        <v>7</v>
      </c>
      <c r="G45" s="4" t="s">
        <v>215</v>
      </c>
      <c r="H45" s="5" t="str">
        <f t="shared" si="0"/>
        <v>Defs</v>
      </c>
      <c r="I45" t="str">
        <f>IF(Table2[[#This Row],[!Type]]=I$1, I$1,"rg:None")</f>
        <v>rg:None</v>
      </c>
      <c r="J45" t="str">
        <f>IF(Table2[[#This Row],[!Type]]=J$1, J$1,"rg:None")</f>
        <v>rg:None</v>
      </c>
      <c r="K45" t="str">
        <f>IF(Table2[[#This Row],[!Type]]=K$1, K$1,"rg:None")</f>
        <v>id</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rg:None</v>
      </c>
      <c r="Q45" s="10" t="str">
        <f>IF(LEN(Table2[[#This Row],[!Length]]) &gt; 0, Table2[[#This Row],[!Length]], "rg:None")</f>
        <v>rg:None</v>
      </c>
      <c r="R45" s="10" t="str">
        <f>IF(LEN(Table2[[#This Row],[!Name]]) &gt; 0, Table2[[#This Row],[!Name]], "rg:None")</f>
        <v>id</v>
      </c>
      <c r="S45" s="10" t="str">
        <f>IF(LEN(Table2[[#This Row],[!Description]]) &gt; 0, Table2[[#This Row],[!Description]], "rg:None")</f>
        <v>Primary Key</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10</v>
      </c>
      <c r="C46" s="3"/>
      <c r="D46" s="3" t="s">
        <v>84</v>
      </c>
      <c r="E46" s="3" t="s">
        <v>85</v>
      </c>
      <c r="F46" s="3" t="s">
        <v>7</v>
      </c>
      <c r="G46" s="4"/>
      <c r="H46" s="5" t="str">
        <f t="shared" si="0"/>
        <v>Defs</v>
      </c>
      <c r="I46" t="str">
        <f>IF(Table2[[#This Row],[!Type]]=I$1, I$1,"rg:None")</f>
        <v>rg:None</v>
      </c>
      <c r="J46" t="str">
        <f>IF(Table2[[#This Row],[!Type]]=J$1, J$1,"rg:None")</f>
        <v>rg:None</v>
      </c>
      <c r="K46" t="str">
        <f>IF(Table2[[#This Row],[!Type]]=K$1, K$1,"rg:None")</f>
        <v>rg:None</v>
      </c>
      <c r="L46" s="10" t="str">
        <f>IF(Table2[[#This Row],[!Type]]=L$1, L$1,"rg:None")</f>
        <v>rg:None</v>
      </c>
      <c r="M46" s="5" t="str">
        <f>IF(Table2[[#This Row],[!Type]]=M$1, M$1,"rg:None")</f>
        <v>rg:None</v>
      </c>
      <c r="N46" s="5" t="str">
        <f>IF(Table2[[#This Row],[!Type]]=N$1, N$1,"rg:None")</f>
        <v>rg:None</v>
      </c>
      <c r="O46" s="5" t="str">
        <f>IF(Table2[[#This Row],[!Type]]=O$1, O$1,"rg:None")</f>
        <v>string</v>
      </c>
      <c r="P46" s="5" t="str">
        <f>IF(Table2[[#This Row],[!Type]]=P$1, P$1,"rg:None")</f>
        <v>rg:None</v>
      </c>
      <c r="Q46" s="10" t="str">
        <f>IF(LEN(Table2[[#This Row],[!Length]]) &gt; 0, Table2[[#This Row],[!Length]], "rg:None")</f>
        <v>rg:None</v>
      </c>
      <c r="R46" s="10" t="str">
        <f>IF(LEN(Table2[[#This Row],[!Name]]) &gt; 0, Table2[[#This Row],[!Name]], "rg:None")</f>
        <v>name</v>
      </c>
      <c r="S46" s="10" t="str">
        <f>IF(LEN(Table2[[#This Row],[!Description]]) &gt; 0, Table2[[#This Row],[!Description]], "rg:None")</f>
        <v>The name of the School Bus owner as defined by the user/Inspector. Not tied to the ICBC or NSC names,  but whatever is most useful for the Inspectors.</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22</v>
      </c>
      <c r="E47" s="3" t="s">
        <v>86</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status</v>
      </c>
      <c r="S47" s="10" t="str">
        <f>IF(LEN(Table2[[#This Row],[!Description]]) &gt; 0, Table2[[#This Row],[!Description]], "rg:None")</f>
        <v>Status of the School Bus owner - enumerated value Active,  Archived</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43</v>
      </c>
      <c r="C48" s="3"/>
      <c r="D48" s="3" t="s">
        <v>87</v>
      </c>
      <c r="E48" s="3" t="s">
        <v>88</v>
      </c>
      <c r="F48" s="3" t="s">
        <v>7</v>
      </c>
      <c r="G48" s="4"/>
      <c r="H48" s="5" t="str">
        <f t="shared" si="0"/>
        <v>Defs</v>
      </c>
      <c r="I48" t="str">
        <f>IF(Table2[[#This Row],[!Type]]=I$1, I$1,"rg:None")</f>
        <v>rg:None</v>
      </c>
      <c r="J48" t="str">
        <f>IF(Table2[[#This Row],[!Type]]=J$1, J$1,"rg:None")</f>
        <v>datetime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rg:None</v>
      </c>
      <c r="P48" s="5" t="str">
        <f>IF(Table2[[#This Row],[!Type]]=P$1, P$1,"rg:None")</f>
        <v>rg:None</v>
      </c>
      <c r="Q48" s="10" t="str">
        <f>IF(LEN(Table2[[#This Row],[!Length]]) &gt; 0, Table2[[#This Row],[!Length]], "rg:None")</f>
        <v>rg:None</v>
      </c>
      <c r="R48" s="10" t="str">
        <f>IF(LEN(Table2[[#This Row],[!Name]]) &gt; 0, Table2[[#This Row],[!Name]], "rg:None")</f>
        <v>dateCreated</v>
      </c>
      <c r="S48" s="10" t="str">
        <f>IF(LEN(Table2[[#This Row],[!Description]]) &gt; 0, Table2[[#This Row],[!Description]], "rg:None")</f>
        <v>The date-time of the creation of the record from the audit fields. Since this might be surfaced in the API,  adding it to the definition.</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17</v>
      </c>
      <c r="C49" s="3"/>
      <c r="D49" s="3" t="s">
        <v>89</v>
      </c>
      <c r="E49" s="3" t="s">
        <v>90</v>
      </c>
      <c r="F49" s="3" t="s">
        <v>91</v>
      </c>
      <c r="G49" s="4"/>
      <c r="H49" s="5" t="str">
        <f t="shared" si="0"/>
        <v>Defs</v>
      </c>
      <c r="I49" t="str">
        <f>IF(Table2[[#This Row],[!Type]]=I$1, I$1,"rg:None")</f>
        <v>rg:None</v>
      </c>
      <c r="J49" t="str">
        <f>IF(Table2[[#This Row],[!Type]]=J$1, J$1,"rg:None")</f>
        <v>rg:None</v>
      </c>
      <c r="K49" t="str">
        <f>IF(Table2[[#This Row],[!Type]]=K$1, K$1,"rg:None")</f>
        <v>rg:None</v>
      </c>
      <c r="L49" s="10" t="str">
        <f>IF(Table2[[#This Row],[!Type]]=L$1, L$1,"rg:None")</f>
        <v>rg:None</v>
      </c>
      <c r="M49" s="5" t="str">
        <f>IF(Table2[[#This Row],[!Type]]=M$1, M$1,"rg:None")</f>
        <v>rg:None</v>
      </c>
      <c r="N49" s="5" t="str">
        <f>IF(Table2[[#This Row],[!Type]]=N$1, N$1,"rg:None")</f>
        <v>ref</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primaryContact</v>
      </c>
      <c r="S49" s="10" t="str">
        <f>IF(LEN(Table2[[#This Row],[!Description]]) &gt; 0, Table2[[#This Row],[!Description]], "rg:None")</f>
        <v>Link to the designated Primary Contact for the Inspector to the School Bus Owner organization.</v>
      </c>
      <c r="T49" s="10" t="str">
        <f>IF(LEN(Table2[[#This Row],[!FK]])&gt;0,Table2[[#This Row],[!FK]],"rg:None")</f>
        <v>SchoolBusOwnerContact</v>
      </c>
      <c r="U49" s="10" t="str">
        <f>IF(LEN(concatif2(A:A,Table2[[#This Row],[!Table]],G:G,"Y",D:D,",")) &gt; 0,"rg:[ { 'req' : '"&amp;concatif2(A:A,Table2[[#This Row],[!Table]],G:G,"Y",D:D,"' }, { 'req': '")&amp;"'} ]","rg:[]")</f>
        <v>rg:[ { 'req' : 'id'} ]</v>
      </c>
    </row>
    <row r="50" spans="1:21" x14ac:dyDescent="0.3">
      <c r="A50" s="3" t="s">
        <v>19</v>
      </c>
      <c r="B50" s="3" t="s">
        <v>17</v>
      </c>
      <c r="C50" s="3"/>
      <c r="D50" s="3" t="s">
        <v>26</v>
      </c>
      <c r="E50" s="3" t="s">
        <v>92</v>
      </c>
      <c r="F50" s="3" t="s">
        <v>27</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serviceArea</v>
      </c>
      <c r="S50" s="10" t="str">
        <f>IF(LEN(Table2[[#This Row],[!Description]]) &gt; 0, Table2[[#This Row],[!Description]], "rg:None")</f>
        <v>The District to which this School Bus is affliated.</v>
      </c>
      <c r="T50" s="10" t="str">
        <f>IF(LEN(Table2[[#This Row],[!FK]])&gt;0,Table2[[#This Row],[!FK]],"rg:None")</f>
        <v>ServiceArea</v>
      </c>
      <c r="U50" s="10" t="str">
        <f>IF(LEN(concatif2(A:A,Table2[[#This Row],[!Table]],G:G,"Y",D:D,",")) &gt; 0,"rg:[ { 'req' : '"&amp;concatif2(A:A,Table2[[#This Row],[!Table]],G:G,"Y",D:D,"' }, { 'req': '")&amp;"'} ]","rg:[]")</f>
        <v>rg:[ { 'req' : 'id'} ]</v>
      </c>
    </row>
    <row r="51" spans="1:21" x14ac:dyDescent="0.3">
      <c r="A51" s="3" t="s">
        <v>19</v>
      </c>
      <c r="B51" s="3" t="s">
        <v>43</v>
      </c>
      <c r="C51" s="3"/>
      <c r="D51" s="3" t="s">
        <v>44</v>
      </c>
      <c r="E51" s="3" t="s">
        <v>93</v>
      </c>
      <c r="F51" s="3" t="s">
        <v>7</v>
      </c>
      <c r="G51" s="4"/>
      <c r="H51" s="5" t="str">
        <f t="shared" si="0"/>
        <v>Defs</v>
      </c>
      <c r="I51" t="str">
        <f>IF(Table2[[#This Row],[!Type]]=I$1, I$1,"rg:None")</f>
        <v>rg:None</v>
      </c>
      <c r="J51" t="str">
        <f>IF(Table2[[#This Row],[!Type]]=J$1, J$1,"rg:None")</f>
        <v>datetime</v>
      </c>
      <c r="K51" t="str">
        <f>IF(Table2[[#This Row],[!Type]]=K$1, K$1,"rg:None")</f>
        <v>rg:None</v>
      </c>
      <c r="L51" s="10" t="str">
        <f>IF(Table2[[#This Row],[!Type]]=L$1, L$1,"rg:None")</f>
        <v>rg:None</v>
      </c>
      <c r="M51" s="5" t="str">
        <f>IF(Table2[[#This Row],[!Type]]=M$1, M$1,"rg:None")</f>
        <v>rg:None</v>
      </c>
      <c r="N51" s="5" t="str">
        <f>IF(Table2[[#This Row],[!Type]]=N$1, N$1,"rg:None")</f>
        <v>rg:None</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nextInspectionDate</v>
      </c>
      <c r="S51" s="10" t="str">
        <f>IF(LEN(Table2[[#This Row],[!Description]]) &gt; 0, Table2[[#This Row],[!Description]], "rg:None")</f>
        <v>The calculated next inspection date from across the School Buses associated with this School Bus Owner</v>
      </c>
      <c r="T51" s="10" t="str">
        <f>IF(LEN(Table2[[#This Row],[!FK]])&gt;0,Table2[[#This Row],[!FK]],"rg:None")</f>
        <v>rg:None</v>
      </c>
      <c r="U51" s="10" t="str">
        <f>IF(LEN(concatif2(A:A,Table2[[#This Row],[!Table]],G:G,"Y",D:D,",")) &gt; 0,"rg:[ { 'req' : '"&amp;concatif2(A:A,Table2[[#This Row],[!Table]],G:G,"Y",D:D,"' }, { 'req': '")&amp;"'} ]","rg:[]")</f>
        <v>rg:[ { 'req' : 'id'} ]</v>
      </c>
    </row>
    <row r="52" spans="1:21" x14ac:dyDescent="0.3">
      <c r="A52" s="3" t="s">
        <v>19</v>
      </c>
      <c r="B52" s="3" t="s">
        <v>62</v>
      </c>
      <c r="C52" s="3"/>
      <c r="D52" s="3" t="s">
        <v>94</v>
      </c>
      <c r="E52" s="3" t="s">
        <v>95</v>
      </c>
      <c r="F52" s="3" t="s">
        <v>7</v>
      </c>
      <c r="G52" s="4"/>
      <c r="H52" s="5" t="str">
        <f t="shared" si="0"/>
        <v>Defs</v>
      </c>
      <c r="I52" t="str">
        <f>IF(Table2[[#This Row],[!Type]]=I$1, I$1,"rg:None")</f>
        <v>rg:None</v>
      </c>
      <c r="J52" t="str">
        <f>IF(Table2[[#This Row],[!Type]]=J$1, J$1,"rg:None")</f>
        <v>rg:None</v>
      </c>
      <c r="K52" t="str">
        <f>IF(Table2[[#This Row],[!Type]]=K$1, K$1,"rg:None")</f>
        <v>rg:None</v>
      </c>
      <c r="L52" s="10" t="str">
        <f>IF(Table2[[#This Row],[!Type]]=L$1, L$1,"rg:None")</f>
        <v>integer</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numberOfBuses</v>
      </c>
      <c r="S52" s="10" t="str">
        <f>IF(LEN(Table2[[#This Row],[!Description]]) &gt; 0, Table2[[#This Row],[!Description]], "rg:None")</f>
        <v>The calculated count of the number of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107</v>
      </c>
      <c r="C53" s="3"/>
      <c r="D53" s="3" t="s">
        <v>96</v>
      </c>
      <c r="E53" s="3" t="s">
        <v>7</v>
      </c>
      <c r="F53" s="3" t="s">
        <v>91</v>
      </c>
      <c r="G53" s="4"/>
      <c r="H53" s="5" t="str">
        <f t="shared" si="0"/>
        <v>Defs</v>
      </c>
      <c r="I53" t="str">
        <f>IF(Table2[[#This Row],[!Type]]=I$1, I$1,"rg:None")</f>
        <v>rg:None</v>
      </c>
      <c r="J53" t="str">
        <f>IF(Table2[[#This Row],[!Type]]=J$1, J$1,"rg:None")</f>
        <v>rg:None</v>
      </c>
      <c r="K53" t="str">
        <f>IF(Table2[[#This Row],[!Type]]=K$1, K$1,"rg:None")</f>
        <v>rg:None</v>
      </c>
      <c r="L53" s="10" t="str">
        <f>IF(Table2[[#This Row],[!Type]]=L$1, L$1,"rg:None")</f>
        <v>rg:None</v>
      </c>
      <c r="M53" s="5" t="str">
        <f>IF(Table2[[#This Row],[!Type]]=M$1, M$1,"rg:None")</f>
        <v>links</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contacts</v>
      </c>
      <c r="S53" s="10" t="str">
        <f>IF(LEN(Table2[[#This Row],[!Description]]) &gt; 0, Table2[[#This Row],[!Description]], "rg:None")</f>
        <v>rg:None</v>
      </c>
      <c r="T53" s="10" t="str">
        <f>IF(LEN(Table2[[#This Row],[!FK]])&gt;0,Table2[[#This Row],[!FK]],"rg:None")</f>
        <v>SchoolBusOwnerContact</v>
      </c>
      <c r="U53" s="10" t="str">
        <f>IF(LEN(concatif2(A:A,Table2[[#This Row],[!Table]],G:G,"Y",D:D,",")) &gt; 0,"rg:[ { 'req' : '"&amp;concatif2(A:A,Table2[[#This Row],[!Table]],G:G,"Y",D:D,"' }, { 'req': '")&amp;"'} ]","rg:[]")</f>
        <v>rg:[ { 'req' : 'id'} ]</v>
      </c>
    </row>
    <row r="54" spans="1:21" x14ac:dyDescent="0.3">
      <c r="A54" s="3" t="s">
        <v>97</v>
      </c>
      <c r="B54" s="3" t="s">
        <v>5</v>
      </c>
      <c r="C54" s="3"/>
      <c r="D54" s="3" t="s">
        <v>97</v>
      </c>
      <c r="E54" s="3" t="s">
        <v>7</v>
      </c>
      <c r="F54" s="3" t="s">
        <v>7</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rg:None</v>
      </c>
      <c r="N54" s="5" t="str">
        <f>IF(Table2[[#This Row],[!Type]]=N$1, N$1,"rg:None")</f>
        <v>rg:None</v>
      </c>
      <c r="O54" s="5" t="str">
        <f>IF(Table2[[#This Row],[!Type]]=O$1, O$1,"rg:None")</f>
        <v>rg:None</v>
      </c>
      <c r="P54" s="5" t="str">
        <f>IF(Table2[[#This Row],[!Type]]=P$1, P$1,"rg:None")</f>
        <v>table</v>
      </c>
      <c r="Q54" s="10" t="str">
        <f>IF(LEN(Table2[[#This Row],[!Length]]) &gt; 0, Table2[[#This Row],[!Length]], "rg:None")</f>
        <v>rg:None</v>
      </c>
      <c r="R54" s="10" t="str">
        <f>IF(LEN(Table2[[#This Row],[!Name]]) &gt; 0, Table2[[#This Row],[!Name]], "rg:None")</f>
        <v>SchoolBusOwnerAttachment</v>
      </c>
      <c r="S54" s="10" t="str">
        <f>IF(LEN(Table2[[#This Row],[!Description]]) &gt; 0, Table2[[#This Row],[!Description]], "rg:None")</f>
        <v>rg:None</v>
      </c>
      <c r="T54" s="10" t="str">
        <f>IF(LEN(Table2[[#This Row],[!FK]])&gt;0,Table2[[#This Row],[!FK]],"rg:None")</f>
        <v>rg:None</v>
      </c>
      <c r="U54" s="10" t="str">
        <f>IF(LEN(concatif2(A:A,Table2[[#This Row],[!Table]],G:G,"Y",D:D,",")) &gt; 0,"rg:[ { 'req' : '"&amp;concatif2(A:A,Table2[[#This Row],[!Table]],G:G,"Y",D:D,"' }, { 'req': '")&amp;"'} ]","rg:[]")</f>
        <v>rg:[ { 'req' : 'id'} ]</v>
      </c>
    </row>
    <row r="55" spans="1:21" x14ac:dyDescent="0.3">
      <c r="A55" s="3" t="s">
        <v>97</v>
      </c>
      <c r="B55" s="3" t="s">
        <v>8</v>
      </c>
      <c r="C55" s="3"/>
      <c r="D55" s="3" t="s">
        <v>8</v>
      </c>
      <c r="E55" s="3" t="s">
        <v>9</v>
      </c>
      <c r="F55" s="3" t="s">
        <v>7</v>
      </c>
      <c r="G55" s="4" t="s">
        <v>215</v>
      </c>
      <c r="H55" s="5" t="str">
        <f t="shared" si="0"/>
        <v>Defs</v>
      </c>
      <c r="I55" t="str">
        <f>IF(Table2[[#This Row],[!Type]]=I$1, I$1,"rg:None")</f>
        <v>rg:None</v>
      </c>
      <c r="J55" t="str">
        <f>IF(Table2[[#This Row],[!Type]]=J$1, J$1,"rg:None")</f>
        <v>rg:None</v>
      </c>
      <c r="K55" t="str">
        <f>IF(Table2[[#This Row],[!Type]]=K$1, K$1,"rg:None")</f>
        <v>id</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rg:None</v>
      </c>
      <c r="Q55" s="10" t="str">
        <f>IF(LEN(Table2[[#This Row],[!Length]]) &gt; 0, Table2[[#This Row],[!Length]], "rg:None")</f>
        <v>rg:None</v>
      </c>
      <c r="R55" s="10" t="str">
        <f>IF(LEN(Table2[[#This Row],[!Name]]) &gt; 0, Table2[[#This Row],[!Name]], "rg:None")</f>
        <v>id</v>
      </c>
      <c r="S55" s="10" t="str">
        <f>IF(LEN(Table2[[#This Row],[!Description]]) &gt; 0, Table2[[#This Row],[!Description]], "rg:None")</f>
        <v>Primary Key</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17</v>
      </c>
      <c r="C56" s="3"/>
      <c r="D56" s="3" t="s">
        <v>18</v>
      </c>
      <c r="E56" s="3" t="s">
        <v>7</v>
      </c>
      <c r="F56" s="3" t="s">
        <v>19</v>
      </c>
      <c r="G56" s="4"/>
      <c r="H56" s="5" t="str">
        <f t="shared" si="0"/>
        <v>Defs</v>
      </c>
      <c r="I56" t="str">
        <f>IF(Table2[[#This Row],[!Type]]=I$1, I$1,"rg:None")</f>
        <v>rg:None</v>
      </c>
      <c r="J56" t="str">
        <f>IF(Table2[[#This Row],[!Type]]=J$1, J$1,"rg:None")</f>
        <v>rg:None</v>
      </c>
      <c r="K56" t="str">
        <f>IF(Table2[[#This Row],[!Type]]=K$1, K$1,"rg:None")</f>
        <v>rg:None</v>
      </c>
      <c r="L56" s="10" t="str">
        <f>IF(Table2[[#This Row],[!Type]]=L$1, L$1,"rg:None")</f>
        <v>rg:None</v>
      </c>
      <c r="M56" s="5" t="str">
        <f>IF(Table2[[#This Row],[!Type]]=M$1, M$1,"rg:None")</f>
        <v>rg:None</v>
      </c>
      <c r="N56" s="5" t="str">
        <f>IF(Table2[[#This Row],[!Type]]=N$1, N$1,"rg:None")</f>
        <v>ref</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schoolBusOwner</v>
      </c>
      <c r="S56" s="10" t="str">
        <f>IF(LEN(Table2[[#This Row],[!Description]]) &gt; 0, Table2[[#This Row],[!Description]], "rg:None")</f>
        <v>rg:None</v>
      </c>
      <c r="T56" s="10" t="str">
        <f>IF(LEN(Table2[[#This Row],[!FK]])&gt;0,Table2[[#This Row],[!FK]],"rg:None")</f>
        <v>SchoolBusOwner</v>
      </c>
      <c r="U56" s="10" t="str">
        <f>IF(LEN(concatif2(A:A,Table2[[#This Row],[!Table]],G:G,"Y",D:D,",")) &gt; 0,"rg:[ { 'req' : '"&amp;concatif2(A:A,Table2[[#This Row],[!Table]],G:G,"Y",D:D,"' }, { 'req': '")&amp;"'} ]","rg:[]")</f>
        <v>rg:[ { 'req' : 'id'} ]</v>
      </c>
    </row>
    <row r="57" spans="1:21" x14ac:dyDescent="0.3">
      <c r="A57" s="3" t="s">
        <v>97</v>
      </c>
      <c r="B57" s="3" t="s">
        <v>10</v>
      </c>
      <c r="C57" s="3"/>
      <c r="D57" s="3" t="s">
        <v>76</v>
      </c>
      <c r="E57" s="3" t="s">
        <v>77</v>
      </c>
      <c r="F57" s="3" t="s">
        <v>7</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rg:None</v>
      </c>
      <c r="O57" s="5" t="str">
        <f>IF(Table2[[#This Row],[!Type]]=O$1, O$1,"rg:None")</f>
        <v>string</v>
      </c>
      <c r="P57" s="5" t="str">
        <f>IF(Table2[[#This Row],[!Type]]=P$1, P$1,"rg:None")</f>
        <v>rg:None</v>
      </c>
      <c r="Q57" s="10" t="str">
        <f>IF(LEN(Table2[[#This Row],[!Length]]) &gt; 0, Table2[[#This Row],[!Length]], "rg:None")</f>
        <v>rg:None</v>
      </c>
      <c r="R57" s="10" t="str">
        <f>IF(LEN(Table2[[#This Row],[!Name]]) &gt; 0, Table2[[#This Row],[!Name]], "rg:None")</f>
        <v>internalFileName</v>
      </c>
      <c r="S57" s="10" t="str">
        <f>IF(LEN(Table2[[#This Row],[!Description]]) &gt; 0, Table2[[#This Row],[!Description]], "rg:None")</f>
        <v>The physical location of the attachment on the file system.</v>
      </c>
      <c r="T57" s="10" t="str">
        <f>IF(LEN(Table2[[#This Row],[!FK]])&gt;0,Table2[[#This Row],[!FK]],"rg:None")</f>
        <v>rg:None</v>
      </c>
      <c r="U57" s="10" t="str">
        <f>IF(LEN(concatif2(A:A,Table2[[#This Row],[!Table]],G:G,"Y",D:D,",")) &gt; 0,"rg:[ { 'req' : '"&amp;concatif2(A:A,Table2[[#This Row],[!Table]],G:G,"Y",D:D,"' }, { 'req': '")&amp;"'} ]","rg:[]")</f>
        <v>rg:[ { 'req' : 'id'} ]</v>
      </c>
    </row>
    <row r="58" spans="1:21" x14ac:dyDescent="0.3">
      <c r="A58" s="3" t="s">
        <v>97</v>
      </c>
      <c r="B58" s="3" t="s">
        <v>10</v>
      </c>
      <c r="C58" s="3"/>
      <c r="D58" s="3" t="s">
        <v>78</v>
      </c>
      <c r="E58" s="3" t="s">
        <v>79</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externalFileName</v>
      </c>
      <c r="S58" s="10" t="str">
        <f>IF(LEN(Table2[[#This Row],[!Description]]) &gt; 0, Table2[[#This Row],[!Description]], "rg:None")</f>
        <v>The name of the attachment as defined by the user in uploading the document.</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80</v>
      </c>
      <c r="E59" s="3" t="s">
        <v>81</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description</v>
      </c>
      <c r="S59" s="10" t="str">
        <f>IF(LEN(Table2[[#This Row],[!Description]]) &gt; 0, Table2[[#This Row],[!Description]], "rg:None")</f>
        <v>A note about the attachment,  optionally maintained by the user.</v>
      </c>
      <c r="T59" s="10" t="str">
        <f>IF(LEN(Table2[[#This Row],[!FK]])&gt;0,Table2[[#This Row],[!FK]],"rg:None")</f>
        <v>rg:None</v>
      </c>
      <c r="U59" s="10" t="str">
        <f>IF(LEN(concatif2(A:A,Table2[[#This Row],[!Table]],G:G,"Y",D:D,",")) &gt; 0,"rg:[ { 'req' : '"&amp;concatif2(A:A,Table2[[#This Row],[!Table]],G:G,"Y",D:D,"' }, { 'req': '")&amp;"'} ]","rg:[]")</f>
        <v>rg:[ { 'req' : 'id'} ]</v>
      </c>
    </row>
    <row r="60" spans="1:21" x14ac:dyDescent="0.3">
      <c r="A60" s="3" t="s">
        <v>98</v>
      </c>
      <c r="B60" s="3" t="s">
        <v>5</v>
      </c>
      <c r="C60" s="3"/>
      <c r="D60" s="3" t="s">
        <v>98</v>
      </c>
      <c r="E60" s="3" t="s">
        <v>7</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rg:None</v>
      </c>
      <c r="P60" s="5" t="str">
        <f>IF(Table2[[#This Row],[!Type]]=P$1, P$1,"rg:None")</f>
        <v>table</v>
      </c>
      <c r="Q60" s="10" t="str">
        <f>IF(LEN(Table2[[#This Row],[!Length]]) &gt; 0, Table2[[#This Row],[!Length]], "rg:None")</f>
        <v>rg:None</v>
      </c>
      <c r="R60" s="10" t="str">
        <f>IF(LEN(Table2[[#This Row],[!Name]]) &gt; 0, Table2[[#This Row],[!Name]], "rg:None")</f>
        <v>SchoolBusOwnerNote</v>
      </c>
      <c r="S60" s="10" t="str">
        <f>IF(LEN(Table2[[#This Row],[!Description]]) &gt; 0, Table2[[#This Row],[!Description]], "rg:None")</f>
        <v>rg:None</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8</v>
      </c>
      <c r="C61" s="3"/>
      <c r="D61" s="3" t="s">
        <v>8</v>
      </c>
      <c r="E61" s="3" t="s">
        <v>9</v>
      </c>
      <c r="F61" s="3" t="s">
        <v>7</v>
      </c>
      <c r="G61" s="4" t="s">
        <v>215</v>
      </c>
      <c r="H61" s="5" t="str">
        <f t="shared" si="0"/>
        <v>Defs</v>
      </c>
      <c r="I61" t="str">
        <f>IF(Table2[[#This Row],[!Type]]=I$1, I$1,"rg:None")</f>
        <v>rg:None</v>
      </c>
      <c r="J61" t="str">
        <f>IF(Table2[[#This Row],[!Type]]=J$1, J$1,"rg:None")</f>
        <v>rg:None</v>
      </c>
      <c r="K61" t="str">
        <f>IF(Table2[[#This Row],[!Type]]=K$1, K$1,"rg:None")</f>
        <v>id</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rg:None</v>
      </c>
      <c r="Q61" s="10" t="str">
        <f>IF(LEN(Table2[[#This Row],[!Length]]) &gt; 0, Table2[[#This Row],[!Length]], "rg:None")</f>
        <v>rg:None</v>
      </c>
      <c r="R61" s="10" t="str">
        <f>IF(LEN(Table2[[#This Row],[!Name]]) &gt; 0, Table2[[#This Row],[!Name]], "rg:None")</f>
        <v>id</v>
      </c>
      <c r="S61" s="10" t="str">
        <f>IF(LEN(Table2[[#This Row],[!Description]]) &gt; 0, Table2[[#This Row],[!Description]], "rg:None")</f>
        <v>Primary Key</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24</v>
      </c>
      <c r="C62" s="3"/>
      <c r="D62" s="3" t="s">
        <v>71</v>
      </c>
      <c r="E62" s="3" t="s">
        <v>72</v>
      </c>
      <c r="F62" s="3" t="s">
        <v>7</v>
      </c>
      <c r="G62" s="4"/>
      <c r="H62" s="5" t="str">
        <f t="shared" si="0"/>
        <v>Defs</v>
      </c>
      <c r="I62" t="str">
        <f>IF(Table2[[#This Row],[!Type]]=I$1, I$1,"rg:None")</f>
        <v>boolean</v>
      </c>
      <c r="J62" t="str">
        <f>IF(Table2[[#This Row],[!Type]]=J$1, J$1,"rg:None")</f>
        <v>rg:None</v>
      </c>
      <c r="K62" t="str">
        <f>IF(Table2[[#This Row],[!Type]]=K$1, K$1,"rg:None")</f>
        <v>rg:None</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isNoLongerRelevant</v>
      </c>
      <c r="S62" s="10" t="str">
        <f>IF(LEN(Table2[[#This Row],[!Description]]) &gt; 0, Table2[[#This Row],[!Description]], "rg:None")</f>
        <v>A user set flag that the note is no longer relevant. Allows the note to be retained for historical reasons,  but identified to the user as no longer relevant.</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10</v>
      </c>
      <c r="C63" s="3"/>
      <c r="D63" s="3" t="s">
        <v>69</v>
      </c>
      <c r="E63" s="3" t="s">
        <v>70</v>
      </c>
      <c r="F63" s="3" t="s">
        <v>7</v>
      </c>
      <c r="G63" s="4"/>
      <c r="H63" s="5" t="str">
        <f t="shared" si="0"/>
        <v>Defs</v>
      </c>
      <c r="I63" t="str">
        <f>IF(Table2[[#This Row],[!Type]]=I$1, I$1,"rg:None")</f>
        <v>rg:None</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string</v>
      </c>
      <c r="P63" s="5" t="str">
        <f>IF(Table2[[#This Row],[!Type]]=P$1, P$1,"rg:None")</f>
        <v>rg:None</v>
      </c>
      <c r="Q63" s="10" t="str">
        <f>IF(LEN(Table2[[#This Row],[!Length]]) &gt; 0, Table2[[#This Row],[!Length]], "rg:None")</f>
        <v>rg:None</v>
      </c>
      <c r="R63" s="10" t="str">
        <f>IF(LEN(Table2[[#This Row],[!Name]]) &gt; 0, Table2[[#This Row],[!Name]], "rg:None")</f>
        <v>note</v>
      </c>
      <c r="S63" s="10" t="str">
        <f>IF(LEN(Table2[[#This Row],[!Description]]) &gt; 0, Table2[[#This Row],[!Description]], "rg:None")</f>
        <v>The contents of the note.</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17</v>
      </c>
      <c r="C64" s="3"/>
      <c r="D64" s="3" t="s">
        <v>18</v>
      </c>
      <c r="E64" s="3" t="s">
        <v>7</v>
      </c>
      <c r="F64" s="3" t="s">
        <v>19</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ref</v>
      </c>
      <c r="O64" s="5" t="str">
        <f>IF(Table2[[#This Row],[!Type]]=O$1, O$1,"rg:None")</f>
        <v>rg:None</v>
      </c>
      <c r="P64" s="5" t="str">
        <f>IF(Table2[[#This Row],[!Type]]=P$1, P$1,"rg:None")</f>
        <v>rg:None</v>
      </c>
      <c r="Q64" s="10" t="str">
        <f>IF(LEN(Table2[[#This Row],[!Length]]) &gt; 0, Table2[[#This Row],[!Length]], "rg:None")</f>
        <v>rg:None</v>
      </c>
      <c r="R64" s="10" t="str">
        <f>IF(LEN(Table2[[#This Row],[!Name]]) &gt; 0, Table2[[#This Row],[!Name]], "rg:None")</f>
        <v>schoolBusOwner</v>
      </c>
      <c r="S64" s="10" t="str">
        <f>IF(LEN(Table2[[#This Row],[!Description]]) &gt; 0, Table2[[#This Row],[!Description]], "rg:None")</f>
        <v>rg:None</v>
      </c>
      <c r="T64" s="10" t="str">
        <f>IF(LEN(Table2[[#This Row],[!FK]])&gt;0,Table2[[#This Row],[!FK]],"rg:None")</f>
        <v>SchoolBusOwner</v>
      </c>
      <c r="U64" s="10" t="str">
        <f>IF(LEN(concatif2(A:A,Table2[[#This Row],[!Table]],G:G,"Y",D:D,",")) &gt; 0,"rg:[ { 'req' : '"&amp;concatif2(A:A,Table2[[#This Row],[!Table]],G:G,"Y",D:D,"' }, { 'req': '")&amp;"'} ]","rg:[]")</f>
        <v>rg:[ { 'req' : 'id'} ]</v>
      </c>
    </row>
    <row r="65" spans="1:21" x14ac:dyDescent="0.3">
      <c r="A65" s="3" t="s">
        <v>91</v>
      </c>
      <c r="B65" s="3" t="s">
        <v>5</v>
      </c>
      <c r="C65" s="3"/>
      <c r="D65" s="3" t="s">
        <v>91</v>
      </c>
      <c r="E65" s="3" t="s">
        <v>7</v>
      </c>
      <c r="F65" s="3" t="s">
        <v>7</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rg:None</v>
      </c>
      <c r="O65" s="5" t="str">
        <f>IF(Table2[[#This Row],[!Type]]=O$1, O$1,"rg:None")</f>
        <v>rg:None</v>
      </c>
      <c r="P65" s="5" t="str">
        <f>IF(Table2[[#This Row],[!Type]]=P$1, P$1,"rg:None")</f>
        <v>table</v>
      </c>
      <c r="Q65" s="10" t="str">
        <f>IF(LEN(Table2[[#This Row],[!Length]]) &gt; 0, Table2[[#This Row],[!Length]], "rg:None")</f>
        <v>rg:None</v>
      </c>
      <c r="R65" s="10" t="str">
        <f>IF(LEN(Table2[[#This Row],[!Name]]) &gt; 0, Table2[[#This Row],[!Name]], "rg:None")</f>
        <v>SchoolBusOwnerContact</v>
      </c>
      <c r="S65" s="10" t="str">
        <f>IF(LEN(Table2[[#This Row],[!Description]]) &gt; 0, Table2[[#This Row],[!Description]], "rg:None")</f>
        <v>rg:None</v>
      </c>
      <c r="T65" s="10" t="str">
        <f>IF(LEN(Table2[[#This Row],[!FK]])&gt;0,Table2[[#This Row],[!FK]],"rg:None")</f>
        <v>rg:None</v>
      </c>
      <c r="U65" s="10" t="str">
        <f>IF(LEN(concatif2(A:A,Table2[[#This Row],[!Table]],G:G,"Y",D:D,",")) &gt; 0,"rg:[ { 'req' : '"&amp;concatif2(A:A,Table2[[#This Row],[!Table]],G:G,"Y",D:D,"' }, { 'req': '")&amp;"'} ]","rg:[]")</f>
        <v>rg:[ { 'req' : 'id'} ]</v>
      </c>
    </row>
    <row r="66" spans="1:21" x14ac:dyDescent="0.3">
      <c r="A66" s="3" t="s">
        <v>91</v>
      </c>
      <c r="B66" s="3" t="s">
        <v>8</v>
      </c>
      <c r="C66" s="3"/>
      <c r="D66" s="3" t="s">
        <v>8</v>
      </c>
      <c r="E66" s="3" t="s">
        <v>9</v>
      </c>
      <c r="F66" s="3" t="s">
        <v>7</v>
      </c>
      <c r="G66" s="4" t="s">
        <v>215</v>
      </c>
      <c r="H66" s="5" t="str">
        <f t="shared" ref="H66:H129" si="1">IF(LEN(A66) &gt; 0,"Defs","-")</f>
        <v>Defs</v>
      </c>
      <c r="I66" t="str">
        <f>IF(Table2[[#This Row],[!Type]]=I$1, I$1,"rg:None")</f>
        <v>rg:None</v>
      </c>
      <c r="J66" t="str">
        <f>IF(Table2[[#This Row],[!Type]]=J$1, J$1,"rg:None")</f>
        <v>rg:None</v>
      </c>
      <c r="K66" t="str">
        <f>IF(Table2[[#This Row],[!Type]]=K$1, K$1,"rg:None")</f>
        <v>id</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rg:None</v>
      </c>
      <c r="Q66" s="10" t="str">
        <f>IF(LEN(Table2[[#This Row],[!Length]]) &gt; 0, Table2[[#This Row],[!Length]], "rg:None")</f>
        <v>rg:None</v>
      </c>
      <c r="R66" s="10" t="str">
        <f>IF(LEN(Table2[[#This Row],[!Name]]) &gt; 0, Table2[[#This Row],[!Name]], "rg:None")</f>
        <v>id</v>
      </c>
      <c r="S66" s="10" t="str">
        <f>IF(LEN(Table2[[#This Row],[!Description]]) &gt; 0, Table2[[#This Row],[!Description]], "rg:None")</f>
        <v>Primary Key</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10</v>
      </c>
      <c r="C67" s="3"/>
      <c r="D67" s="3" t="s">
        <v>99</v>
      </c>
      <c r="E67" s="3" t="s">
        <v>100</v>
      </c>
      <c r="F67" s="3" t="s">
        <v>7</v>
      </c>
      <c r="G67" s="4"/>
      <c r="H67" s="5" t="str">
        <f t="shared" si="1"/>
        <v>Defs</v>
      </c>
      <c r="I67" t="str">
        <f>IF(Table2[[#This Row],[!Type]]=I$1, I$1,"rg:None")</f>
        <v>rg:None</v>
      </c>
      <c r="J67" t="str">
        <f>IF(Table2[[#This Row],[!Type]]=J$1, J$1,"rg:None")</f>
        <v>rg:None</v>
      </c>
      <c r="K67" t="str">
        <f>IF(Table2[[#This Row],[!Type]]=K$1, K$1,"rg:None")</f>
        <v>rg:None</v>
      </c>
      <c r="L67" s="10" t="str">
        <f>IF(Table2[[#This Row],[!Type]]=L$1, L$1,"rg:None")</f>
        <v>rg:None</v>
      </c>
      <c r="M67" s="5" t="str">
        <f>IF(Table2[[#This Row],[!Type]]=M$1, M$1,"rg:None")</f>
        <v>rg:None</v>
      </c>
      <c r="N67" s="5" t="str">
        <f>IF(Table2[[#This Row],[!Type]]=N$1, N$1,"rg:None")</f>
        <v>rg:None</v>
      </c>
      <c r="O67" s="5" t="str">
        <f>IF(Table2[[#This Row],[!Type]]=O$1, O$1,"rg:None")</f>
        <v>string</v>
      </c>
      <c r="P67" s="5" t="str">
        <f>IF(Table2[[#This Row],[!Type]]=P$1, P$1,"rg:None")</f>
        <v>rg:None</v>
      </c>
      <c r="Q67" s="10" t="str">
        <f>IF(LEN(Table2[[#This Row],[!Length]]) &gt; 0, Table2[[#This Row],[!Length]], "rg:None")</f>
        <v>rg:None</v>
      </c>
      <c r="R67" s="10" t="str">
        <f>IF(LEN(Table2[[#This Row],[!Name]]) &gt; 0, Table2[[#This Row],[!Name]], "rg:None")</f>
        <v>givenName</v>
      </c>
      <c r="S67" s="10" t="str">
        <f>IF(LEN(Table2[[#This Row],[!Description]]) &gt; 0, Table2[[#This Row],[!Description]], "rg:None")</f>
        <v>The given name of the contact.</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101</v>
      </c>
      <c r="E68" s="3" t="s">
        <v>102</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surname</v>
      </c>
      <c r="S68" s="10" t="str">
        <f>IF(LEN(Table2[[#This Row],[!Description]]) &gt; 0, Table2[[#This Row],[!Description]], "rg:None")</f>
        <v>The surname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103</v>
      </c>
      <c r="E69" s="3" t="s">
        <v>104</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role</v>
      </c>
      <c r="S69" s="10" t="str">
        <f>IF(LEN(Table2[[#This Row],[!Description]]) &gt; 0, Table2[[#This Row],[!Description]], "rg:None")</f>
        <v>The role of the contact. UI controlled as to whether it is free form or selected from an enumerated list.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105</v>
      </c>
      <c r="E70" s="3" t="s">
        <v>106</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notes</v>
      </c>
      <c r="S70" s="10" t="str">
        <f>IF(LEN(Table2[[#This Row],[!Description]]) &gt; 0, Table2[[#This Row],[!Description]], "rg:None")</f>
        <v>Notes about the contact.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107</v>
      </c>
      <c r="C71" s="3"/>
      <c r="D71" s="3" t="s">
        <v>108</v>
      </c>
      <c r="E71" s="3" t="s">
        <v>7</v>
      </c>
      <c r="F71" s="3" t="s">
        <v>110</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links</v>
      </c>
      <c r="N71" s="5" t="str">
        <f>IF(Table2[[#This Row],[!Type]]=N$1, N$1,"rg:None")</f>
        <v>rg:None</v>
      </c>
      <c r="O71" s="5" t="str">
        <f>IF(Table2[[#This Row],[!Type]]=O$1, O$1,"rg:None")</f>
        <v>rg:None</v>
      </c>
      <c r="P71" s="5" t="str">
        <f>IF(Table2[[#This Row],[!Type]]=P$1, P$1,"rg:None")</f>
        <v>rg:None</v>
      </c>
      <c r="Q71" s="10" t="str">
        <f>IF(LEN(Table2[[#This Row],[!Length]]) &gt; 0, Table2[[#This Row],[!Length]], "rg:None")</f>
        <v>rg:None</v>
      </c>
      <c r="R71" s="10" t="str">
        <f>IF(LEN(Table2[[#This Row],[!Name]]) &gt; 0, Table2[[#This Row],[!Name]], "rg:None")</f>
        <v>schoolBusOwnerContactPhones</v>
      </c>
      <c r="S71" s="10" t="str">
        <f>IF(LEN(Table2[[#This Row],[!Description]]) &gt; 0, Table2[[#This Row],[!Description]], "rg:None")</f>
        <v>rg:None</v>
      </c>
      <c r="T71" s="10" t="str">
        <f>IF(LEN(Table2[[#This Row],[!FK]])&gt;0,Table2[[#This Row],[!FK]],"rg:None")</f>
        <v>SchoolBusOwnerContactPhone</v>
      </c>
      <c r="U71" s="10" t="str">
        <f>IF(LEN(concatif2(A:A,Table2[[#This Row],[!Table]],G:G,"Y",D:D,",")) &gt; 0,"rg:[ { 'req' : '"&amp;concatif2(A:A,Table2[[#This Row],[!Table]],G:G,"Y",D:D,"' }, { 'req': '")&amp;"'} ]","rg:[]")</f>
        <v>rg:[ { 'req' : 'id'} ]</v>
      </c>
    </row>
    <row r="72" spans="1:21" x14ac:dyDescent="0.3">
      <c r="A72" s="3" t="s">
        <v>91</v>
      </c>
      <c r="B72" s="3" t="s">
        <v>107</v>
      </c>
      <c r="C72" s="3"/>
      <c r="D72" s="3" t="s">
        <v>109</v>
      </c>
      <c r="E72" s="3" t="s">
        <v>7</v>
      </c>
      <c r="F72" s="3" t="s">
        <v>115</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schoolBusOwnerContactAddresses</v>
      </c>
      <c r="S72" s="10" t="str">
        <f>IF(LEN(Table2[[#This Row],[!Description]]) &gt; 0, Table2[[#This Row],[!Description]], "rg:None")</f>
        <v>rg:None</v>
      </c>
      <c r="T72" s="10" t="str">
        <f>IF(LEN(Table2[[#This Row],[!FK]])&gt;0,Table2[[#This Row],[!FK]],"rg:None")</f>
        <v>SchoolBusOwnerContactAddress</v>
      </c>
      <c r="U72" s="10" t="str">
        <f>IF(LEN(concatif2(A:A,Table2[[#This Row],[!Table]],G:G,"Y",D:D,",")) &gt; 0,"rg:[ { 'req' : '"&amp;concatif2(A:A,Table2[[#This Row],[!Table]],G:G,"Y",D:D,"' }, { 'req': '")&amp;"'} ]","rg:[]")</f>
        <v>rg:[ { 'req' : 'id'} ]</v>
      </c>
    </row>
    <row r="73" spans="1:21" x14ac:dyDescent="0.3">
      <c r="A73" s="3" t="s">
        <v>110</v>
      </c>
      <c r="B73" s="3" t="s">
        <v>5</v>
      </c>
      <c r="C73" s="3"/>
      <c r="D73" s="3" t="s">
        <v>110</v>
      </c>
      <c r="E73" s="3" t="s">
        <v>7</v>
      </c>
      <c r="F73" s="3" t="s">
        <v>7</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rg:None</v>
      </c>
      <c r="N73" s="5" t="str">
        <f>IF(Table2[[#This Row],[!Type]]=N$1, N$1,"rg:None")</f>
        <v>rg:None</v>
      </c>
      <c r="O73" s="5" t="str">
        <f>IF(Table2[[#This Row],[!Type]]=O$1, O$1,"rg:None")</f>
        <v>rg:None</v>
      </c>
      <c r="P73" s="5" t="str">
        <f>IF(Table2[[#This Row],[!Type]]=P$1, P$1,"rg:None")</f>
        <v>table</v>
      </c>
      <c r="Q73" s="10" t="str">
        <f>IF(LEN(Table2[[#This Row],[!Length]]) &gt; 0, Table2[[#This Row],[!Length]], "rg:None")</f>
        <v>rg:None</v>
      </c>
      <c r="R73" s="10" t="str">
        <f>IF(LEN(Table2[[#This Row],[!Name]]) &gt; 0, Table2[[#This Row],[!Name]], "rg:None")</f>
        <v>SchoolBusOwnerContactPhone</v>
      </c>
      <c r="S73" s="10" t="str">
        <f>IF(LEN(Table2[[#This Row],[!Description]]) &gt; 0, Table2[[#This Row],[!Description]], "rg:None")</f>
        <v>rg:None</v>
      </c>
      <c r="T73" s="10" t="str">
        <f>IF(LEN(Table2[[#This Row],[!FK]])&gt;0,Table2[[#This Row],[!FK]],"rg:None")</f>
        <v>rg:None</v>
      </c>
      <c r="U73" s="10" t="str">
        <f>IF(LEN(concatif2(A:A,Table2[[#This Row],[!Table]],G:G,"Y",D:D,",")) &gt; 0,"rg:[ { 'req' : '"&amp;concatif2(A:A,Table2[[#This Row],[!Table]],G:G,"Y",D:D,"' }, { 'req': '")&amp;"'} ]","rg:[]")</f>
        <v>rg:[ { 'req' : 'id'} ]</v>
      </c>
    </row>
    <row r="74" spans="1:21" x14ac:dyDescent="0.3">
      <c r="A74" s="3" t="s">
        <v>110</v>
      </c>
      <c r="B74" s="3" t="s">
        <v>8</v>
      </c>
      <c r="C74" s="3"/>
      <c r="D74" s="3" t="s">
        <v>8</v>
      </c>
      <c r="E74" s="3" t="s">
        <v>9</v>
      </c>
      <c r="F74" s="3" t="s">
        <v>7</v>
      </c>
      <c r="G74" s="4" t="s">
        <v>215</v>
      </c>
      <c r="H74" s="5" t="str">
        <f t="shared" si="1"/>
        <v>Defs</v>
      </c>
      <c r="I74" t="str">
        <f>IF(Table2[[#This Row],[!Type]]=I$1, I$1,"rg:None")</f>
        <v>rg:None</v>
      </c>
      <c r="J74" t="str">
        <f>IF(Table2[[#This Row],[!Type]]=J$1, J$1,"rg:None")</f>
        <v>rg:None</v>
      </c>
      <c r="K74" t="str">
        <f>IF(Table2[[#This Row],[!Type]]=K$1, K$1,"rg:None")</f>
        <v>id</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rg:None</v>
      </c>
      <c r="Q74" s="10" t="str">
        <f>IF(LEN(Table2[[#This Row],[!Length]]) &gt; 0, Table2[[#This Row],[!Length]], "rg:None")</f>
        <v>rg:None</v>
      </c>
      <c r="R74" s="10" t="str">
        <f>IF(LEN(Table2[[#This Row],[!Name]]) &gt; 0, Table2[[#This Row],[!Name]], "rg:None")</f>
        <v>id</v>
      </c>
      <c r="S74" s="10" t="str">
        <f>IF(LEN(Table2[[#This Row],[!Description]]) &gt; 0, Table2[[#This Row],[!Description]], "rg:None")</f>
        <v>Primary Key</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10</v>
      </c>
      <c r="C75" s="3"/>
      <c r="D75" s="3" t="s">
        <v>111</v>
      </c>
      <c r="E75" s="3" t="s">
        <v>112</v>
      </c>
      <c r="F75" s="3" t="s">
        <v>7</v>
      </c>
      <c r="G75" s="4"/>
      <c r="H75" s="5" t="str">
        <f t="shared" si="1"/>
        <v>Defs</v>
      </c>
      <c r="I75" t="str">
        <f>IF(Table2[[#This Row],[!Type]]=I$1, I$1,"rg:None")</f>
        <v>rg:None</v>
      </c>
      <c r="J75" t="str">
        <f>IF(Table2[[#This Row],[!Type]]=J$1, J$1,"rg:None")</f>
        <v>rg:None</v>
      </c>
      <c r="K75" t="str">
        <f>IF(Table2[[#This Row],[!Type]]=K$1, K$1,"rg:None")</f>
        <v>rg:None</v>
      </c>
      <c r="L75" s="10" t="str">
        <f>IF(Table2[[#This Row],[!Type]]=L$1, L$1,"rg:None")</f>
        <v>rg:None</v>
      </c>
      <c r="M75" s="5" t="str">
        <f>IF(Table2[[#This Row],[!Type]]=M$1, M$1,"rg:None")</f>
        <v>rg:None</v>
      </c>
      <c r="N75" s="5" t="str">
        <f>IF(Table2[[#This Row],[!Type]]=N$1, N$1,"rg:None")</f>
        <v>rg:None</v>
      </c>
      <c r="O75" s="5" t="str">
        <f>IF(Table2[[#This Row],[!Type]]=O$1, O$1,"rg:None")</f>
        <v>string</v>
      </c>
      <c r="P75" s="5" t="str">
        <f>IF(Table2[[#This Row],[!Type]]=P$1, P$1,"rg:None")</f>
        <v>rg:None</v>
      </c>
      <c r="Q75" s="10" t="str">
        <f>IF(LEN(Table2[[#This Row],[!Length]]) &gt; 0, Table2[[#This Row],[!Length]], "rg:None")</f>
        <v>rg:None</v>
      </c>
      <c r="R75" s="10" t="str">
        <f>IF(LEN(Table2[[#This Row],[!Name]]) &gt; 0, Table2[[#This Row],[!Name]], "rg:None")</f>
        <v>type</v>
      </c>
      <c r="S75" s="10" t="str">
        <f>IF(LEN(Table2[[#This Row],[!Description]]) &gt; 0, Table2[[#This Row],[!Description]], "rg:None")</f>
        <v>The type of the phone number. UI controlled as to whether it is free form or selected from an enumerated list.</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113</v>
      </c>
      <c r="E76" s="3" t="s">
        <v>114</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phoneNumber</v>
      </c>
      <c r="S76" s="10" t="str">
        <f>IF(LEN(Table2[[#This Row],[!Description]]) &gt; 0, Table2[[#This Row],[!Description]], "rg:None")</f>
        <v>The phone number of the contact. Entered as free form to support a range of formats.</v>
      </c>
      <c r="T76" s="10" t="str">
        <f>IF(LEN(Table2[[#This Row],[!FK]])&gt;0,Table2[[#This Row],[!FK]],"rg:None")</f>
        <v>rg:None</v>
      </c>
      <c r="U76" s="10" t="str">
        <f>IF(LEN(concatif2(A:A,Table2[[#This Row],[!Table]],G:G,"Y",D:D,",")) &gt; 0,"rg:[ { 'req' : '"&amp;concatif2(A:A,Table2[[#This Row],[!Table]],G:G,"Y",D:D,"' }, { 'req': '")&amp;"'} ]","rg:[]")</f>
        <v>rg:[ { 'req' : 'id'} ]</v>
      </c>
    </row>
    <row r="77" spans="1:21" x14ac:dyDescent="0.3">
      <c r="A77" s="3" t="s">
        <v>115</v>
      </c>
      <c r="B77" s="3" t="s">
        <v>5</v>
      </c>
      <c r="C77" s="3"/>
      <c r="D77" s="3" t="s">
        <v>115</v>
      </c>
      <c r="E77" s="3" t="s">
        <v>7</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rg:None</v>
      </c>
      <c r="P77" s="5" t="str">
        <f>IF(Table2[[#This Row],[!Type]]=P$1, P$1,"rg:None")</f>
        <v>table</v>
      </c>
      <c r="Q77" s="10" t="str">
        <f>IF(LEN(Table2[[#This Row],[!Length]]) &gt; 0, Table2[[#This Row],[!Length]], "rg:None")</f>
        <v>rg:None</v>
      </c>
      <c r="R77" s="10" t="str">
        <f>IF(LEN(Table2[[#This Row],[!Name]]) &gt; 0, Table2[[#This Row],[!Name]], "rg:None")</f>
        <v>SchoolBusOwnerContactAddress</v>
      </c>
      <c r="S77" s="10" t="str">
        <f>IF(LEN(Table2[[#This Row],[!Description]]) &gt; 0, Table2[[#This Row],[!Description]], "rg:None")</f>
        <v>rg:None</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8</v>
      </c>
      <c r="C78" s="3"/>
      <c r="D78" s="3" t="s">
        <v>8</v>
      </c>
      <c r="E78" s="3" t="s">
        <v>9</v>
      </c>
      <c r="F78" s="3" t="s">
        <v>7</v>
      </c>
      <c r="G78" s="4" t="s">
        <v>215</v>
      </c>
      <c r="H78" s="5" t="str">
        <f t="shared" si="1"/>
        <v>Defs</v>
      </c>
      <c r="I78" t="str">
        <f>IF(Table2[[#This Row],[!Type]]=I$1, I$1,"rg:None")</f>
        <v>rg:None</v>
      </c>
      <c r="J78" t="str">
        <f>IF(Table2[[#This Row],[!Type]]=J$1, J$1,"rg:None")</f>
        <v>rg:None</v>
      </c>
      <c r="K78" t="str">
        <f>IF(Table2[[#This Row],[!Type]]=K$1, K$1,"rg:None")</f>
        <v>id</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rg:None</v>
      </c>
      <c r="Q78" s="10" t="str">
        <f>IF(LEN(Table2[[#This Row],[!Length]]) &gt; 0, Table2[[#This Row],[!Length]], "rg:None")</f>
        <v>rg:None</v>
      </c>
      <c r="R78" s="10" t="str">
        <f>IF(LEN(Table2[[#This Row],[!Name]]) &gt; 0, Table2[[#This Row],[!Name]], "rg:None")</f>
        <v>id</v>
      </c>
      <c r="S78" s="10" t="str">
        <f>IF(LEN(Table2[[#This Row],[!Description]]) &gt; 0, Table2[[#This Row],[!Description]], "rg:None")</f>
        <v>Primary Key</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10</v>
      </c>
      <c r="C79" s="3"/>
      <c r="D79" s="3" t="s">
        <v>111</v>
      </c>
      <c r="E79" s="3" t="s">
        <v>116</v>
      </c>
      <c r="F79" s="3" t="s">
        <v>7</v>
      </c>
      <c r="G79" s="4"/>
      <c r="H79" s="5" t="str">
        <f t="shared" si="1"/>
        <v>Defs</v>
      </c>
      <c r="I79" t="str">
        <f>IF(Table2[[#This Row],[!Type]]=I$1, I$1,"rg:None")</f>
        <v>rg:None</v>
      </c>
      <c r="J79" t="str">
        <f>IF(Table2[[#This Row],[!Type]]=J$1, J$1,"rg:None")</f>
        <v>rg:None</v>
      </c>
      <c r="K79" t="str">
        <f>IF(Table2[[#This Row],[!Type]]=K$1, K$1,"rg:None")</f>
        <v>rg:None</v>
      </c>
      <c r="L79" s="10" t="str">
        <f>IF(Table2[[#This Row],[!Type]]=L$1, L$1,"rg:None")</f>
        <v>rg:None</v>
      </c>
      <c r="M79" s="5" t="str">
        <f>IF(Table2[[#This Row],[!Type]]=M$1, M$1,"rg:None")</f>
        <v>rg:None</v>
      </c>
      <c r="N79" s="5" t="str">
        <f>IF(Table2[[#This Row],[!Type]]=N$1, N$1,"rg:None")</f>
        <v>rg:None</v>
      </c>
      <c r="O79" s="5" t="str">
        <f>IF(Table2[[#This Row],[!Type]]=O$1, O$1,"rg:None")</f>
        <v>string</v>
      </c>
      <c r="P79" s="5" t="str">
        <f>IF(Table2[[#This Row],[!Type]]=P$1, P$1,"rg:None")</f>
        <v>rg:None</v>
      </c>
      <c r="Q79" s="10" t="str">
        <f>IF(LEN(Table2[[#This Row],[!Length]]) &gt; 0, Table2[[#This Row],[!Length]], "rg:None")</f>
        <v>rg:None</v>
      </c>
      <c r="R79" s="10" t="str">
        <f>IF(LEN(Table2[[#This Row],[!Name]]) &gt; 0, Table2[[#This Row],[!Name]], "rg:None")</f>
        <v>type</v>
      </c>
      <c r="S79" s="10" t="str">
        <f>IF(LEN(Table2[[#This Row],[!Description]]) &gt; 0, Table2[[#This Row],[!Description]], "rg:None")</f>
        <v>The type of the address. UI controlled as to whether it is free form or selected from an enumerated list.</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117</v>
      </c>
      <c r="E80" s="3" t="s">
        <v>118</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addr1</v>
      </c>
      <c r="S80" s="10" t="str">
        <f>IF(LEN(Table2[[#This Row],[!Description]]) &gt; 0, Table2[[#This Row],[!Description]], "rg:None")</f>
        <v>Address 1 line of the address.</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119</v>
      </c>
      <c r="E81" s="3" t="s">
        <v>120</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addr2</v>
      </c>
      <c r="S81" s="10" t="str">
        <f>IF(LEN(Table2[[#This Row],[!Description]]) &gt; 0, Table2[[#This Row],[!Description]], "rg:None")</f>
        <v>Address 2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121</v>
      </c>
      <c r="E82" s="3" t="s">
        <v>122</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city</v>
      </c>
      <c r="S82" s="10" t="str">
        <f>IF(LEN(Table2[[#This Row],[!Description]]) &gt; 0, Table2[[#This Row],[!Description]], "rg:None")</f>
        <v>The City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123</v>
      </c>
      <c r="E83" s="3" t="s">
        <v>124</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province</v>
      </c>
      <c r="S83" s="10" t="str">
        <f>IF(LEN(Table2[[#This Row],[!Description]]) &gt; 0, Table2[[#This Row],[!Description]], "rg:None")</f>
        <v>The Province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125</v>
      </c>
      <c r="E84" s="3" t="s">
        <v>126</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postalCode</v>
      </c>
      <c r="S84" s="10" t="str">
        <f>IF(LEN(Table2[[#This Row],[!Description]]) &gt; 0, Table2[[#This Row],[!Description]], "rg:None")</f>
        <v>The postal code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127</v>
      </c>
      <c r="B85" s="3" t="s">
        <v>5</v>
      </c>
      <c r="C85" s="3"/>
      <c r="D85" s="3" t="s">
        <v>127</v>
      </c>
      <c r="E85" s="3" t="s">
        <v>128</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rg:None</v>
      </c>
      <c r="P85" s="5" t="str">
        <f>IF(Table2[[#This Row],[!Type]]=P$1, P$1,"rg:None")</f>
        <v>table</v>
      </c>
      <c r="Q85" s="10" t="str">
        <f>IF(LEN(Table2[[#This Row],[!Length]]) &gt; 0, Table2[[#This Row],[!Length]], "rg:None")</f>
        <v>rg:None</v>
      </c>
      <c r="R85" s="10" t="str">
        <f>IF(LEN(Table2[[#This Row],[!Name]]) &gt; 0, Table2[[#This Row],[!Name]], "rg:None")</f>
        <v>SchoolBusOwnerHistory</v>
      </c>
      <c r="S85" s="10" t="str">
        <f>IF(LEN(Table2[[#This Row],[!Description]]) &gt; 0, Table2[[#This Row],[!Description]], "rg:None")</f>
        <v>The history of updates made to a School Bus Owner record. Exact format of the history TBD.</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8</v>
      </c>
      <c r="C86" s="3"/>
      <c r="D86" s="3" t="s">
        <v>8</v>
      </c>
      <c r="E86" s="3" t="s">
        <v>9</v>
      </c>
      <c r="F86" s="3" t="s">
        <v>7</v>
      </c>
      <c r="G86" s="4" t="s">
        <v>215</v>
      </c>
      <c r="H86" s="5" t="str">
        <f t="shared" si="1"/>
        <v>Defs</v>
      </c>
      <c r="I86" t="str">
        <f>IF(Table2[[#This Row],[!Type]]=I$1, I$1,"rg:None")</f>
        <v>rg:None</v>
      </c>
      <c r="J86" t="str">
        <f>IF(Table2[[#This Row],[!Type]]=J$1, J$1,"rg:None")</f>
        <v>rg:None</v>
      </c>
      <c r="K86" t="str">
        <f>IF(Table2[[#This Row],[!Type]]=K$1, K$1,"rg:None")</f>
        <v>id</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rg:None</v>
      </c>
      <c r="Q86" s="10" t="str">
        <f>IF(LEN(Table2[[#This Row],[!Length]]) &gt; 0, Table2[[#This Row],[!Length]], "rg:None")</f>
        <v>rg:None</v>
      </c>
      <c r="R86" s="10" t="str">
        <f>IF(LEN(Table2[[#This Row],[!Name]]) &gt; 0, Table2[[#This Row],[!Name]], "rg:None")</f>
        <v>id</v>
      </c>
      <c r="S86" s="10" t="str">
        <f>IF(LEN(Table2[[#This Row],[!Description]]) &gt; 0, Table2[[#This Row],[!Description]], "rg:None")</f>
        <v>Primary Key</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17</v>
      </c>
      <c r="C87" s="3"/>
      <c r="D87" s="3" t="s">
        <v>18</v>
      </c>
      <c r="E87" s="3" t="s">
        <v>7</v>
      </c>
      <c r="F87" s="3" t="s">
        <v>19</v>
      </c>
      <c r="G87" s="4"/>
      <c r="H87" s="5" t="str">
        <f t="shared" si="1"/>
        <v>Defs</v>
      </c>
      <c r="I87" t="str">
        <f>IF(Table2[[#This Row],[!Type]]=I$1, I$1,"rg:None")</f>
        <v>rg:None</v>
      </c>
      <c r="J87" t="str">
        <f>IF(Table2[[#This Row],[!Type]]=J$1, J$1,"rg:None")</f>
        <v>rg:None</v>
      </c>
      <c r="K87" t="str">
        <f>IF(Table2[[#This Row],[!Type]]=K$1, K$1,"rg:None")</f>
        <v>rg:None</v>
      </c>
      <c r="L87" s="10" t="str">
        <f>IF(Table2[[#This Row],[!Type]]=L$1, L$1,"rg:None")</f>
        <v>rg:None</v>
      </c>
      <c r="M87" s="5" t="str">
        <f>IF(Table2[[#This Row],[!Type]]=M$1, M$1,"rg:None")</f>
        <v>rg:None</v>
      </c>
      <c r="N87" s="5" t="str">
        <f>IF(Table2[[#This Row],[!Type]]=N$1, N$1,"rg:None")</f>
        <v>ref</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schoolBusOwner</v>
      </c>
      <c r="S87" s="10" t="str">
        <f>IF(LEN(Table2[[#This Row],[!Description]]) &gt; 0, Table2[[#This Row],[!Description]], "rg:None")</f>
        <v>rg:None</v>
      </c>
      <c r="T87" s="10" t="str">
        <f>IF(LEN(Table2[[#This Row],[!FK]])&gt;0,Table2[[#This Row],[!FK]],"rg:None")</f>
        <v>SchoolBusOwner</v>
      </c>
      <c r="U87" s="10" t="str">
        <f>IF(LEN(concatif2(A:A,Table2[[#This Row],[!Table]],G:G,"Y",D:D,",")) &gt; 0,"rg:[ { 'req' : '"&amp;concatif2(A:A,Table2[[#This Row],[!Table]],G:G,"Y",D:D,"' }, { 'req': '")&amp;"'} ]","rg:[]")</f>
        <v>rg:[ { 'req' : 'id'} ]</v>
      </c>
    </row>
    <row r="88" spans="1:21" x14ac:dyDescent="0.3">
      <c r="A88" s="3" t="s">
        <v>129</v>
      </c>
      <c r="B88" s="3" t="s">
        <v>5</v>
      </c>
      <c r="C88" s="3"/>
      <c r="D88" s="3" t="s">
        <v>129</v>
      </c>
      <c r="E88" s="3" t="s">
        <v>258</v>
      </c>
      <c r="F88" s="3" t="s">
        <v>7</v>
      </c>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rg:None</v>
      </c>
      <c r="O88" s="5" t="str">
        <f>IF(Table2[[#This Row],[!Type]]=O$1, O$1,"rg:None")</f>
        <v>rg:None</v>
      </c>
      <c r="P88" s="5" t="str">
        <f>IF(Table2[[#This Row],[!Type]]=P$1, P$1,"rg:None")</f>
        <v>table</v>
      </c>
      <c r="Q88" s="10" t="str">
        <f>IF(LEN(Table2[[#This Row],[!Length]]) &gt; 0, Table2[[#This Row],[!Length]], "rg:None")</f>
        <v>rg:None</v>
      </c>
      <c r="R88" s="10" t="str">
        <f>IF(LEN(Table2[[#This Row],[!Name]]) &gt; 0, Table2[[#This Row],[!Name]], "rg:None")</f>
        <v>CCWData</v>
      </c>
      <c r="S88"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8" s="10" t="str">
        <f>IF(LEN(Table2[[#This Row],[!FK]])&gt;0,Table2[[#This Row],[!FK]],"rg:None")</f>
        <v>rg:None</v>
      </c>
      <c r="U88" s="10" t="str">
        <f>IF(LEN(concatif2(A:A,Table2[[#This Row],[!Table]],G:G,"Y",D:D,",")) &gt; 0,"rg:[ { 'req' : '"&amp;concatif2(A:A,Table2[[#This Row],[!Table]],G:G,"Y",D:D,"' }, { 'req': '")&amp;"'} ]","rg:[]")</f>
        <v>rg:[ { 'req' : 'id'} ]</v>
      </c>
    </row>
    <row r="89" spans="1:21" x14ac:dyDescent="0.3">
      <c r="A89" s="3" t="s">
        <v>129</v>
      </c>
      <c r="B89" s="3" t="s">
        <v>8</v>
      </c>
      <c r="C89" s="3"/>
      <c r="D89" s="3" t="s">
        <v>8</v>
      </c>
      <c r="E89" s="3" t="s">
        <v>9</v>
      </c>
      <c r="F89" s="3" t="s">
        <v>7</v>
      </c>
      <c r="G89" s="4" t="s">
        <v>215</v>
      </c>
      <c r="H89" s="5" t="str">
        <f t="shared" si="1"/>
        <v>Defs</v>
      </c>
      <c r="I89" t="str">
        <f>IF(Table2[[#This Row],[!Type]]=I$1, I$1,"rg:None")</f>
        <v>rg:None</v>
      </c>
      <c r="J89" t="str">
        <f>IF(Table2[[#This Row],[!Type]]=J$1, J$1,"rg:None")</f>
        <v>rg:None</v>
      </c>
      <c r="K89" t="str">
        <f>IF(Table2[[#This Row],[!Type]]=K$1, K$1,"rg:None")</f>
        <v>id</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rg:None</v>
      </c>
      <c r="Q89" s="10" t="str">
        <f>IF(LEN(Table2[[#This Row],[!Length]]) &gt; 0, Table2[[#This Row],[!Length]], "rg:None")</f>
        <v>rg:None</v>
      </c>
      <c r="R89" s="10" t="str">
        <f>IF(LEN(Table2[[#This Row],[!Name]]) &gt; 0, Table2[[#This Row],[!Name]], "rg:None")</f>
        <v>id</v>
      </c>
      <c r="S89" s="10" t="str">
        <f>IF(LEN(Table2[[#This Row],[!Description]]) &gt; 0, Table2[[#This Row],[!Description]], "rg:None")</f>
        <v>Primary Key</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10</v>
      </c>
      <c r="C90" s="3"/>
      <c r="D90" s="5" t="s">
        <v>218</v>
      </c>
      <c r="E90" s="3" t="s">
        <v>130</v>
      </c>
      <c r="F90" s="3" t="s">
        <v>7</v>
      </c>
      <c r="H90" s="5" t="str">
        <f t="shared" si="1"/>
        <v>Defs</v>
      </c>
      <c r="I90" t="str">
        <f>IF(Table2[[#This Row],[!Type]]=I$1, I$1,"rg:None")</f>
        <v>rg:None</v>
      </c>
      <c r="J90" t="str">
        <f>IF(Table2[[#This Row],[!Type]]=J$1, J$1,"rg:None")</f>
        <v>rg:None</v>
      </c>
      <c r="K90" t="str">
        <f>IF(Table2[[#This Row],[!Type]]=K$1, K$1,"rg:None")</f>
        <v>rg:None</v>
      </c>
      <c r="L90" s="10" t="str">
        <f>IF(Table2[[#This Row],[!Type]]=L$1, L$1,"rg:None")</f>
        <v>rg:None</v>
      </c>
      <c r="M90" s="5" t="str">
        <f>IF(Table2[[#This Row],[!Type]]=M$1, M$1,"rg:None")</f>
        <v>rg:None</v>
      </c>
      <c r="N90" s="5" t="str">
        <f>IF(Table2[[#This Row],[!Type]]=N$1, N$1,"rg:None")</f>
        <v>rg:None</v>
      </c>
      <c r="O90" s="5" t="str">
        <f>IF(Table2[[#This Row],[!Type]]=O$1, O$1,"rg:None")</f>
        <v>string</v>
      </c>
      <c r="P90" s="5" t="str">
        <f>IF(Table2[[#This Row],[!Type]]=P$1, P$1,"rg:None")</f>
        <v>rg:None</v>
      </c>
      <c r="Q90" s="10" t="str">
        <f>IF(LEN(Table2[[#This Row],[!Length]]) &gt; 0, Table2[[#This Row],[!Length]], "rg:None")</f>
        <v>rg:None</v>
      </c>
      <c r="R90" s="10" t="str">
        <f>IF(LEN(Table2[[#This Row],[!Name]]) &gt; 0, Table2[[#This Row],[!Name]], "rg:None")</f>
        <v>ICBCRegi</v>
      </c>
      <c r="S90" s="10" t="str">
        <f>IF(LEN(Table2[[#This Row],[!Description]]) &gt; 0, Table2[[#This Row],[!Description]], "rg:None")</f>
        <v>The Registration Number (Regi) is the link between the CCW information and a specific School Bus</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62</v>
      </c>
      <c r="C91" s="3"/>
      <c r="D91" s="5" t="s">
        <v>219</v>
      </c>
      <c r="E91" s="3" t="s">
        <v>131</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integer</v>
      </c>
      <c r="M91" s="5" t="str">
        <f>IF(Table2[[#This Row],[!Type]]=M$1, M$1,"rg:None")</f>
        <v>rg:None</v>
      </c>
      <c r="N91" s="5" t="str">
        <f>IF(Table2[[#This Row],[!Type]]=N$1, N$1,"rg:None")</f>
        <v>rg:None</v>
      </c>
      <c r="O91" s="5" t="str">
        <f>IF(Table2[[#This Row],[!Type]]=O$1, O$1,"rg:None")</f>
        <v>rg:None</v>
      </c>
      <c r="P91" s="5" t="str">
        <f>IF(Table2[[#This Row],[!Type]]=P$1, P$1,"rg:None")</f>
        <v>rg:None</v>
      </c>
      <c r="Q91" s="10" t="str">
        <f>IF(LEN(Table2[[#This Row],[!Length]]) &gt; 0, Table2[[#This Row],[!Length]], "rg:None")</f>
        <v>rg:None</v>
      </c>
      <c r="R91" s="10" t="str">
        <f>IF(LEN(Table2[[#This Row],[!Name]]) &gt; 0, Table2[[#This Row],[!Name]], "rg:None")</f>
        <v>ICBCModelYear</v>
      </c>
      <c r="S91" s="10" t="str">
        <f>IF(LEN(Table2[[#This Row],[!Description]]) &gt; 0, Table2[[#This Row],[!Description]], "rg:None")</f>
        <v>Vehicle Year</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10</v>
      </c>
      <c r="C92" s="3"/>
      <c r="D92" s="5" t="s">
        <v>220</v>
      </c>
      <c r="E92" s="3" t="s">
        <v>7</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rg:None</v>
      </c>
      <c r="M92" s="5" t="str">
        <f>IF(Table2[[#This Row],[!Type]]=M$1, M$1,"rg:None")</f>
        <v>rg:None</v>
      </c>
      <c r="N92" s="5" t="str">
        <f>IF(Table2[[#This Row],[!Type]]=N$1, N$1,"rg:None")</f>
        <v>rg:None</v>
      </c>
      <c r="O92" s="5" t="str">
        <f>IF(Table2[[#This Row],[!Type]]=O$1, O$1,"rg:None")</f>
        <v>string</v>
      </c>
      <c r="P92" s="5" t="str">
        <f>IF(Table2[[#This Row],[!Type]]=P$1, P$1,"rg:None")</f>
        <v>rg:None</v>
      </c>
      <c r="Q92" s="10" t="str">
        <f>IF(LEN(Table2[[#This Row],[!Length]]) &gt; 0, Table2[[#This Row],[!Length]], "rg:None")</f>
        <v>rg:None</v>
      </c>
      <c r="R92" s="10" t="str">
        <f>IF(LEN(Table2[[#This Row],[!Name]]) &gt; 0, Table2[[#This Row],[!Name]], "rg:None")</f>
        <v>ICBCVehicleType</v>
      </c>
      <c r="S92" s="10" t="str">
        <f>IF(LEN(Table2[[#This Row],[!Description]]) &gt; 0, Table2[[#This Row],[!Description]], "rg:None")</f>
        <v>rg:None</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221</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ICBCRateClass</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222</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ICBCCVIPDecal</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62</v>
      </c>
      <c r="C95" s="3"/>
      <c r="D95" s="5" t="s">
        <v>223</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integer</v>
      </c>
      <c r="M95" s="5" t="str">
        <f>IF(Table2[[#This Row],[!Type]]=M$1, M$1,"rg:None")</f>
        <v>rg:None</v>
      </c>
      <c r="N95" s="5" t="str">
        <f>IF(Table2[[#This Row],[!Type]]=N$1, N$1,"rg:None")</f>
        <v>rg:None</v>
      </c>
      <c r="O95" s="5" t="str">
        <f>IF(Table2[[#This Row],[!Type]]=O$1, O$1,"rg:None")</f>
        <v>rg:None</v>
      </c>
      <c r="P95" s="5" t="str">
        <f>IF(Table2[[#This Row],[!Type]]=P$1, P$1,"rg:None")</f>
        <v>rg:None</v>
      </c>
      <c r="Q95" s="10" t="str">
        <f>IF(LEN(Table2[[#This Row],[!Length]]) &gt; 0, Table2[[#This Row],[!Length]], "rg:None")</f>
        <v>rg:None</v>
      </c>
      <c r="R95" s="10" t="str">
        <f>IF(LEN(Table2[[#This Row],[!Name]]) &gt; 0, Table2[[#This Row],[!Name]], "rg:None")</f>
        <v>ICBCFleetUnitNo</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224</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ICBCGrossVehicleWeight</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10</v>
      </c>
      <c r="C97" s="3"/>
      <c r="D97" s="5" t="s">
        <v>225</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rg:None</v>
      </c>
      <c r="M97" s="5" t="str">
        <f>IF(Table2[[#This Row],[!Type]]=M$1, M$1,"rg:None")</f>
        <v>rg:None</v>
      </c>
      <c r="N97" s="5" t="str">
        <f>IF(Table2[[#This Row],[!Type]]=N$1, N$1,"rg:None")</f>
        <v>rg:None</v>
      </c>
      <c r="O97" s="5" t="str">
        <f>IF(Table2[[#This Row],[!Type]]=O$1, O$1,"rg:None")</f>
        <v>string</v>
      </c>
      <c r="P97" s="5" t="str">
        <f>IF(Table2[[#This Row],[!Type]]=P$1, P$1,"rg:None")</f>
        <v>rg:None</v>
      </c>
      <c r="Q97" s="10" t="str">
        <f>IF(LEN(Table2[[#This Row],[!Length]]) &gt; 0, Table2[[#This Row],[!Length]], "rg:None")</f>
        <v>rg:None</v>
      </c>
      <c r="R97" s="10" t="str">
        <f>IF(LEN(Table2[[#This Row],[!Name]]) &gt; 0, Table2[[#This Row],[!Name]], "rg:None")</f>
        <v>ICBCMake</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226</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ICBCBody</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227</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ICBCRebuiltStatus</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43</v>
      </c>
      <c r="C100" s="3"/>
      <c r="D100" s="5" t="s">
        <v>228</v>
      </c>
      <c r="E100" s="3" t="s">
        <v>7</v>
      </c>
      <c r="F100" s="3" t="s">
        <v>7</v>
      </c>
      <c r="H100" s="5" t="str">
        <f t="shared" si="1"/>
        <v>Defs</v>
      </c>
      <c r="I100" t="str">
        <f>IF(Table2[[#This Row],[!Type]]=I$1, I$1,"rg:None")</f>
        <v>rg:None</v>
      </c>
      <c r="J100" t="str">
        <f>IF(Table2[[#This Row],[!Type]]=J$1, J$1,"rg:None")</f>
        <v>datetime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rg:None</v>
      </c>
      <c r="P100" s="5" t="str">
        <f>IF(Table2[[#This Row],[!Type]]=P$1, P$1,"rg:None")</f>
        <v>rg:None</v>
      </c>
      <c r="Q100" s="10" t="str">
        <f>IF(LEN(Table2[[#This Row],[!Length]]) &gt; 0, Table2[[#This Row],[!Length]], "rg:None")</f>
        <v>rg:None</v>
      </c>
      <c r="R100" s="10" t="str">
        <f>IF(LEN(Table2[[#This Row],[!Name]]) &gt; 0, Table2[[#This Row],[!Name]], "rg:None")</f>
        <v>ICBCCVIPExpiry</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62</v>
      </c>
      <c r="C101" s="3"/>
      <c r="D101" s="5" t="s">
        <v>229</v>
      </c>
      <c r="E101" s="3" t="s">
        <v>7</v>
      </c>
      <c r="F101" s="3" t="s">
        <v>7</v>
      </c>
      <c r="G101" s="4"/>
      <c r="H101" s="5" t="str">
        <f t="shared" si="1"/>
        <v>Defs</v>
      </c>
      <c r="I101" t="str">
        <f>IF(Table2[[#This Row],[!Type]]=I$1, I$1,"rg:None")</f>
        <v>rg:None</v>
      </c>
      <c r="J101" t="str">
        <f>IF(Table2[[#This Row],[!Type]]=J$1, J$1,"rg:None")</f>
        <v>rg:None</v>
      </c>
      <c r="K101" t="str">
        <f>IF(Table2[[#This Row],[!Type]]=K$1, K$1,"rg:None")</f>
        <v>rg:None</v>
      </c>
      <c r="L101" s="10" t="str">
        <f>IF(Table2[[#This Row],[!Type]]=L$1, L$1,"rg:None")</f>
        <v>integer</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ICBCNetWt</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10</v>
      </c>
      <c r="C102" s="3"/>
      <c r="D102" s="5" t="s">
        <v>230</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rg:None</v>
      </c>
      <c r="M102" s="5" t="str">
        <f>IF(Table2[[#This Row],[!Type]]=M$1, M$1,"rg:None")</f>
        <v>rg:None</v>
      </c>
      <c r="N102" s="5" t="str">
        <f>IF(Table2[[#This Row],[!Type]]=N$1, N$1,"rg:None")</f>
        <v>rg:None</v>
      </c>
      <c r="O102" s="5" t="str">
        <f>IF(Table2[[#This Row],[!Type]]=O$1, O$1,"rg:None")</f>
        <v>string</v>
      </c>
      <c r="P102" s="5" t="str">
        <f>IF(Table2[[#This Row],[!Type]]=P$1, P$1,"rg:None")</f>
        <v>rg:None</v>
      </c>
      <c r="Q102" s="10" t="str">
        <f>IF(LEN(Table2[[#This Row],[!Length]]) &gt; 0, Table2[[#This Row],[!Length]], "rg:None")</f>
        <v>rg:None</v>
      </c>
      <c r="R102" s="10" t="str">
        <f>IF(LEN(Table2[[#This Row],[!Name]]) &gt; 0, Table2[[#This Row],[!Name]], "rg:None")</f>
        <v>ICBCModel</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231</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ICBCFuel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62</v>
      </c>
      <c r="C104" s="3"/>
      <c r="D104" s="5" t="s">
        <v>232</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integer</v>
      </c>
      <c r="M104" s="5" t="str">
        <f>IF(Table2[[#This Row],[!Type]]=M$1, M$1,"rg:None")</f>
        <v>rg:None</v>
      </c>
      <c r="N104" s="5" t="str">
        <f>IF(Table2[[#This Row],[!Type]]=N$1, N$1,"rg:None")</f>
        <v>rg:None</v>
      </c>
      <c r="O104" s="5" t="str">
        <f>IF(Table2[[#This Row],[!Type]]=O$1, O$1,"rg:None")</f>
        <v>rg:None</v>
      </c>
      <c r="P104" s="5" t="str">
        <f>IF(Table2[[#This Row],[!Type]]=P$1, P$1,"rg:None")</f>
        <v>rg:None</v>
      </c>
      <c r="Q104" s="10" t="str">
        <f>IF(LEN(Table2[[#This Row],[!Length]]) &gt; 0, Table2[[#This Row],[!Length]], "rg:None")</f>
        <v>rg:None</v>
      </c>
      <c r="R104" s="10" t="str">
        <f>IF(LEN(Table2[[#This Row],[!Name]]) &gt; 0, Table2[[#This Row],[!Name]], "rg:None")</f>
        <v>ICBCSeatingCapacity</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10</v>
      </c>
      <c r="C105" s="3"/>
      <c r="D105" s="5" t="s">
        <v>233</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rg:None</v>
      </c>
      <c r="M105" s="5" t="str">
        <f>IF(Table2[[#This Row],[!Type]]=M$1, M$1,"rg:None")</f>
        <v>rg:None</v>
      </c>
      <c r="N105" s="5" t="str">
        <f>IF(Table2[[#This Row],[!Type]]=N$1, N$1,"rg:None")</f>
        <v>rg:None</v>
      </c>
      <c r="O105" s="5" t="str">
        <f>IF(Table2[[#This Row],[!Type]]=O$1, O$1,"rg:None")</f>
        <v>string</v>
      </c>
      <c r="P105" s="5" t="str">
        <f>IF(Table2[[#This Row],[!Type]]=P$1, P$1,"rg:None")</f>
        <v>rg:None</v>
      </c>
      <c r="Q105" s="10" t="str">
        <f>IF(LEN(Table2[[#This Row],[!Length]]) &gt; 0, Table2[[#This Row],[!Length]], "rg:None")</f>
        <v>rg:None</v>
      </c>
      <c r="R105" s="10" t="str">
        <f>IF(LEN(Table2[[#This Row],[!Name]]) &gt; 0, Table2[[#This Row],[!Name]], "rg:None")</f>
        <v>ICBCColour</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234</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ICBCNotesAndOrders</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43</v>
      </c>
      <c r="C107" s="3"/>
      <c r="D107" s="5" t="s">
        <v>235</v>
      </c>
      <c r="E107" s="3" t="s">
        <v>7</v>
      </c>
      <c r="F107" s="3" t="s">
        <v>7</v>
      </c>
      <c r="G107" s="4"/>
      <c r="H107" s="5" t="str">
        <f t="shared" si="1"/>
        <v>Defs</v>
      </c>
      <c r="I107" t="str">
        <f>IF(Table2[[#This Row],[!Type]]=I$1, I$1,"rg:None")</f>
        <v>rg:None</v>
      </c>
      <c r="J107" t="str">
        <f>IF(Table2[[#This Row],[!Type]]=J$1, J$1,"rg:None")</f>
        <v>datetime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rg:None</v>
      </c>
      <c r="P107" s="5" t="str">
        <f>IF(Table2[[#This Row],[!Type]]=P$1, P$1,"rg:None")</f>
        <v>rg:None</v>
      </c>
      <c r="Q107" s="10" t="str">
        <f>IF(LEN(Table2[[#This Row],[!Length]]) &gt; 0, Table2[[#This Row],[!Length]], "rg:None")</f>
        <v>rg:None</v>
      </c>
      <c r="R107" s="10" t="str">
        <f>IF(LEN(Table2[[#This Row],[!Name]]) &gt; 0, Table2[[#This Row],[!Name]], "rg:None")</f>
        <v>ICBCOrderedOn</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10</v>
      </c>
      <c r="C108" s="3"/>
      <c r="D108" s="5" t="s">
        <v>236</v>
      </c>
      <c r="E108" s="3" t="s">
        <v>7</v>
      </c>
      <c r="F108" s="3" t="s">
        <v>7</v>
      </c>
      <c r="G108" s="4"/>
      <c r="H108" s="5" t="str">
        <f t="shared" si="1"/>
        <v>Defs</v>
      </c>
      <c r="I108" t="str">
        <f>IF(Table2[[#This Row],[!Type]]=I$1, I$1,"rg:None")</f>
        <v>rg:None</v>
      </c>
      <c r="J108" t="str">
        <f>IF(Table2[[#This Row],[!Type]]=J$1, J$1,"rg:None")</f>
        <v>rg:None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string</v>
      </c>
      <c r="P108" s="5" t="str">
        <f>IF(Table2[[#This Row],[!Type]]=P$1, P$1,"rg:None")</f>
        <v>rg:None</v>
      </c>
      <c r="Q108" s="10" t="str">
        <f>IF(LEN(Table2[[#This Row],[!Length]]) &gt; 0, Table2[[#This Row],[!Length]], "rg:None")</f>
        <v>rg:None</v>
      </c>
      <c r="R108" s="10" t="str">
        <f>IF(LEN(Table2[[#This Row],[!Name]]) &gt; 0, Table2[[#This Row],[!Name]], "rg:None")</f>
        <v>ICBCRegOwnerName</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237</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ICBCRegOwnerAddr1</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238</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ICBCRegOwnerAddr2</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239</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ICBCRegOwnerCity</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240</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ICBCRegOwnerProv</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241</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ICBCRegOwnerPostalCode</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242</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ICBCRegOwnerStatus</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243</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ICBCRegOwnerRODL</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244</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ICBCRegOwnerPool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245</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NSCClientNum</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246</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NSCCarrierName</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247</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NSCCarrierConditions</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248</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NSCCarrierSafetyRating</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249</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NSCPolicyNumber</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43</v>
      </c>
      <c r="C122" s="3"/>
      <c r="D122" s="5" t="s">
        <v>250</v>
      </c>
      <c r="E122" s="3" t="s">
        <v>7</v>
      </c>
      <c r="F122" s="3" t="s">
        <v>7</v>
      </c>
      <c r="G122" s="4"/>
      <c r="H122" s="5" t="str">
        <f t="shared" si="1"/>
        <v>Defs</v>
      </c>
      <c r="I122" t="str">
        <f>IF(Table2[[#This Row],[!Type]]=I$1, I$1,"rg:None")</f>
        <v>rg:None</v>
      </c>
      <c r="J122" t="str">
        <f>IF(Table2[[#This Row],[!Type]]=J$1, J$1,"rg:None")</f>
        <v>datetime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rg:None</v>
      </c>
      <c r="P122" s="5" t="str">
        <f>IF(Table2[[#This Row],[!Type]]=P$1, P$1,"rg:None")</f>
        <v>rg:None</v>
      </c>
      <c r="Q122" s="10" t="str">
        <f>IF(LEN(Table2[[#This Row],[!Length]]) &gt; 0, Table2[[#This Row],[!Length]], "rg:None")</f>
        <v>rg:None</v>
      </c>
      <c r="R122" s="10" t="str">
        <f>IF(LEN(Table2[[#This Row],[!Name]]) &gt; 0, Table2[[#This Row],[!Name]], "rg:None")</f>
        <v>NSCPolicyEffectiveDate</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251</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NSCPolicyStatusDate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252</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NSCPolicyExpiryDate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10</v>
      </c>
      <c r="C125" s="3"/>
      <c r="D125" s="5" t="s">
        <v>253</v>
      </c>
      <c r="E125" s="3" t="s">
        <v>7</v>
      </c>
      <c r="F125" s="3" t="s">
        <v>7</v>
      </c>
      <c r="G125" s="4"/>
      <c r="H125" s="5" t="str">
        <f t="shared" si="1"/>
        <v>Defs</v>
      </c>
      <c r="I125" t="str">
        <f>IF(Table2[[#This Row],[!Type]]=I$1, I$1,"rg:None")</f>
        <v>rg:None</v>
      </c>
      <c r="J125" t="str">
        <f>IF(Table2[[#This Row],[!Type]]=J$1, J$1,"rg:None")</f>
        <v>rg:None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string</v>
      </c>
      <c r="P125" s="5" t="str">
        <f>IF(Table2[[#This Row],[!Type]]=P$1, P$1,"rg:None")</f>
        <v>rg:None</v>
      </c>
      <c r="Q125" s="10" t="str">
        <f>IF(LEN(Table2[[#This Row],[!Length]]) &gt; 0, Table2[[#This Row],[!Length]], "rg:None")</f>
        <v>rg:None</v>
      </c>
      <c r="R125" s="10" t="str">
        <f>IF(LEN(Table2[[#This Row],[!Name]]) &gt; 0, Table2[[#This Row],[!Name]], "rg:None")</f>
        <v>NSCPolicyStatus</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217</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NSCPlateDecal</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132</v>
      </c>
      <c r="B127" s="3" t="s">
        <v>5</v>
      </c>
      <c r="C127" s="3"/>
      <c r="D127" s="3" t="s">
        <v>132</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rg:None</v>
      </c>
      <c r="P127" s="5" t="str">
        <f>IF(Table2[[#This Row],[!Type]]=P$1, P$1,"rg:None")</f>
        <v>table</v>
      </c>
      <c r="Q127" s="10" t="str">
        <f>IF(LEN(Table2[[#This Row],[!Length]]) &gt; 0, Table2[[#This Row],[!Length]], "rg:None")</f>
        <v>rg:None</v>
      </c>
      <c r="R127" s="10" t="str">
        <f>IF(LEN(Table2[[#This Row],[!Name]]) &gt; 0, Table2[[#This Row],[!Name]], "rg:None")</f>
        <v>Inspection</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8</v>
      </c>
      <c r="C128" s="3"/>
      <c r="D128" s="3" t="s">
        <v>8</v>
      </c>
      <c r="E128" s="3" t="s">
        <v>133</v>
      </c>
      <c r="F128" s="3" t="s">
        <v>7</v>
      </c>
      <c r="G128" s="4" t="s">
        <v>215</v>
      </c>
      <c r="H128" s="5" t="str">
        <f t="shared" si="1"/>
        <v>Defs</v>
      </c>
      <c r="I128" t="str">
        <f>IF(Table2[[#This Row],[!Type]]=I$1, I$1,"rg:None")</f>
        <v>rg:None</v>
      </c>
      <c r="J128" t="str">
        <f>IF(Table2[[#This Row],[!Type]]=J$1, J$1,"rg:None")</f>
        <v>rg:None</v>
      </c>
      <c r="K128" t="str">
        <f>IF(Table2[[#This Row],[!Type]]=K$1, K$1,"rg:None")</f>
        <v>id</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rg:None</v>
      </c>
      <c r="Q128" s="10" t="str">
        <f>IF(LEN(Table2[[#This Row],[!Length]]) &gt; 0, Table2[[#This Row],[!Length]], "rg:None")</f>
        <v>rg:None</v>
      </c>
      <c r="R128" s="10" t="str">
        <f>IF(LEN(Table2[[#This Row],[!Name]]) &gt; 0, Table2[[#This Row],[!Name]], "rg:None")</f>
        <v>id</v>
      </c>
      <c r="S128" s="10" t="str">
        <f>IF(LEN(Table2[[#This Row],[!Description]]) &gt; 0, Table2[[#This Row],[!Description]], "rg:None")</f>
        <v>Primary Key make this match the Inspection Details page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17</v>
      </c>
      <c r="C129" s="3"/>
      <c r="D129" s="3" t="s">
        <v>73</v>
      </c>
      <c r="E129" s="3" t="s">
        <v>7</v>
      </c>
      <c r="F129" s="3" t="s">
        <v>4</v>
      </c>
      <c r="G129" s="4"/>
      <c r="H129" s="5" t="str">
        <f t="shared" si="1"/>
        <v>Defs</v>
      </c>
      <c r="I129" t="str">
        <f>IF(Table2[[#This Row],[!Type]]=I$1, I$1,"rg:None")</f>
        <v>rg:None</v>
      </c>
      <c r="J129" t="str">
        <f>IF(Table2[[#This Row],[!Type]]=J$1, J$1,"rg:None")</f>
        <v>rg:None</v>
      </c>
      <c r="K129" t="str">
        <f>IF(Table2[[#This Row],[!Type]]=K$1, K$1,"rg:None")</f>
        <v>rg:None</v>
      </c>
      <c r="L129" s="10" t="str">
        <f>IF(Table2[[#This Row],[!Type]]=L$1, L$1,"rg:None")</f>
        <v>rg:None</v>
      </c>
      <c r="M129" s="5" t="str">
        <f>IF(Table2[[#This Row],[!Type]]=M$1, M$1,"rg:None")</f>
        <v>rg:None</v>
      </c>
      <c r="N129" s="5" t="str">
        <f>IF(Table2[[#This Row],[!Type]]=N$1, N$1,"rg:None")</f>
        <v>ref</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schoolBus</v>
      </c>
      <c r="S129" s="10" t="str">
        <f>IF(LEN(Table2[[#This Row],[!Description]]) &gt; 0, Table2[[#This Row],[!Description]], "rg:None")</f>
        <v>rg:None</v>
      </c>
      <c r="T129" s="10" t="str">
        <f>IF(LEN(Table2[[#This Row],[!FK]])&gt;0,Table2[[#This Row],[!FK]],"rg:None")</f>
        <v>SchoolBus</v>
      </c>
      <c r="U129" s="10" t="str">
        <f>IF(LEN(concatif2(A:A,Table2[[#This Row],[!Table]],G:G,"Y",D:D,",")) &gt; 0,"rg:[ { 'req' : '"&amp;concatif2(A:A,Table2[[#This Row],[!Table]],G:G,"Y",D:D,"' }, { 'req': '")&amp;"'} ]","rg:[]")</f>
        <v>rg:[ { 'req' : 'id'} ]</v>
      </c>
    </row>
    <row r="130" spans="1:21" x14ac:dyDescent="0.3">
      <c r="A130" s="3" t="s">
        <v>132</v>
      </c>
      <c r="B130" s="3" t="s">
        <v>17</v>
      </c>
      <c r="C130" s="3"/>
      <c r="D130" s="3" t="s">
        <v>134</v>
      </c>
      <c r="E130" s="3" t="s">
        <v>135</v>
      </c>
      <c r="F130" s="3" t="s">
        <v>0</v>
      </c>
      <c r="G130" s="4"/>
      <c r="H130" s="5" t="str">
        <f t="shared" ref="H130:H193" si="2">IF(LEN(A130) &gt; 0,"Defs","-")</f>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inspector</v>
      </c>
      <c r="S130" s="10" t="str">
        <f>IF(LEN(Table2[[#This Row],[!Description]]) &gt; 0, Table2[[#This Row],[!Description]], "rg:None")</f>
        <v>Defaults for a new inspection to the current user,  but can be changed as needed.</v>
      </c>
      <c r="T130" s="10" t="str">
        <f>IF(LEN(Table2[[#This Row],[!FK]])&gt;0,Table2[[#This Row],[!FK]],"rg:None")</f>
        <v>User</v>
      </c>
      <c r="U130" s="10" t="str">
        <f>IF(LEN(concatif2(A:A,Table2[[#This Row],[!Table]],G:G,"Y",D:D,",")) &gt; 0,"rg:[ { 'req' : '"&amp;concatif2(A:A,Table2[[#This Row],[!Table]],G:G,"Y",D:D,"' }, { 'req': '")&amp;"'} ]","rg:[]")</f>
        <v>rg:[ { 'req' : 'id'} ]</v>
      </c>
    </row>
    <row r="131" spans="1:21" x14ac:dyDescent="0.3">
      <c r="A131" s="3" t="s">
        <v>132</v>
      </c>
      <c r="B131" s="3" t="s">
        <v>43</v>
      </c>
      <c r="C131" s="3"/>
      <c r="D131" s="3" t="s">
        <v>136</v>
      </c>
      <c r="E131" s="3" t="s">
        <v>137</v>
      </c>
      <c r="F131" s="3" t="s">
        <v>7</v>
      </c>
      <c r="G131" s="4"/>
      <c r="H131" s="5" t="str">
        <f t="shared" si="2"/>
        <v>Defs</v>
      </c>
      <c r="I131" t="str">
        <f>IF(Table2[[#This Row],[!Type]]=I$1, I$1,"rg:None")</f>
        <v>rg:None</v>
      </c>
      <c r="J131" t="str">
        <f>IF(Table2[[#This Row],[!Type]]=J$1, J$1,"rg:None")</f>
        <v>datetime</v>
      </c>
      <c r="K131" t="str">
        <f>IF(Table2[[#This Row],[!Type]]=K$1, K$1,"rg:None")</f>
        <v>rg:None</v>
      </c>
      <c r="L131" s="10" t="str">
        <f>IF(Table2[[#This Row],[!Type]]=L$1, L$1,"rg:None")</f>
        <v>rg:None</v>
      </c>
      <c r="M131" s="5" t="str">
        <f>IF(Table2[[#This Row],[!Type]]=M$1, M$1,"rg:None")</f>
        <v>rg:None</v>
      </c>
      <c r="N131" s="5" t="str">
        <f>IF(Table2[[#This Row],[!Type]]=N$1, N$1,"rg:None")</f>
        <v>rg:None</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inspectionDate</v>
      </c>
      <c r="S131" s="10" t="str">
        <f>IF(LEN(Table2[[#This Row],[!Description]]) &gt; 0, Table2[[#This Row],[!Description]], "rg:None")</f>
        <v>The date the inspection was conducted.</v>
      </c>
      <c r="T131" s="10" t="str">
        <f>IF(LEN(Table2[[#This Row],[!FK]])&gt;0,Table2[[#This Row],[!FK]],"rg:None")</f>
        <v>rg:None</v>
      </c>
      <c r="U131" s="10" t="str">
        <f>IF(LEN(concatif2(A:A,Table2[[#This Row],[!Table]],G:G,"Y",D:D,",")) &gt; 0,"rg:[ { 'req' : '"&amp;concatif2(A:A,Table2[[#This Row],[!Table]],G:G,"Y",D:D,"' }, { 'req': '")&amp;"'} ]","rg:[]")</f>
        <v>rg:[ { 'req' : 'id'} ]</v>
      </c>
    </row>
    <row r="132" spans="1:21" x14ac:dyDescent="0.3">
      <c r="A132" s="3" t="s">
        <v>132</v>
      </c>
      <c r="B132" s="3" t="s">
        <v>10</v>
      </c>
      <c r="C132" s="3"/>
      <c r="D132" s="3" t="s">
        <v>138</v>
      </c>
      <c r="E132" s="3" t="s">
        <v>139</v>
      </c>
      <c r="F132" s="3" t="s">
        <v>7</v>
      </c>
      <c r="G132" s="4"/>
      <c r="H132" s="5" t="str">
        <f t="shared" si="2"/>
        <v>Defs</v>
      </c>
      <c r="I132" t="str">
        <f>IF(Table2[[#This Row],[!Type]]=I$1, I$1,"rg:None")</f>
        <v>rg:None</v>
      </c>
      <c r="J132" t="str">
        <f>IF(Table2[[#This Row],[!Type]]=J$1, J$1,"rg:None")</f>
        <v>rg:None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string</v>
      </c>
      <c r="P132" s="5" t="str">
        <f>IF(Table2[[#This Row],[!Type]]=P$1, P$1,"rg:None")</f>
        <v>rg:None</v>
      </c>
      <c r="Q132" s="10" t="str">
        <f>IF(LEN(Table2[[#This Row],[!Length]]) &gt; 0, Table2[[#This Row],[!Length]], "rg:None")</f>
        <v>rg:None</v>
      </c>
      <c r="R132" s="10" t="str">
        <f>IF(LEN(Table2[[#This Row],[!Name]]) &gt; 0, Table2[[#This Row],[!Name]], "rg:None")</f>
        <v>inspectionType</v>
      </c>
      <c r="S132" s="10" t="str">
        <f>IF(LEN(Table2[[#This Row],[!Description]]) &gt; 0, Table2[[#This Row],[!Description]], "rg:None")</f>
        <v>The type of the inspection - enumerated type of Annual or Re-inspection,  pulled from the School Bus record at the time the inspection record is created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140</v>
      </c>
      <c r="E133" s="3" t="s">
        <v>141</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inspectionResult</v>
      </c>
      <c r="S133" s="10" t="str">
        <f>IF(LEN(Table2[[#This Row],[!Description]]) &gt; 0, Table2[[#This Row],[!Description]], "rg:None")</f>
        <v>The result of the inspection - enumerated type of Passed or Failed. The detailed results of the inspection are in RIP and not duplicated here.</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105</v>
      </c>
      <c r="E134" s="3" t="s">
        <v>142</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notes</v>
      </c>
      <c r="S134" s="10" t="str">
        <f>IF(LEN(Table2[[#This Row],[!Description]]) &gt; 0, Table2[[#This Row],[!Description]], "rg:None")</f>
        <v>A note about the inspection independent of what goes into the RIP inspection - this is just for the School Bus application.</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41</v>
      </c>
      <c r="E135" s="3" t="s">
        <v>259</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restrictions</v>
      </c>
      <c r="S135" s="10" t="str">
        <f>IF(LEN(Table2[[#This Row],[!Description]]) &gt; 0, Table2[[#This Row],[!Description]], "rg:None")</f>
        <v>The Restrictions text from the School Bus record. This is visible on the Inspections screen as a convenience for adjusting it prior to printing the Permit Page.</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216</v>
      </c>
      <c r="E136" s="3" t="s">
        <v>143</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RIPInspectionId</v>
      </c>
      <c r="S13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6" s="10" t="str">
        <f>IF(LEN(Table2[[#This Row],[!FK]])&gt;0,Table2[[#This Row],[!FK]],"rg:None")</f>
        <v>rg:None</v>
      </c>
      <c r="U136" s="10" t="str">
        <f>IF(LEN(concatif2(A:A,Table2[[#This Row],[!Table]],G:G,"Y",D:D,",")) &gt; 0,"rg:[ { 'req' : '"&amp;concatif2(A:A,Table2[[#This Row],[!Table]],G:G,"Y",D:D,"' }, { 'req': '")&amp;"'} ]","rg:[]")</f>
        <v>rg:[ { 'req' : 'id'} ]</v>
      </c>
    </row>
    <row r="137" spans="1:21" x14ac:dyDescent="0.3">
      <c r="A137" s="3" t="s">
        <v>144</v>
      </c>
      <c r="B137" s="3" t="s">
        <v>5</v>
      </c>
      <c r="C137" s="3"/>
      <c r="D137" s="3" t="s">
        <v>144</v>
      </c>
      <c r="E137" s="3" t="s">
        <v>254</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rg:None</v>
      </c>
      <c r="P137" s="5" t="str">
        <f>IF(Table2[[#This Row],[!Type]]=P$1, P$1,"rg:None")</f>
        <v>table</v>
      </c>
      <c r="Q137" s="10" t="str">
        <f>IF(LEN(Table2[[#This Row],[!Length]]) &gt; 0, Table2[[#This Row],[!Length]], "rg:None")</f>
        <v>rg:None</v>
      </c>
      <c r="R137" s="10" t="str">
        <f>IF(LEN(Table2[[#This Row],[!Name]]) &gt; 0, Table2[[#This Row],[!Name]], "rg:None")</f>
        <v>FavouriteContextType</v>
      </c>
      <c r="S137" s="10" t="str">
        <f>IF(LEN(Table2[[#This Row],[!Description]]) &gt; 0, Table2[[#This Row],[!Description]], "rg:None")</f>
        <v>The name for a place in the UI where per user settings can be stored - for example, the School Bus search screen, School Bus Owner search screen, etc.</v>
      </c>
      <c r="T137" s="10" t="str">
        <f>IF(LEN(Table2[[#This Row],[!FK]])&gt;0,Table2[[#This Row],[!FK]],"rg:None")</f>
        <v>rg:None</v>
      </c>
      <c r="U137" s="10" t="str">
        <f>IF(LEN(concatif2(A:A,Table2[[#This Row],[!Table]],G:G,"Y",D:D,",")) &gt; 0,"rg:[ { 'req' : '"&amp;concatif2(A:A,Table2[[#This Row],[!Table]],G:G,"Y",D:D,"' }, { 'req': '")&amp;"'} ]","rg:[]")</f>
        <v>rg:[ { 'req' : 'id'} ]</v>
      </c>
    </row>
    <row r="138" spans="1:21" x14ac:dyDescent="0.3">
      <c r="A138" s="3" t="s">
        <v>144</v>
      </c>
      <c r="B138" s="3" t="s">
        <v>8</v>
      </c>
      <c r="C138" s="3"/>
      <c r="D138" s="3" t="s">
        <v>8</v>
      </c>
      <c r="E138" s="3" t="s">
        <v>9</v>
      </c>
      <c r="F138" s="3" t="s">
        <v>7</v>
      </c>
      <c r="G138" s="4" t="s">
        <v>215</v>
      </c>
      <c r="H138" s="5" t="str">
        <f t="shared" si="2"/>
        <v>Defs</v>
      </c>
      <c r="I138" t="str">
        <f>IF(Table2[[#This Row],[!Type]]=I$1, I$1,"rg:None")</f>
        <v>rg:None</v>
      </c>
      <c r="J138" t="str">
        <f>IF(Table2[[#This Row],[!Type]]=J$1, J$1,"rg:None")</f>
        <v>rg:None</v>
      </c>
      <c r="K138" t="str">
        <f>IF(Table2[[#This Row],[!Type]]=K$1, K$1,"rg:None")</f>
        <v>id</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rg:None</v>
      </c>
      <c r="Q138" s="10" t="str">
        <f>IF(LEN(Table2[[#This Row],[!Length]]) &gt; 0, Table2[[#This Row],[!Length]], "rg:None")</f>
        <v>rg:None</v>
      </c>
      <c r="R138" s="10" t="str">
        <f>IF(LEN(Table2[[#This Row],[!Name]]) &gt; 0, Table2[[#This Row],[!Name]], "rg:None")</f>
        <v>id</v>
      </c>
      <c r="S138" s="10" t="str">
        <f>IF(LEN(Table2[[#This Row],[!Description]]) &gt; 0, Table2[[#This Row],[!Description]], "rg:None")</f>
        <v>Primary Key</v>
      </c>
      <c r="T138" s="10" t="str">
        <f>IF(LEN(Table2[[#This Row],[!FK]])&gt;0,Table2[[#This Row],[!FK]],"rg:None")</f>
        <v>rg:None</v>
      </c>
      <c r="U138" s="10" t="str">
        <f>IF(LEN(concatif2(A:A,Table2[[#This Row],[!Table]],G:G,"Y",D:D,",")) &gt; 0,"rg:[ { 'req' : '"&amp;concatif2(A:A,Table2[[#This Row],[!Table]],G:G,"Y",D:D,"' }, { 'req': '")&amp;"'} ]","rg:[]")</f>
        <v>rg:[ { 'req' : 'id'} ]</v>
      </c>
    </row>
    <row r="139" spans="1:21" x14ac:dyDescent="0.3">
      <c r="A139" s="3" t="s">
        <v>144</v>
      </c>
      <c r="B139" s="3" t="s">
        <v>10</v>
      </c>
      <c r="C139" s="3"/>
      <c r="D139" s="3" t="s">
        <v>84</v>
      </c>
      <c r="E139" s="3" t="s">
        <v>145</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string</v>
      </c>
      <c r="P139" s="5" t="str">
        <f>IF(Table2[[#This Row],[!Type]]=P$1, P$1,"rg:None")</f>
        <v>rg:None</v>
      </c>
      <c r="Q139" s="10" t="str">
        <f>IF(LEN(Table2[[#This Row],[!Length]]) &gt; 0, Table2[[#This Row],[!Length]], "rg:None")</f>
        <v>rg:None</v>
      </c>
      <c r="R139" s="10" t="str">
        <f>IF(LEN(Table2[[#This Row],[!Name]]) &gt; 0, Table2[[#This Row],[!Name]], "rg:None")</f>
        <v>name</v>
      </c>
      <c r="S139" s="10" t="str">
        <f>IF(LEN(Table2[[#This Row],[!Description]]) &gt; 0, Table2[[#This Row],[!Description]], "rg:None")</f>
        <v>Context Name known by the UI.</v>
      </c>
      <c r="T139" s="10" t="str">
        <f>IF(LEN(Table2[[#This Row],[!FK]])&gt;0,Table2[[#This Row],[!FK]],"rg:None")</f>
        <v>rg:None</v>
      </c>
      <c r="U139" s="10" t="str">
        <f>IF(LEN(concatif2(A:A,Table2[[#This Row],[!Table]],G:G,"Y",D:D,",")) &gt; 0,"rg:[ { 'req' : '"&amp;concatif2(A:A,Table2[[#This Row],[!Table]],G:G,"Y",D:D,"' }, { 'req': '")&amp;"'} ]","rg:[]")</f>
        <v>rg:[ { 'req' : 'id'} ]</v>
      </c>
    </row>
    <row r="140" spans="1:21" x14ac:dyDescent="0.3">
      <c r="A140" s="3" t="s">
        <v>146</v>
      </c>
      <c r="B140" s="3" t="s">
        <v>5</v>
      </c>
      <c r="C140" s="3"/>
      <c r="D140" s="3" t="s">
        <v>146</v>
      </c>
      <c r="E140" s="3" t="s">
        <v>255</v>
      </c>
      <c r="F140" s="3" t="s">
        <v>7</v>
      </c>
      <c r="G140" s="4"/>
      <c r="H140" s="5" t="str">
        <f t="shared" si="2"/>
        <v>Defs</v>
      </c>
      <c r="I140" t="str">
        <f>IF(Table2[[#This Row],[!Type]]=I$1, I$1,"rg:None")</f>
        <v>rg:None</v>
      </c>
      <c r="J140" t="str">
        <f>IF(Table2[[#This Row],[!Type]]=J$1, J$1,"rg:None")</f>
        <v>rg:None</v>
      </c>
      <c r="K140" t="str">
        <f>IF(Table2[[#This Row],[!Type]]=K$1, K$1,"rg:None")</f>
        <v>rg:None</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table</v>
      </c>
      <c r="Q140" s="10" t="str">
        <f>IF(LEN(Table2[[#This Row],[!Length]]) &gt; 0, Table2[[#This Row],[!Length]], "rg:None")</f>
        <v>rg:None</v>
      </c>
      <c r="R140" s="10" t="str">
        <f>IF(LEN(Table2[[#This Row],[!Name]]) &gt; 0, Table2[[#This Row],[!Name]], "rg:None")</f>
        <v>UserFavourite</v>
      </c>
      <c r="S140" s="10" t="str">
        <f>IF(LEN(Table2[[#This Row],[!Description]]) &gt; 0, Table2[[#This Row],[!Description]], "rg:None")</f>
        <v>User specific settings for a specific location in the UI. The location and saved settings are internally defined by the UI.</v>
      </c>
      <c r="T140" s="10" t="str">
        <f>IF(LEN(Table2[[#This Row],[!FK]])&gt;0,Table2[[#This Row],[!FK]],"rg:None")</f>
        <v>rg:None</v>
      </c>
      <c r="U140" s="10" t="str">
        <f>IF(LEN(concatif2(A:A,Table2[[#This Row],[!Table]],G:G,"Y",D:D,",")) &gt; 0,"rg:[ { 'req' : '"&amp;concatif2(A:A,Table2[[#This Row],[!Table]],G:G,"Y",D:D,"' }, { 'req': '")&amp;"'} ]","rg:[]")</f>
        <v>rg:[ { 'req' : 'id'} ]</v>
      </c>
    </row>
    <row r="141" spans="1:21" x14ac:dyDescent="0.3">
      <c r="A141" s="3" t="s">
        <v>146</v>
      </c>
      <c r="B141" s="3" t="s">
        <v>8</v>
      </c>
      <c r="C141" s="3"/>
      <c r="D141" s="3" t="s">
        <v>8</v>
      </c>
      <c r="E141" s="3" t="s">
        <v>9</v>
      </c>
      <c r="F141" s="3" t="s">
        <v>7</v>
      </c>
      <c r="G141" s="4" t="s">
        <v>215</v>
      </c>
      <c r="H141" s="5" t="str">
        <f t="shared" si="2"/>
        <v>Defs</v>
      </c>
      <c r="I141" t="str">
        <f>IF(Table2[[#This Row],[!Type]]=I$1, I$1,"rg:None")</f>
        <v>rg:None</v>
      </c>
      <c r="J141" t="str">
        <f>IF(Table2[[#This Row],[!Type]]=J$1, J$1,"rg:None")</f>
        <v>rg:None</v>
      </c>
      <c r="K141" t="str">
        <f>IF(Table2[[#This Row],[!Type]]=K$1, K$1,"rg:None")</f>
        <v>id</v>
      </c>
      <c r="L141" s="10" t="str">
        <f>IF(Table2[[#This Row],[!Type]]=L$1, L$1,"rg:None")</f>
        <v>rg:None</v>
      </c>
      <c r="M141" s="5" t="str">
        <f>IF(Table2[[#This Row],[!Type]]=M$1, M$1,"rg:None")</f>
        <v>rg:None</v>
      </c>
      <c r="N141" s="5" t="str">
        <f>IF(Table2[[#This Row],[!Type]]=N$1, N$1,"rg:None")</f>
        <v>rg:None</v>
      </c>
      <c r="O141" s="5" t="str">
        <f>IF(Table2[[#This Row],[!Type]]=O$1, O$1,"rg:None")</f>
        <v>rg:None</v>
      </c>
      <c r="P141" s="5" t="str">
        <f>IF(Table2[[#This Row],[!Type]]=P$1, P$1,"rg:None")</f>
        <v>rg:None</v>
      </c>
      <c r="Q141" s="10" t="str">
        <f>IF(LEN(Table2[[#This Row],[!Length]]) &gt; 0, Table2[[#This Row],[!Length]], "rg:None")</f>
        <v>rg:None</v>
      </c>
      <c r="R141" s="10" t="str">
        <f>IF(LEN(Table2[[#This Row],[!Name]]) &gt; 0, Table2[[#This Row],[!Name]], "rg:None")</f>
        <v>id</v>
      </c>
      <c r="S141" s="10" t="str">
        <f>IF(LEN(Table2[[#This Row],[!Description]]) &gt; 0, Table2[[#This Row],[!Description]], "rg:None")</f>
        <v>Primary Key</v>
      </c>
      <c r="T141" s="10" t="str">
        <f>IF(LEN(Table2[[#This Row],[!FK]])&gt;0,Table2[[#This Row],[!FK]],"rg:None")</f>
        <v>rg:None</v>
      </c>
      <c r="U141" s="10" t="str">
        <f>IF(LEN(concatif2(A:A,Table2[[#This Row],[!Table]],G:G,"Y",D:D,",")) &gt; 0,"rg:[ { 'req' : '"&amp;concatif2(A:A,Table2[[#This Row],[!Table]],G:G,"Y",D:D,"' }, { 'req': '")&amp;"'} ]","rg:[]")</f>
        <v>rg:[ { 'req' : 'id'} ]</v>
      </c>
    </row>
    <row r="142" spans="1:21" x14ac:dyDescent="0.3">
      <c r="A142" s="3" t="s">
        <v>146</v>
      </c>
      <c r="B142" s="3" t="s">
        <v>10</v>
      </c>
      <c r="C142" s="3"/>
      <c r="D142" s="3" t="s">
        <v>84</v>
      </c>
      <c r="E142" s="3" t="s">
        <v>147</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row>
    <row r="143" spans="1:21" x14ac:dyDescent="0.3">
      <c r="A143" s="3" t="s">
        <v>146</v>
      </c>
      <c r="B143" s="3" t="s">
        <v>10</v>
      </c>
      <c r="C143" s="3"/>
      <c r="D143" s="3" t="s">
        <v>148</v>
      </c>
      <c r="E143" s="3" t="s">
        <v>149</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row>
    <row r="144" spans="1:21" x14ac:dyDescent="0.3">
      <c r="A144" s="3" t="s">
        <v>146</v>
      </c>
      <c r="B144" s="3" t="s">
        <v>24</v>
      </c>
      <c r="C144" s="3"/>
      <c r="D144" s="3" t="s">
        <v>150</v>
      </c>
      <c r="E144" s="3" t="s">
        <v>151</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row>
    <row r="145" spans="1:21" x14ac:dyDescent="0.3">
      <c r="A145" s="3" t="s">
        <v>146</v>
      </c>
      <c r="B145" s="3" t="s">
        <v>17</v>
      </c>
      <c r="C145" s="3"/>
      <c r="D145" s="3" t="s">
        <v>152</v>
      </c>
      <c r="E145" s="3" t="s">
        <v>7</v>
      </c>
      <c r="F145" s="3" t="s">
        <v>144</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ref</v>
      </c>
      <c r="O145" s="5" t="str">
        <f>IF(Table2[[#This Row],[!Type]]=O$1, O$1,"rg:None")</f>
        <v>rg:None</v>
      </c>
      <c r="P145" s="5" t="str">
        <f>IF(Table2[[#This Row],[!Type]]=P$1, P$1,"rg:None")</f>
        <v>rg:None</v>
      </c>
      <c r="Q145" s="10" t="str">
        <f>IF(LEN(Table2[[#This Row],[!Length]]) &gt; 0, Table2[[#This Row],[!Length]], "rg:None")</f>
        <v>rg:None</v>
      </c>
      <c r="R145" s="10" t="str">
        <f>IF(LEN(Table2[[#This Row],[!Name]]) &gt; 0, Table2[[#This Row],[!Name]], "rg:None")</f>
        <v>favouriteContextType</v>
      </c>
      <c r="S145" s="10" t="str">
        <f>IF(LEN(Table2[[#This Row],[!Description]]) &gt; 0, Table2[[#This Row],[!Description]], "rg:None")</f>
        <v>rg:None</v>
      </c>
      <c r="T145" s="10" t="str">
        <f>IF(LEN(Table2[[#This Row],[!FK]])&gt;0,Table2[[#This Row],[!FK]],"rg:None")</f>
        <v>FavouriteContextType</v>
      </c>
      <c r="U145" s="10" t="str">
        <f>IF(LEN(concatif2(A:A,Table2[[#This Row],[!Table]],G:G,"Y",D:D,",")) &gt; 0,"rg:[ { 'req' : '"&amp;concatif2(A:A,Table2[[#This Row],[!Table]],G:G,"Y",D:D,"' }, { 'req': '")&amp;"'} ]","rg:[]")</f>
        <v>rg:[ { 'req' : 'id'} ]</v>
      </c>
    </row>
    <row r="146" spans="1:21" x14ac:dyDescent="0.3">
      <c r="A146" s="3" t="s">
        <v>153</v>
      </c>
      <c r="B146" s="3" t="s">
        <v>5</v>
      </c>
      <c r="C146" s="3"/>
      <c r="D146" s="3" t="s">
        <v>153</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row>
    <row r="147" spans="1:21" x14ac:dyDescent="0.3">
      <c r="A147" s="3" t="s">
        <v>153</v>
      </c>
      <c r="B147" s="3" t="s">
        <v>8</v>
      </c>
      <c r="C147" s="3"/>
      <c r="D147" s="3" t="s">
        <v>8</v>
      </c>
      <c r="E147" s="3" t="s">
        <v>9</v>
      </c>
      <c r="F147" s="3" t="s">
        <v>7</v>
      </c>
      <c r="G147" s="4" t="s">
        <v>215</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row>
    <row r="148" spans="1:21" x14ac:dyDescent="0.3">
      <c r="A148" s="3" t="s">
        <v>153</v>
      </c>
      <c r="B148" s="3" t="s">
        <v>62</v>
      </c>
      <c r="C148" s="3"/>
      <c r="D148" s="3" t="s">
        <v>154</v>
      </c>
      <c r="E148" s="3" t="s">
        <v>155</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row>
    <row r="149" spans="1:21" x14ac:dyDescent="0.3">
      <c r="A149" s="3" t="s">
        <v>153</v>
      </c>
      <c r="B149" s="3" t="s">
        <v>10</v>
      </c>
      <c r="C149" s="3"/>
      <c r="D149" s="3" t="s">
        <v>84</v>
      </c>
      <c r="E149" s="3" t="s">
        <v>156</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row>
    <row r="150" spans="1:21" x14ac:dyDescent="0.3">
      <c r="A150" s="3" t="s">
        <v>153</v>
      </c>
      <c r="B150" s="3" t="s">
        <v>43</v>
      </c>
      <c r="C150" s="3"/>
      <c r="D150" s="3" t="s">
        <v>157</v>
      </c>
      <c r="E150" s="3" t="s">
        <v>158</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row>
    <row r="151" spans="1:21" x14ac:dyDescent="0.3">
      <c r="A151" s="3" t="s">
        <v>153</v>
      </c>
      <c r="B151" s="3" t="s">
        <v>43</v>
      </c>
      <c r="C151" s="3"/>
      <c r="D151" s="3" t="s">
        <v>159</v>
      </c>
      <c r="E151" s="3" t="s">
        <v>160</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row>
    <row r="152" spans="1:21" x14ac:dyDescent="0.3">
      <c r="A152" s="3" t="s">
        <v>161</v>
      </c>
      <c r="B152" s="3" t="s">
        <v>5</v>
      </c>
      <c r="C152" s="3"/>
      <c r="D152" s="3" t="s">
        <v>161</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row>
    <row r="153" spans="1:21" x14ac:dyDescent="0.3">
      <c r="A153" s="3" t="s">
        <v>161</v>
      </c>
      <c r="B153" s="3" t="s">
        <v>8</v>
      </c>
      <c r="C153" s="3"/>
      <c r="D153" s="3" t="s">
        <v>8</v>
      </c>
      <c r="E153" s="3" t="s">
        <v>9</v>
      </c>
      <c r="F153" s="3" t="s">
        <v>7</v>
      </c>
      <c r="G153" s="4" t="s">
        <v>215</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row>
    <row r="154" spans="1:21" x14ac:dyDescent="0.3">
      <c r="A154" s="3" t="s">
        <v>161</v>
      </c>
      <c r="B154" s="3" t="s">
        <v>62</v>
      </c>
      <c r="C154" s="3"/>
      <c r="D154" s="3" t="s">
        <v>162</v>
      </c>
      <c r="E154" s="3" t="s">
        <v>163</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row>
    <row r="155" spans="1:21" x14ac:dyDescent="0.3">
      <c r="A155" s="3" t="s">
        <v>161</v>
      </c>
      <c r="B155" s="3" t="s">
        <v>10</v>
      </c>
      <c r="C155" s="3"/>
      <c r="D155" s="3" t="s">
        <v>84</v>
      </c>
      <c r="E155" s="3" t="s">
        <v>164</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row>
    <row r="156" spans="1:21" x14ac:dyDescent="0.3">
      <c r="A156" s="3" t="s">
        <v>161</v>
      </c>
      <c r="B156" s="3" t="s">
        <v>17</v>
      </c>
      <c r="C156" s="3"/>
      <c r="D156" s="3" t="s">
        <v>165</v>
      </c>
      <c r="E156" s="3" t="s">
        <v>166</v>
      </c>
      <c r="F156" s="3" t="s">
        <v>153</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row>
    <row r="157" spans="1:21" x14ac:dyDescent="0.3">
      <c r="A157" s="3" t="s">
        <v>161</v>
      </c>
      <c r="B157" s="3" t="s">
        <v>43</v>
      </c>
      <c r="C157" s="3"/>
      <c r="D157" s="3" t="s">
        <v>157</v>
      </c>
      <c r="E157" s="3" t="s">
        <v>167</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row>
    <row r="158" spans="1:21" x14ac:dyDescent="0.3">
      <c r="A158" s="3" t="s">
        <v>161</v>
      </c>
      <c r="B158" s="3" t="s">
        <v>43</v>
      </c>
      <c r="C158" s="3"/>
      <c r="D158" s="3" t="s">
        <v>159</v>
      </c>
      <c r="E158" s="3" t="s">
        <v>168</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row>
    <row r="159" spans="1:21"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8</v>
      </c>
      <c r="C160" s="3"/>
      <c r="D160" s="3" t="s">
        <v>8</v>
      </c>
      <c r="E160" s="3" t="s">
        <v>9</v>
      </c>
      <c r="F160" s="3" t="s">
        <v>7</v>
      </c>
      <c r="G160" s="4" t="s">
        <v>215</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62</v>
      </c>
      <c r="C161" s="3"/>
      <c r="D161" s="3" t="s">
        <v>169</v>
      </c>
      <c r="E161" s="3" t="s">
        <v>170</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row>
    <row r="162" spans="1:21" x14ac:dyDescent="0.3">
      <c r="A162" s="3" t="s">
        <v>27</v>
      </c>
      <c r="B162" s="3" t="s">
        <v>10</v>
      </c>
      <c r="C162" s="3"/>
      <c r="D162" s="3" t="s">
        <v>84</v>
      </c>
      <c r="E162" s="3" t="s">
        <v>171</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row>
    <row r="163" spans="1:21" x14ac:dyDescent="0.3">
      <c r="A163" s="3" t="s">
        <v>27</v>
      </c>
      <c r="B163" s="3" t="s">
        <v>17</v>
      </c>
      <c r="C163" s="3"/>
      <c r="D163" s="3" t="s">
        <v>172</v>
      </c>
      <c r="E163" s="3" t="s">
        <v>173</v>
      </c>
      <c r="F163" s="3" t="s">
        <v>161</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row>
    <row r="164" spans="1:21" x14ac:dyDescent="0.3">
      <c r="A164" s="3" t="s">
        <v>27</v>
      </c>
      <c r="B164" s="3" t="s">
        <v>43</v>
      </c>
      <c r="C164" s="3"/>
      <c r="D164" s="3" t="s">
        <v>157</v>
      </c>
      <c r="E164" s="3" t="s">
        <v>174</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row>
    <row r="165" spans="1:21" x14ac:dyDescent="0.3">
      <c r="A165" s="3" t="s">
        <v>27</v>
      </c>
      <c r="B165" s="3" t="s">
        <v>43</v>
      </c>
      <c r="C165" s="3"/>
      <c r="D165" s="3" t="s">
        <v>159</v>
      </c>
      <c r="E165" s="3" t="s">
        <v>175</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row>
    <row r="166" spans="1:21" x14ac:dyDescent="0.3">
      <c r="A166" s="3" t="s">
        <v>50</v>
      </c>
      <c r="B166" s="3" t="s">
        <v>5</v>
      </c>
      <c r="C166" s="3"/>
      <c r="D166" s="3" t="s">
        <v>50</v>
      </c>
      <c r="E166" s="17" t="s">
        <v>316</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A list of School Districts in the Province of BC. Authoritative source to be determined.</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8</v>
      </c>
      <c r="C167" s="3"/>
      <c r="D167" s="3" t="s">
        <v>8</v>
      </c>
      <c r="E167" s="3" t="s">
        <v>9</v>
      </c>
      <c r="F167" s="3" t="s">
        <v>7</v>
      </c>
      <c r="G167" s="4" t="s">
        <v>215</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row>
    <row r="168" spans="1:21" x14ac:dyDescent="0.3">
      <c r="A168" s="3" t="s">
        <v>50</v>
      </c>
      <c r="B168" s="3" t="s">
        <v>10</v>
      </c>
      <c r="C168" s="3"/>
      <c r="D168" s="3" t="s">
        <v>84</v>
      </c>
      <c r="E168" s="3" t="s">
        <v>176</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row>
    <row r="169" spans="1:21" x14ac:dyDescent="0.3">
      <c r="A169" s="3" t="s">
        <v>50</v>
      </c>
      <c r="B169" s="3" t="s">
        <v>10</v>
      </c>
      <c r="C169" s="3"/>
      <c r="D169" s="3" t="s">
        <v>177</v>
      </c>
      <c r="E169" s="3" t="s">
        <v>178</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row>
    <row r="170" spans="1:21" x14ac:dyDescent="0.3">
      <c r="A170" s="3" t="s">
        <v>34</v>
      </c>
      <c r="B170" s="3" t="s">
        <v>5</v>
      </c>
      <c r="C170" s="3"/>
      <c r="D170" s="3" t="s">
        <v>34</v>
      </c>
      <c r="E170" s="3" t="s">
        <v>256</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row>
    <row r="171" spans="1:21" x14ac:dyDescent="0.3">
      <c r="A171" s="3" t="s">
        <v>34</v>
      </c>
      <c r="B171" s="3" t="s">
        <v>8</v>
      </c>
      <c r="C171" s="3"/>
      <c r="D171" s="3" t="s">
        <v>8</v>
      </c>
      <c r="E171" s="3" t="s">
        <v>9</v>
      </c>
      <c r="F171" s="3" t="s">
        <v>7</v>
      </c>
      <c r="G171" s="4" t="s">
        <v>215</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row>
    <row r="172" spans="1:21" x14ac:dyDescent="0.3">
      <c r="A172" s="3" t="s">
        <v>34</v>
      </c>
      <c r="B172" s="3" t="s">
        <v>10</v>
      </c>
      <c r="C172" s="3"/>
      <c r="D172" s="3" t="s">
        <v>84</v>
      </c>
      <c r="E172" s="3" t="s">
        <v>179</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row>
    <row r="173" spans="1:21" x14ac:dyDescent="0.3">
      <c r="A173" s="3" t="s">
        <v>180</v>
      </c>
      <c r="B173" s="3" t="s">
        <v>5</v>
      </c>
      <c r="C173" s="3"/>
      <c r="D173" s="3" t="s">
        <v>180</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row>
    <row r="174" spans="1:21" x14ac:dyDescent="0.3">
      <c r="A174" s="3" t="s">
        <v>180</v>
      </c>
      <c r="B174" s="3" t="s">
        <v>8</v>
      </c>
      <c r="C174" s="3"/>
      <c r="D174" s="3" t="s">
        <v>8</v>
      </c>
      <c r="E174" s="3" t="s">
        <v>9</v>
      </c>
      <c r="F174" s="3" t="s">
        <v>7</v>
      </c>
      <c r="G174" s="4" t="s">
        <v>215</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row>
    <row r="175" spans="1:21" x14ac:dyDescent="0.3">
      <c r="A175" s="3" t="s">
        <v>180</v>
      </c>
      <c r="B175" s="3" t="s">
        <v>17</v>
      </c>
      <c r="C175" s="3"/>
      <c r="D175" s="3" t="s">
        <v>181</v>
      </c>
      <c r="E175" s="3" t="s">
        <v>7</v>
      </c>
      <c r="F175" s="3" t="s">
        <v>182</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row>
    <row r="176" spans="1:21" x14ac:dyDescent="0.3">
      <c r="A176" s="3" t="s">
        <v>180</v>
      </c>
      <c r="B176" s="3" t="s">
        <v>17</v>
      </c>
      <c r="C176" s="3"/>
      <c r="D176" s="3" t="s">
        <v>183</v>
      </c>
      <c r="E176" s="3" t="s">
        <v>7</v>
      </c>
      <c r="F176" s="3" t="s">
        <v>182</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row>
    <row r="177" spans="1:21" x14ac:dyDescent="0.3">
      <c r="A177" s="3" t="s">
        <v>180</v>
      </c>
      <c r="B177" s="3" t="s">
        <v>24</v>
      </c>
      <c r="C177" s="3"/>
      <c r="D177" s="3" t="s">
        <v>184</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row>
    <row r="178" spans="1:21" x14ac:dyDescent="0.3">
      <c r="A178" s="3" t="s">
        <v>180</v>
      </c>
      <c r="B178" s="3" t="s">
        <v>24</v>
      </c>
      <c r="C178" s="3"/>
      <c r="D178" s="3" t="s">
        <v>185</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180</v>
      </c>
      <c r="B179" s="3" t="s">
        <v>24</v>
      </c>
      <c r="C179" s="3"/>
      <c r="D179" s="3" t="s">
        <v>186</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180</v>
      </c>
      <c r="B180" s="3" t="s">
        <v>24</v>
      </c>
      <c r="C180" s="3"/>
      <c r="D180" s="3" t="s">
        <v>187</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row>
    <row r="181" spans="1:21" x14ac:dyDescent="0.3">
      <c r="A181" s="3" t="s">
        <v>180</v>
      </c>
      <c r="B181" s="3" t="s">
        <v>10</v>
      </c>
      <c r="C181" s="3"/>
      <c r="D181" s="3" t="s">
        <v>188</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row>
    <row r="182" spans="1:21" x14ac:dyDescent="0.3">
      <c r="A182" s="3" t="s">
        <v>180</v>
      </c>
      <c r="B182" s="3" t="s">
        <v>17</v>
      </c>
      <c r="C182" s="3"/>
      <c r="D182" s="3" t="s">
        <v>189</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row>
    <row r="183" spans="1:21" x14ac:dyDescent="0.3">
      <c r="A183" s="3" t="s">
        <v>182</v>
      </c>
      <c r="B183" s="3" t="s">
        <v>5</v>
      </c>
      <c r="C183" s="3"/>
      <c r="D183" s="3" t="s">
        <v>182</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row>
    <row r="184" spans="1:21" x14ac:dyDescent="0.3">
      <c r="A184" s="3" t="s">
        <v>182</v>
      </c>
      <c r="B184" s="3" t="s">
        <v>8</v>
      </c>
      <c r="C184" s="3"/>
      <c r="D184" s="3" t="s">
        <v>8</v>
      </c>
      <c r="E184" s="3" t="s">
        <v>9</v>
      </c>
      <c r="F184" s="3" t="s">
        <v>7</v>
      </c>
      <c r="G184" s="4" t="s">
        <v>215</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row>
    <row r="185" spans="1:21" x14ac:dyDescent="0.3">
      <c r="A185" s="3" t="s">
        <v>182</v>
      </c>
      <c r="B185" s="8" t="s">
        <v>43</v>
      </c>
      <c r="C185" s="3"/>
      <c r="D185" s="3" t="s">
        <v>190</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row>
    <row r="186" spans="1:21" x14ac:dyDescent="0.3">
      <c r="A186" s="3" t="s">
        <v>182</v>
      </c>
      <c r="B186" s="3" t="s">
        <v>10</v>
      </c>
      <c r="C186" s="3"/>
      <c r="D186" s="3" t="s">
        <v>191</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182</v>
      </c>
      <c r="B187" s="3" t="s">
        <v>10</v>
      </c>
      <c r="C187" s="3"/>
      <c r="D187" s="3" t="s">
        <v>192</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182</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row>
    <row r="189" spans="1:21" x14ac:dyDescent="0.3">
      <c r="A189" s="3" t="s">
        <v>182</v>
      </c>
      <c r="B189" s="3" t="s">
        <v>24</v>
      </c>
      <c r="C189" s="3"/>
      <c r="D189" s="3" t="s">
        <v>193</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row>
    <row r="190" spans="1:21" x14ac:dyDescent="0.3">
      <c r="A190" s="3" t="s">
        <v>182</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row>
    <row r="191" spans="1:21" x14ac:dyDescent="0.3">
      <c r="A191" s="3" t="s">
        <v>0</v>
      </c>
      <c r="B191" s="3" t="s">
        <v>5</v>
      </c>
      <c r="C191" s="3"/>
      <c r="D191" s="3" t="s">
        <v>0</v>
      </c>
      <c r="E191" s="3" t="s">
        <v>257</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row>
    <row r="192" spans="1:21" x14ac:dyDescent="0.3">
      <c r="A192" s="3" t="s">
        <v>0</v>
      </c>
      <c r="B192" s="3" t="s">
        <v>8</v>
      </c>
      <c r="C192" s="3"/>
      <c r="D192" s="3" t="s">
        <v>8</v>
      </c>
      <c r="E192" s="3" t="s">
        <v>9</v>
      </c>
      <c r="F192" s="3" t="s">
        <v>7</v>
      </c>
      <c r="G192" s="4" t="s">
        <v>215</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101</v>
      </c>
      <c r="E194" s="3" t="s">
        <v>7</v>
      </c>
      <c r="F194" s="3" t="s">
        <v>7</v>
      </c>
      <c r="G194" s="4"/>
      <c r="H194" s="5" t="str">
        <f t="shared" ref="H194:H232"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10</v>
      </c>
      <c r="C195" s="3"/>
      <c r="D195" s="3" t="s">
        <v>195</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10</v>
      </c>
      <c r="C196" s="3"/>
      <c r="D196" s="3" t="s">
        <v>196</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24</v>
      </c>
      <c r="C197" s="3"/>
      <c r="D197" s="3" t="s">
        <v>194</v>
      </c>
      <c r="E197" s="3" t="s">
        <v>7</v>
      </c>
      <c r="F197" s="3" t="s">
        <v>7</v>
      </c>
      <c r="G197" s="4" t="s">
        <v>215</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10</v>
      </c>
      <c r="C198" s="3"/>
      <c r="D198" s="3" t="s">
        <v>197</v>
      </c>
      <c r="E198" s="3" t="s">
        <v>198</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0</v>
      </c>
      <c r="B199" s="3" t="s">
        <v>10</v>
      </c>
      <c r="C199" s="3"/>
      <c r="D199" s="3" t="s">
        <v>199</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row>
    <row r="200" spans="1:21" x14ac:dyDescent="0.3">
      <c r="A200" s="3" t="s">
        <v>0</v>
      </c>
      <c r="B200" s="3" t="s">
        <v>10</v>
      </c>
      <c r="C200" s="3"/>
      <c r="D200" s="3" t="s">
        <v>200</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row>
    <row r="201" spans="1:21" x14ac:dyDescent="0.3">
      <c r="A201" s="3" t="s">
        <v>0</v>
      </c>
      <c r="B201" s="3" t="s">
        <v>107</v>
      </c>
      <c r="C201" s="3"/>
      <c r="D201" s="3" t="s">
        <v>201</v>
      </c>
      <c r="E201" s="3" t="s">
        <v>7</v>
      </c>
      <c r="F201" s="3" t="s">
        <v>203</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links</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userRoles</v>
      </c>
      <c r="S201" s="10" t="str">
        <f>IF(LEN(Table2[[#This Row],[!Description]]) &gt; 0, Table2[[#This Row],[!Description]], "rg:None")</f>
        <v>rg:None</v>
      </c>
      <c r="T201" s="10" t="str">
        <f>IF(LEN(Table2[[#This Row],[!FK]])&gt;0,Table2[[#This Row],[!FK]],"rg:None")</f>
        <v>UserRole</v>
      </c>
      <c r="U201" s="10" t="str">
        <f>IF(LEN(concatif2(A:A,Table2[[#This Row],[!Table]],G:G,"Y",D:D,",")) &gt; 0,"rg:[ { 'req' : '"&amp;concatif2(A:A,Table2[[#This Row],[!Table]],G:G,"Y",D:D,"' }, { 'req': '")&amp;"'} ]","rg:[]")</f>
        <v>rg:[ { 'req' : 'id' }, { 'req': 'active'} ]</v>
      </c>
    </row>
    <row r="202" spans="1:21" x14ac:dyDescent="0.3">
      <c r="A202" s="3" t="s">
        <v>0</v>
      </c>
      <c r="B202" s="3" t="s">
        <v>107</v>
      </c>
      <c r="C202" s="3"/>
      <c r="D202" s="3" t="s">
        <v>202</v>
      </c>
      <c r="E202" s="3" t="s">
        <v>7</v>
      </c>
      <c r="F202" s="3" t="s">
        <v>212</v>
      </c>
      <c r="G202" s="4"/>
      <c r="H202" s="5" t="str">
        <f t="shared" si="3"/>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links</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groupMemberships</v>
      </c>
      <c r="S202" s="10" t="str">
        <f>IF(LEN(Table2[[#This Row],[!Description]]) &gt; 0, Table2[[#This Row],[!Description]], "rg:None")</f>
        <v>rg:None</v>
      </c>
      <c r="T202" s="10" t="str">
        <f>IF(LEN(Table2[[#This Row],[!FK]])&gt;0,Table2[[#This Row],[!FK]],"rg:None")</f>
        <v>GroupMembership</v>
      </c>
      <c r="U202" s="10" t="str">
        <f>IF(LEN(concatif2(A:A,Table2[[#This Row],[!Table]],G:G,"Y",D:D,",")) &gt; 0,"rg:[ { 'req' : '"&amp;concatif2(A:A,Table2[[#This Row],[!Table]],G:G,"Y",D:D,"' }, { 'req': '")&amp;"'} ]","rg:[]")</f>
        <v>rg:[ { 'req' : 'id' }, { 'req': 'active'} ]</v>
      </c>
    </row>
    <row r="203" spans="1:21" x14ac:dyDescent="0.3">
      <c r="A203" s="3" t="s">
        <v>203</v>
      </c>
      <c r="B203" s="3" t="s">
        <v>5</v>
      </c>
      <c r="C203" s="3"/>
      <c r="D203" s="3" t="s">
        <v>203</v>
      </c>
      <c r="E203" s="3" t="s">
        <v>7</v>
      </c>
      <c r="F203" s="3" t="s">
        <v>7</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table</v>
      </c>
      <c r="Q203" s="10" t="str">
        <f>IF(LEN(Table2[[#This Row],[!Length]]) &gt; 0, Table2[[#This Row],[!Length]], "rg:None")</f>
        <v>rg:None</v>
      </c>
      <c r="R203" s="10" t="str">
        <f>IF(LEN(Table2[[#This Row],[!Name]]) &gt; 0, Table2[[#This Row],[!Name]], "rg:None")</f>
        <v>UserRole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row>
    <row r="204" spans="1:21" x14ac:dyDescent="0.3">
      <c r="A204" s="3" t="s">
        <v>203</v>
      </c>
      <c r="B204" s="3" t="s">
        <v>8</v>
      </c>
      <c r="C204" s="3"/>
      <c r="D204" s="3" t="s">
        <v>8</v>
      </c>
      <c r="E204" s="3" t="s">
        <v>9</v>
      </c>
      <c r="F204" s="3" t="s">
        <v>7</v>
      </c>
      <c r="G204" s="4" t="s">
        <v>215</v>
      </c>
      <c r="H204" s="5" t="str">
        <f t="shared" si="3"/>
        <v>Defs</v>
      </c>
      <c r="I204" t="str">
        <f>IF(Table2[[#This Row],[!Type]]=I$1, I$1,"rg:None")</f>
        <v>rg:None</v>
      </c>
      <c r="J204" t="str">
        <f>IF(Table2[[#This Row],[!Type]]=J$1, J$1,"rg:None")</f>
        <v>rg:None</v>
      </c>
      <c r="K204" t="str">
        <f>IF(Table2[[#This Row],[!Type]]=K$1, K$1,"rg:None")</f>
        <v>id</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id</v>
      </c>
      <c r="S204" s="10" t="str">
        <f>IF(LEN(Table2[[#This Row],[!Description]]) &gt; 0, Table2[[#This Row],[!Description]], "rg:None")</f>
        <v>Primary Key</v>
      </c>
      <c r="T204" s="10" t="str">
        <f>IF(LEN(Table2[[#This Row],[!FK]])&gt;0,Table2[[#This Row],[!FK]],"rg:None")</f>
        <v>rg:None</v>
      </c>
      <c r="U204" s="10" t="str">
        <f>IF(LEN(concatif2(A:A,Table2[[#This Row],[!Table]],G:G,"Y",D:D,",")) &gt; 0,"rg:[ { 'req' : '"&amp;concatif2(A:A,Table2[[#This Row],[!Table]],G:G,"Y",D:D,"' }, { 'req': '")&amp;"'} ]","rg:[]")</f>
        <v>rg:[ { 'req' : 'id' }, { 'req': 'effectiveDate'} ]</v>
      </c>
    </row>
    <row r="205" spans="1:21" x14ac:dyDescent="0.3">
      <c r="A205" s="3" t="s">
        <v>203</v>
      </c>
      <c r="B205" s="3" t="s">
        <v>43</v>
      </c>
      <c r="C205" s="3"/>
      <c r="D205" s="3" t="s">
        <v>204</v>
      </c>
      <c r="E205" s="3" t="s">
        <v>7</v>
      </c>
      <c r="F205" s="3" t="s">
        <v>7</v>
      </c>
      <c r="G205" s="4" t="s">
        <v>215</v>
      </c>
      <c r="H205" s="5" t="str">
        <f t="shared" si="3"/>
        <v>Defs</v>
      </c>
      <c r="I205" t="str">
        <f>IF(Table2[[#This Row],[!Type]]=I$1, I$1,"rg:None")</f>
        <v>rg:None</v>
      </c>
      <c r="J205" t="str">
        <f>IF(Table2[[#This Row],[!Type]]=J$1, J$1,"rg:None")</f>
        <v>datetime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effectiveDate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'effectiveDate'} ]</v>
      </c>
    </row>
    <row r="206" spans="1:21" x14ac:dyDescent="0.3">
      <c r="A206" s="3" t="s">
        <v>203</v>
      </c>
      <c r="B206" s="3" t="s">
        <v>43</v>
      </c>
      <c r="C206" s="3"/>
      <c r="D206" s="3" t="s">
        <v>205</v>
      </c>
      <c r="E206" s="3" t="s">
        <v>7</v>
      </c>
      <c r="F206" s="3" t="s">
        <v>7</v>
      </c>
      <c r="G206" s="4"/>
      <c r="H206" s="5" t="str">
        <f t="shared" si="3"/>
        <v>Defs</v>
      </c>
      <c r="I206" t="str">
        <f>IF(Table2[[#This Row],[!Type]]=I$1, I$1,"rg:None")</f>
        <v>rg:None</v>
      </c>
      <c r="J206" t="str">
        <f>IF(Table2[[#This Row],[!Type]]=J$1, J$1,"rg:None")</f>
        <v>datetime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expiryDate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'effectiveDate'} ]</v>
      </c>
    </row>
    <row r="207" spans="1:21" x14ac:dyDescent="0.3">
      <c r="A207" s="3" t="s">
        <v>203</v>
      </c>
      <c r="B207" s="3" t="s">
        <v>17</v>
      </c>
      <c r="C207" s="3"/>
      <c r="D207" s="3" t="s">
        <v>189</v>
      </c>
      <c r="E207" s="3" t="s">
        <v>7</v>
      </c>
      <c r="F207" s="3" t="s">
        <v>0</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ref</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user</v>
      </c>
      <c r="S207" s="10" t="str">
        <f>IF(LEN(Table2[[#This Row],[!Description]]) &gt; 0, Table2[[#This Row],[!Description]], "rg:None")</f>
        <v>rg:None</v>
      </c>
      <c r="T207" s="10" t="str">
        <f>IF(LEN(Table2[[#This Row],[!FK]])&gt;0,Table2[[#This Row],[!FK]],"rg:None")</f>
        <v>User</v>
      </c>
      <c r="U207" s="10" t="str">
        <f>IF(LEN(concatif2(A:A,Table2[[#This Row],[!Table]],G:G,"Y",D:D,",")) &gt; 0,"rg:[ { 'req' : '"&amp;concatif2(A:A,Table2[[#This Row],[!Table]],G:G,"Y",D:D,"' }, { 'req': '")&amp;"'} ]","rg:[]")</f>
        <v>rg:[ { 'req' : 'id' }, { 'req': 'effectiveDate'} ]</v>
      </c>
    </row>
    <row r="208" spans="1:21" x14ac:dyDescent="0.3">
      <c r="A208" s="3" t="s">
        <v>203</v>
      </c>
      <c r="B208" s="3" t="s">
        <v>17</v>
      </c>
      <c r="C208" s="3"/>
      <c r="D208" s="3" t="s">
        <v>103</v>
      </c>
      <c r="E208" s="3" t="s">
        <v>7</v>
      </c>
      <c r="F208" s="3" t="s">
        <v>206</v>
      </c>
      <c r="G208" s="4"/>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ref</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role</v>
      </c>
      <c r="S208" s="10" t="str">
        <f>IF(LEN(Table2[[#This Row],[!Description]]) &gt; 0, Table2[[#This Row],[!Description]], "rg:None")</f>
        <v>rg:None</v>
      </c>
      <c r="T208" s="10" t="str">
        <f>IF(LEN(Table2[[#This Row],[!FK]])&gt;0,Table2[[#This Row],[!FK]],"rg:None")</f>
        <v>Role</v>
      </c>
      <c r="U208" s="10" t="str">
        <f>IF(LEN(concatif2(A:A,Table2[[#This Row],[!Table]],G:G,"Y",D:D,",")) &gt; 0,"rg:[ { 'req' : '"&amp;concatif2(A:A,Table2[[#This Row],[!Table]],G:G,"Y",D:D,"' }, { 'req': '")&amp;"'} ]","rg:[]")</f>
        <v>rg:[ { 'req' : 'id' }, { 'req': 'effectiveDate'} ]</v>
      </c>
    </row>
    <row r="209" spans="1:21" x14ac:dyDescent="0.3">
      <c r="A209" s="3" t="s">
        <v>206</v>
      </c>
      <c r="B209" s="3" t="s">
        <v>5</v>
      </c>
      <c r="C209" s="3"/>
      <c r="D209" s="3" t="s">
        <v>206</v>
      </c>
      <c r="E209" s="3" t="s">
        <v>7</v>
      </c>
      <c r="F209" s="3" t="s">
        <v>7</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rg:None</v>
      </c>
      <c r="P209" s="5" t="str">
        <f>IF(Table2[[#This Row],[!Type]]=P$1, P$1,"rg:None")</f>
        <v>table</v>
      </c>
      <c r="Q209" s="10" t="str">
        <f>IF(LEN(Table2[[#This Row],[!Length]]) &gt; 0, Table2[[#This Row],[!Length]], "rg:None")</f>
        <v>rg:None</v>
      </c>
      <c r="R209" s="10" t="str">
        <f>IF(LEN(Table2[[#This Row],[!Name]]) &gt; 0, Table2[[#This Row],[!Name]], "rg:None")</f>
        <v>Role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row>
    <row r="210" spans="1:21" x14ac:dyDescent="0.3">
      <c r="A210" s="3" t="s">
        <v>206</v>
      </c>
      <c r="B210" s="3" t="s">
        <v>8</v>
      </c>
      <c r="C210" s="3"/>
      <c r="D210" s="3" t="s">
        <v>8</v>
      </c>
      <c r="E210" s="3" t="s">
        <v>9</v>
      </c>
      <c r="F210" s="3" t="s">
        <v>7</v>
      </c>
      <c r="G210" s="4" t="s">
        <v>215</v>
      </c>
      <c r="H210" s="5" t="str">
        <f t="shared" si="3"/>
        <v>Defs</v>
      </c>
      <c r="I210" t="str">
        <f>IF(Table2[[#This Row],[!Type]]=I$1, I$1,"rg:None")</f>
        <v>rg:None</v>
      </c>
      <c r="J210" t="str">
        <f>IF(Table2[[#This Row],[!Type]]=J$1, J$1,"rg:None")</f>
        <v>rg:None</v>
      </c>
      <c r="K210" t="str">
        <f>IF(Table2[[#This Row],[!Type]]=K$1, K$1,"rg:None")</f>
        <v>id</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id</v>
      </c>
      <c r="S210" s="10" t="str">
        <f>IF(LEN(Table2[[#This Row],[!Description]]) &gt; 0, Table2[[#This Row],[!Description]], "rg:None")</f>
        <v>Primary Key</v>
      </c>
      <c r="T210" s="10" t="str">
        <f>IF(LEN(Table2[[#This Row],[!FK]])&gt;0,Table2[[#This Row],[!FK]],"rg:None")</f>
        <v>rg:None</v>
      </c>
      <c r="U210" s="10" t="str">
        <f>IF(LEN(concatif2(A:A,Table2[[#This Row],[!Table]],G:G,"Y",D:D,",")) &gt; 0,"rg:[ { 'req' : '"&amp;concatif2(A:A,Table2[[#This Row],[!Table]],G:G,"Y",D:D,"' }, { 'req': '")&amp;"'} ]","rg:[]")</f>
        <v>rg:[ { 'req' : 'id' }, { 'req': 'name' }, { 'req': 'description'} ]</v>
      </c>
    </row>
    <row r="211" spans="1:21" x14ac:dyDescent="0.3">
      <c r="A211" s="3" t="s">
        <v>206</v>
      </c>
      <c r="B211" s="3" t="s">
        <v>10</v>
      </c>
      <c r="C211" s="3"/>
      <c r="D211" s="3" t="s">
        <v>84</v>
      </c>
      <c r="E211" s="3" t="s">
        <v>7</v>
      </c>
      <c r="F211" s="3" t="s">
        <v>7</v>
      </c>
      <c r="G211" s="4" t="s">
        <v>215</v>
      </c>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rg:None</v>
      </c>
      <c r="O211" s="5" t="str">
        <f>IF(Table2[[#This Row],[!Type]]=O$1, O$1,"rg:None")</f>
        <v>string</v>
      </c>
      <c r="P211" s="5" t="str">
        <f>IF(Table2[[#This Row],[!Type]]=P$1, P$1,"rg:None")</f>
        <v>rg:None</v>
      </c>
      <c r="Q211" s="10" t="str">
        <f>IF(LEN(Table2[[#This Row],[!Length]]) &gt; 0, Table2[[#This Row],[!Length]], "rg:None")</f>
        <v>rg:None</v>
      </c>
      <c r="R211" s="10" t="str">
        <f>IF(LEN(Table2[[#This Row],[!Name]]) &gt; 0, Table2[[#This Row],[!Name]], "rg:None")</f>
        <v>name</v>
      </c>
      <c r="S211" s="10" t="str">
        <f>IF(LEN(Table2[[#This Row],[!Description]]) &gt; 0, Table2[[#This Row],[!Description]], "rg:None")</f>
        <v>rg:None</v>
      </c>
      <c r="T211" s="10" t="str">
        <f>IF(LEN(Table2[[#This Row],[!FK]])&gt;0,Table2[[#This Row],[!FK]],"rg:None")</f>
        <v>rg:None</v>
      </c>
      <c r="U211" s="10" t="str">
        <f>IF(LEN(concatif2(A:A,Table2[[#This Row],[!Table]],G:G,"Y",D:D,",")) &gt; 0,"rg:[ { 'req' : '"&amp;concatif2(A:A,Table2[[#This Row],[!Table]],G:G,"Y",D:D,"' }, { 'req': '")&amp;"'} ]","rg:[]")</f>
        <v>rg:[ { 'req' : 'id' }, { 'req': 'name' }, { 'req': 'description'} ]</v>
      </c>
    </row>
    <row r="212" spans="1:21" x14ac:dyDescent="0.3">
      <c r="A212" s="3" t="s">
        <v>206</v>
      </c>
      <c r="B212" s="3" t="s">
        <v>10</v>
      </c>
      <c r="C212" s="3"/>
      <c r="D212" s="3" t="s">
        <v>80</v>
      </c>
      <c r="E212" s="3" t="s">
        <v>7</v>
      </c>
      <c r="F212" s="3" t="s">
        <v>7</v>
      </c>
      <c r="G212" s="4" t="s">
        <v>215</v>
      </c>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string</v>
      </c>
      <c r="P212" s="5" t="str">
        <f>IF(Table2[[#This Row],[!Type]]=P$1, P$1,"rg:None")</f>
        <v>rg:None</v>
      </c>
      <c r="Q212" s="10" t="str">
        <f>IF(LEN(Table2[[#This Row],[!Length]]) &gt; 0, Table2[[#This Row],[!Length]], "rg:None")</f>
        <v>rg:None</v>
      </c>
      <c r="R212" s="10" t="str">
        <f>IF(LEN(Table2[[#This Row],[!Name]]) &gt; 0, Table2[[#This Row],[!Name]], "rg:None")</f>
        <v>description</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 { 'req': 'name' }, { 'req': 'description'} ]</v>
      </c>
    </row>
    <row r="213" spans="1:21" x14ac:dyDescent="0.3">
      <c r="A213" s="3" t="s">
        <v>206</v>
      </c>
      <c r="B213" s="3" t="s">
        <v>107</v>
      </c>
      <c r="C213" s="3"/>
      <c r="D213" s="3" t="s">
        <v>207</v>
      </c>
      <c r="E213" s="3" t="s">
        <v>7</v>
      </c>
      <c r="F213" s="3" t="s">
        <v>208</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links</v>
      </c>
      <c r="N213" s="5" t="str">
        <f>IF(Table2[[#This Row],[!Type]]=N$1, N$1,"rg:None")</f>
        <v>rg:None</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rolePermissions</v>
      </c>
      <c r="S213" s="10" t="str">
        <f>IF(LEN(Table2[[#This Row],[!Description]]) &gt; 0, Table2[[#This Row],[!Description]], "rg:None")</f>
        <v>rg:None</v>
      </c>
      <c r="T213" s="10" t="str">
        <f>IF(LEN(Table2[[#This Row],[!FK]])&gt;0,Table2[[#This Row],[!FK]],"rg:None")</f>
        <v>RolePermission</v>
      </c>
      <c r="U213" s="10" t="str">
        <f>IF(LEN(concatif2(A:A,Table2[[#This Row],[!Table]],G:G,"Y",D:D,",")) &gt; 0,"rg:[ { 'req' : '"&amp;concatif2(A:A,Table2[[#This Row],[!Table]],G:G,"Y",D:D,"' }, { 'req': '")&amp;"'} ]","rg:[]")</f>
        <v>rg:[ { 'req' : 'id' }, { 'req': 'name' }, { 'req': 'description'} ]</v>
      </c>
    </row>
    <row r="214" spans="1:21" x14ac:dyDescent="0.3">
      <c r="A214" s="3" t="s">
        <v>206</v>
      </c>
      <c r="B214" s="3" t="s">
        <v>107</v>
      </c>
      <c r="C214" s="3"/>
      <c r="D214" s="3" t="s">
        <v>201</v>
      </c>
      <c r="E214" s="3" t="s">
        <v>7</v>
      </c>
      <c r="F214" s="3" t="s">
        <v>203</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links</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userRoles</v>
      </c>
      <c r="S214" s="10" t="str">
        <f>IF(LEN(Table2[[#This Row],[!Description]]) &gt; 0, Table2[[#This Row],[!Description]], "rg:None")</f>
        <v>rg:None</v>
      </c>
      <c r="T214" s="10" t="str">
        <f>IF(LEN(Table2[[#This Row],[!FK]])&gt;0,Table2[[#This Row],[!FK]],"rg:None")</f>
        <v>UserRole</v>
      </c>
      <c r="U214" s="10" t="str">
        <f>IF(LEN(concatif2(A:A,Table2[[#This Row],[!Table]],G:G,"Y",D:D,",")) &gt; 0,"rg:[ { 'req' : '"&amp;concatif2(A:A,Table2[[#This Row],[!Table]],G:G,"Y",D:D,"' }, { 'req': '")&amp;"'} ]","rg:[]")</f>
        <v>rg:[ { 'req' : 'id' }, { 'req': 'name' }, { 'req': 'description'} ]</v>
      </c>
    </row>
    <row r="215" spans="1:21" x14ac:dyDescent="0.3">
      <c r="A215" s="3" t="s">
        <v>208</v>
      </c>
      <c r="B215" s="3" t="s">
        <v>5</v>
      </c>
      <c r="C215" s="3"/>
      <c r="D215" s="3" t="s">
        <v>208</v>
      </c>
      <c r="E215" s="3" t="s">
        <v>7</v>
      </c>
      <c r="F215" s="3" t="s">
        <v>7</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rg:None</v>
      </c>
      <c r="P215" s="5" t="str">
        <f>IF(Table2[[#This Row],[!Type]]=P$1, P$1,"rg:None")</f>
        <v>table</v>
      </c>
      <c r="Q215" s="10" t="str">
        <f>IF(LEN(Table2[[#This Row],[!Length]]) &gt; 0, Table2[[#This Row],[!Length]], "rg:None")</f>
        <v>rg:None</v>
      </c>
      <c r="R215" s="10" t="str">
        <f>IF(LEN(Table2[[#This Row],[!Name]]) &gt; 0, Table2[[#This Row],[!Name]], "rg:None")</f>
        <v>RolePermission</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v>
      </c>
    </row>
    <row r="216" spans="1:21" x14ac:dyDescent="0.3">
      <c r="A216" s="3" t="s">
        <v>208</v>
      </c>
      <c r="B216" s="3" t="s">
        <v>8</v>
      </c>
      <c r="C216" s="3"/>
      <c r="D216" s="3" t="s">
        <v>8</v>
      </c>
      <c r="E216" s="3" t="s">
        <v>9</v>
      </c>
      <c r="F216" s="3" t="s">
        <v>7</v>
      </c>
      <c r="G216" s="4" t="s">
        <v>215</v>
      </c>
      <c r="H216" s="5" t="str">
        <f t="shared" si="3"/>
        <v>Defs</v>
      </c>
      <c r="I216" t="str">
        <f>IF(Table2[[#This Row],[!Type]]=I$1, I$1,"rg:None")</f>
        <v>rg:None</v>
      </c>
      <c r="J216" t="str">
        <f>IF(Table2[[#This Row],[!Type]]=J$1, J$1,"rg:None")</f>
        <v>rg:None</v>
      </c>
      <c r="K216" t="str">
        <f>IF(Table2[[#This Row],[!Type]]=K$1, K$1,"rg:None")</f>
        <v>id</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id</v>
      </c>
      <c r="S216" s="10" t="str">
        <f>IF(LEN(Table2[[#This Row],[!Description]]) &gt; 0, Table2[[#This Row],[!Description]], "rg:None")</f>
        <v>Primary Key</v>
      </c>
      <c r="T216" s="10" t="str">
        <f>IF(LEN(Table2[[#This Row],[!FK]])&gt;0,Table2[[#This Row],[!FK]],"rg:None")</f>
        <v>rg:None</v>
      </c>
      <c r="U216" s="10" t="str">
        <f>IF(LEN(concatif2(A:A,Table2[[#This Row],[!Table]],G:G,"Y",D:D,",")) &gt; 0,"rg:[ { 'req' : '"&amp;concatif2(A:A,Table2[[#This Row],[!Table]],G:G,"Y",D:D,"' }, { 'req': '")&amp;"'} ]","rg:[]")</f>
        <v>rg:[ { 'req' : 'id'} ]</v>
      </c>
    </row>
    <row r="217" spans="1:21" x14ac:dyDescent="0.3">
      <c r="A217" s="3" t="s">
        <v>208</v>
      </c>
      <c r="B217" s="3" t="s">
        <v>17</v>
      </c>
      <c r="C217" s="3"/>
      <c r="D217" s="3" t="s">
        <v>103</v>
      </c>
      <c r="E217" s="3" t="s">
        <v>7</v>
      </c>
      <c r="F217" s="3" t="s">
        <v>206</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ref</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role</v>
      </c>
      <c r="S217" s="10" t="str">
        <f>IF(LEN(Table2[[#This Row],[!Description]]) &gt; 0, Table2[[#This Row],[!Description]], "rg:None")</f>
        <v>rg:None</v>
      </c>
      <c r="T217" s="10" t="str">
        <f>IF(LEN(Table2[[#This Row],[!FK]])&gt;0,Table2[[#This Row],[!FK]],"rg:None")</f>
        <v>Role</v>
      </c>
      <c r="U217" s="10" t="str">
        <f>IF(LEN(concatif2(A:A,Table2[[#This Row],[!Table]],G:G,"Y",D:D,",")) &gt; 0,"rg:[ { 'req' : '"&amp;concatif2(A:A,Table2[[#This Row],[!Table]],G:G,"Y",D:D,"' }, { 'req': '")&amp;"'} ]","rg:[]")</f>
        <v>rg:[ { 'req' : 'id'} ]</v>
      </c>
    </row>
    <row r="218" spans="1:21" x14ac:dyDescent="0.3">
      <c r="A218" s="3" t="s">
        <v>208</v>
      </c>
      <c r="B218" s="3" t="s">
        <v>17</v>
      </c>
      <c r="C218" s="3"/>
      <c r="D218" s="3" t="s">
        <v>209</v>
      </c>
      <c r="E218" s="3" t="s">
        <v>7</v>
      </c>
      <c r="F218" s="3" t="s">
        <v>210</v>
      </c>
      <c r="G218" s="4"/>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ref</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permission</v>
      </c>
      <c r="S218" s="10" t="str">
        <f>IF(LEN(Table2[[#This Row],[!Description]]) &gt; 0, Table2[[#This Row],[!Description]], "rg:None")</f>
        <v>rg:None</v>
      </c>
      <c r="T218" s="10" t="str">
        <f>IF(LEN(Table2[[#This Row],[!FK]])&gt;0,Table2[[#This Row],[!FK]],"rg:None")</f>
        <v>Permission</v>
      </c>
      <c r="U218" s="10" t="str">
        <f>IF(LEN(concatif2(A:A,Table2[[#This Row],[!Table]],G:G,"Y",D:D,",")) &gt; 0,"rg:[ { 'req' : '"&amp;concatif2(A:A,Table2[[#This Row],[!Table]],G:G,"Y",D:D,"' }, { 'req': '")&amp;"'} ]","rg:[]")</f>
        <v>rg:[ { 'req' : 'id'} ]</v>
      </c>
    </row>
    <row r="219" spans="1:21" x14ac:dyDescent="0.3">
      <c r="A219" s="3" t="s">
        <v>210</v>
      </c>
      <c r="B219" s="3" t="s">
        <v>5</v>
      </c>
      <c r="C219" s="3"/>
      <c r="D219" s="3" t="s">
        <v>210</v>
      </c>
      <c r="E219" s="3" t="s">
        <v>7</v>
      </c>
      <c r="F219" s="3" t="s">
        <v>7</v>
      </c>
      <c r="G219" s="4"/>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rg:None</v>
      </c>
      <c r="P219" s="5" t="str">
        <f>IF(Table2[[#This Row],[!Type]]=P$1, P$1,"rg:None")</f>
        <v>table</v>
      </c>
      <c r="Q219" s="10" t="str">
        <f>IF(LEN(Table2[[#This Row],[!Length]]) &gt; 0, Table2[[#This Row],[!Length]], "rg:None")</f>
        <v>rg:None</v>
      </c>
      <c r="R219" s="10" t="str">
        <f>IF(LEN(Table2[[#This Row],[!Name]]) &gt; 0, Table2[[#This Row],[!Name]], "rg:None")</f>
        <v>Permission</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row>
    <row r="220" spans="1:21" x14ac:dyDescent="0.3">
      <c r="A220" s="3" t="s">
        <v>210</v>
      </c>
      <c r="B220" s="3" t="s">
        <v>8</v>
      </c>
      <c r="C220" s="3"/>
      <c r="D220" s="3" t="s">
        <v>8</v>
      </c>
      <c r="E220" s="3" t="s">
        <v>9</v>
      </c>
      <c r="F220" s="3" t="s">
        <v>7</v>
      </c>
      <c r="G220" s="4" t="s">
        <v>215</v>
      </c>
      <c r="H220" s="5" t="str">
        <f t="shared" si="3"/>
        <v>Defs</v>
      </c>
      <c r="I220" t="str">
        <f>IF(Table2[[#This Row],[!Type]]=I$1, I$1,"rg:None")</f>
        <v>rg:None</v>
      </c>
      <c r="J220" t="str">
        <f>IF(Table2[[#This Row],[!Type]]=J$1, J$1,"rg:None")</f>
        <v>rg:None</v>
      </c>
      <c r="K220" t="str">
        <f>IF(Table2[[#This Row],[!Type]]=K$1, K$1,"rg:None")</f>
        <v>id</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rg:None</v>
      </c>
      <c r="Q220" s="10" t="str">
        <f>IF(LEN(Table2[[#This Row],[!Length]]) &gt; 0, Table2[[#This Row],[!Length]], "rg:None")</f>
        <v>rg:None</v>
      </c>
      <c r="R220" s="10" t="str">
        <f>IF(LEN(Table2[[#This Row],[!Name]]) &gt; 0, Table2[[#This Row],[!Name]], "rg:None")</f>
        <v>id</v>
      </c>
      <c r="S220" s="10" t="str">
        <f>IF(LEN(Table2[[#This Row],[!Description]]) &gt; 0, Table2[[#This Row],[!Description]], "rg:None")</f>
        <v>Primary Key</v>
      </c>
      <c r="T220" s="10" t="str">
        <f>IF(LEN(Table2[[#This Row],[!FK]])&gt;0,Table2[[#This Row],[!FK]],"rg:None")</f>
        <v>rg:None</v>
      </c>
      <c r="U220" s="10" t="str">
        <f>IF(LEN(concatif2(A:A,Table2[[#This Row],[!Table]],G:G,"Y",D:D,",")) &gt; 0,"rg:[ { 'req' : '"&amp;concatif2(A:A,Table2[[#This Row],[!Table]],G:G,"Y",D:D,"' }, { 'req': '")&amp;"'} ]","rg:[]")</f>
        <v>rg:[ { 'req' : 'id' }, { 'req': 'code' }, { 'req': 'name' }, { 'req': 'description'} ]</v>
      </c>
    </row>
    <row r="221" spans="1:21" x14ac:dyDescent="0.3">
      <c r="A221" s="3" t="s">
        <v>210</v>
      </c>
      <c r="B221" s="3" t="s">
        <v>10</v>
      </c>
      <c r="C221" s="3"/>
      <c r="D221" s="3" t="s">
        <v>211</v>
      </c>
      <c r="E221" s="3" t="s">
        <v>7</v>
      </c>
      <c r="F221" s="3" t="s">
        <v>7</v>
      </c>
      <c r="G221" s="4" t="s">
        <v>215</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code</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row>
    <row r="222" spans="1:21" x14ac:dyDescent="0.3">
      <c r="A222" s="3" t="s">
        <v>210</v>
      </c>
      <c r="B222" s="3" t="s">
        <v>10</v>
      </c>
      <c r="C222" s="3"/>
      <c r="D222" s="3" t="s">
        <v>84</v>
      </c>
      <c r="E222" s="3" t="s">
        <v>7</v>
      </c>
      <c r="F222" s="3" t="s">
        <v>7</v>
      </c>
      <c r="G222" s="4" t="s">
        <v>215</v>
      </c>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string</v>
      </c>
      <c r="P222" s="5" t="str">
        <f>IF(Table2[[#This Row],[!Type]]=P$1, P$1,"rg:None")</f>
        <v>rg:None</v>
      </c>
      <c r="Q222" s="10" t="str">
        <f>IF(LEN(Table2[[#This Row],[!Length]]) &gt; 0, Table2[[#This Row],[!Length]], "rg:None")</f>
        <v>rg:None</v>
      </c>
      <c r="R222" s="10" t="str">
        <f>IF(LEN(Table2[[#This Row],[!Name]]) &gt; 0, Table2[[#This Row],[!Name]], "rg:None")</f>
        <v>name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'code' }, { 'req': 'name' }, { 'req': 'description'} ]</v>
      </c>
    </row>
    <row r="223" spans="1:21" x14ac:dyDescent="0.3">
      <c r="A223" s="3" t="s">
        <v>210</v>
      </c>
      <c r="B223" s="3" t="s">
        <v>10</v>
      </c>
      <c r="C223" s="3"/>
      <c r="D223" s="3" t="s">
        <v>80</v>
      </c>
      <c r="E223" s="3" t="s">
        <v>7</v>
      </c>
      <c r="F223" s="3" t="s">
        <v>7</v>
      </c>
      <c r="G223" s="4" t="s">
        <v>215</v>
      </c>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string</v>
      </c>
      <c r="P223" s="5" t="str">
        <f>IF(Table2[[#This Row],[!Type]]=P$1, P$1,"rg:None")</f>
        <v>rg:None</v>
      </c>
      <c r="Q223" s="10" t="str">
        <f>IF(LEN(Table2[[#This Row],[!Length]]) &gt; 0, Table2[[#This Row],[!Length]], "rg:None")</f>
        <v>rg:None</v>
      </c>
      <c r="R223" s="10" t="str">
        <f>IF(LEN(Table2[[#This Row],[!Name]]) &gt; 0, Table2[[#This Row],[!Name]], "rg:None")</f>
        <v>description</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'code' }, { 'req': 'name' }, { 'req': 'description'} ]</v>
      </c>
    </row>
    <row r="224" spans="1:21" x14ac:dyDescent="0.3">
      <c r="A224" s="3" t="s">
        <v>212</v>
      </c>
      <c r="B224" s="3" t="s">
        <v>5</v>
      </c>
      <c r="C224" s="3"/>
      <c r="D224" s="3" t="s">
        <v>212</v>
      </c>
      <c r="E224" s="3" t="s">
        <v>7</v>
      </c>
      <c r="F224" s="3" t="s">
        <v>7</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table</v>
      </c>
      <c r="Q224" s="10" t="str">
        <f>IF(LEN(Table2[[#This Row],[!Length]]) &gt; 0, Table2[[#This Row],[!Length]], "rg:None")</f>
        <v>rg:None</v>
      </c>
      <c r="R224" s="10" t="str">
        <f>IF(LEN(Table2[[#This Row],[!Name]]) &gt; 0, Table2[[#This Row],[!Name]], "rg:None")</f>
        <v>GroupMembership</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row>
    <row r="225" spans="1:21" x14ac:dyDescent="0.3">
      <c r="A225" s="3" t="s">
        <v>212</v>
      </c>
      <c r="B225" s="3" t="s">
        <v>8</v>
      </c>
      <c r="C225" s="3"/>
      <c r="D225" s="3" t="s">
        <v>8</v>
      </c>
      <c r="E225" s="3" t="s">
        <v>9</v>
      </c>
      <c r="F225" s="3" t="s">
        <v>7</v>
      </c>
      <c r="G225" s="4" t="s">
        <v>215</v>
      </c>
      <c r="H225" s="5" t="str">
        <f t="shared" si="3"/>
        <v>Defs</v>
      </c>
      <c r="I225" t="str">
        <f>IF(Table2[[#This Row],[!Type]]=I$1, I$1,"rg:None")</f>
        <v>rg:None</v>
      </c>
      <c r="J225" t="str">
        <f>IF(Table2[[#This Row],[!Type]]=J$1, J$1,"rg:None")</f>
        <v>rg:None</v>
      </c>
      <c r="K225" t="str">
        <f>IF(Table2[[#This Row],[!Type]]=K$1, K$1,"rg:None")</f>
        <v>id</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id</v>
      </c>
      <c r="S225" s="10" t="str">
        <f>IF(LEN(Table2[[#This Row],[!Description]]) &gt; 0, Table2[[#This Row],[!Description]], "rg:None")</f>
        <v>Primary Key</v>
      </c>
      <c r="T225" s="10" t="str">
        <f>IF(LEN(Table2[[#This Row],[!FK]])&gt;0,Table2[[#This Row],[!FK]],"rg:None")</f>
        <v>rg:None</v>
      </c>
      <c r="U225" s="10" t="str">
        <f>IF(LEN(concatif2(A:A,Table2[[#This Row],[!Table]],G:G,"Y",D:D,",")) &gt; 0,"rg:[ { 'req' : '"&amp;concatif2(A:A,Table2[[#This Row],[!Table]],G:G,"Y",D:D,"' }, { 'req': '")&amp;"'} ]","rg:[]")</f>
        <v>rg:[ { 'req' : 'id' }, { 'req': 'active'} ]</v>
      </c>
    </row>
    <row r="226" spans="1:21" x14ac:dyDescent="0.3">
      <c r="A226" s="3" t="s">
        <v>212</v>
      </c>
      <c r="B226" s="3" t="s">
        <v>24</v>
      </c>
      <c r="C226" s="3"/>
      <c r="D226" s="3" t="s">
        <v>194</v>
      </c>
      <c r="E226" s="3" t="s">
        <v>7</v>
      </c>
      <c r="F226" s="3" t="s">
        <v>7</v>
      </c>
      <c r="G226" s="4" t="s">
        <v>215</v>
      </c>
      <c r="H226" s="5" t="str">
        <f t="shared" si="3"/>
        <v>Defs</v>
      </c>
      <c r="I226" t="str">
        <f>IF(Table2[[#This Row],[!Type]]=I$1, I$1,"rg:None")</f>
        <v>boolean</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active</v>
      </c>
      <c r="S226" s="10" t="str">
        <f>IF(LEN(Table2[[#This Row],[!Description]]) &gt; 0, Table2[[#This Row],[!Description]], "rg:None")</f>
        <v>rg:None</v>
      </c>
      <c r="T226" s="10" t="str">
        <f>IF(LEN(Table2[[#This Row],[!FK]])&gt;0,Table2[[#This Row],[!FK]],"rg:None")</f>
        <v>rg:None</v>
      </c>
      <c r="U226" s="10" t="str">
        <f>IF(LEN(concatif2(A:A,Table2[[#This Row],[!Table]],G:G,"Y",D:D,",")) &gt; 0,"rg:[ { 'req' : '"&amp;concatif2(A:A,Table2[[#This Row],[!Table]],G:G,"Y",D:D,"' }, { 'req': '")&amp;"'} ]","rg:[]")</f>
        <v>rg:[ { 'req' : 'id' }, { 'req': 'active'} ]</v>
      </c>
    </row>
    <row r="227" spans="1:21" x14ac:dyDescent="0.3">
      <c r="A227" s="3" t="s">
        <v>212</v>
      </c>
      <c r="B227" s="3" t="s">
        <v>17</v>
      </c>
      <c r="C227" s="3"/>
      <c r="D227" s="3" t="s">
        <v>213</v>
      </c>
      <c r="E227" s="3" t="s">
        <v>7</v>
      </c>
      <c r="F227" s="3" t="s">
        <v>214</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ref</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Group</v>
      </c>
      <c r="U227" s="10" t="str">
        <f>IF(LEN(concatif2(A:A,Table2[[#This Row],[!Table]],G:G,"Y",D:D,",")) &gt; 0,"rg:[ { 'req' : '"&amp;concatif2(A:A,Table2[[#This Row],[!Table]],G:G,"Y",D:D,"' }, { 'req': '")&amp;"'} ]","rg:[]")</f>
        <v>rg:[ { 'req' : 'id' }, { 'req': 'active'} ]</v>
      </c>
    </row>
    <row r="228" spans="1:21" x14ac:dyDescent="0.3">
      <c r="A228" s="3" t="s">
        <v>212</v>
      </c>
      <c r="B228" s="3" t="s">
        <v>17</v>
      </c>
      <c r="C228" s="3"/>
      <c r="D228" s="3" t="s">
        <v>189</v>
      </c>
      <c r="E228" s="3" t="s">
        <v>7</v>
      </c>
      <c r="F228" s="3" t="s">
        <v>0</v>
      </c>
      <c r="G228" s="4"/>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ref</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user</v>
      </c>
      <c r="S228" s="10" t="str">
        <f>IF(LEN(Table2[[#This Row],[!Description]]) &gt; 0, Table2[[#This Row],[!Description]], "rg:None")</f>
        <v>rg:None</v>
      </c>
      <c r="T228" s="10" t="str">
        <f>IF(LEN(Table2[[#This Row],[!FK]])&gt;0,Table2[[#This Row],[!FK]],"rg:None")</f>
        <v>User</v>
      </c>
      <c r="U228" s="10" t="str">
        <f>IF(LEN(concatif2(A:A,Table2[[#This Row],[!Table]],G:G,"Y",D:D,",")) &gt; 0,"rg:[ { 'req' : '"&amp;concatif2(A:A,Table2[[#This Row],[!Table]],G:G,"Y",D:D,"' }, { 'req': '")&amp;"'} ]","rg:[]")</f>
        <v>rg:[ { 'req' : 'id' }, { 'req': 'active'} ]</v>
      </c>
    </row>
    <row r="229" spans="1:21" x14ac:dyDescent="0.3">
      <c r="A229" s="3" t="s">
        <v>214</v>
      </c>
      <c r="B229" s="3" t="s">
        <v>5</v>
      </c>
      <c r="C229" s="3"/>
      <c r="D229" s="3" t="s">
        <v>214</v>
      </c>
      <c r="E229" s="3" t="s">
        <v>7</v>
      </c>
      <c r="F229" s="3" t="s">
        <v>7</v>
      </c>
      <c r="G229" s="4"/>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rg:None</v>
      </c>
      <c r="P229" s="5" t="str">
        <f>IF(Table2[[#This Row],[!Type]]=P$1, P$1,"rg:None")</f>
        <v>table</v>
      </c>
      <c r="Q229" s="10" t="str">
        <f>IF(LEN(Table2[[#This Row],[!Length]]) &gt; 0, Table2[[#This Row],[!Length]], "rg:None")</f>
        <v>rg:None</v>
      </c>
      <c r="R229" s="10" t="str">
        <f>IF(LEN(Table2[[#This Row],[!Name]]) &gt; 0, Table2[[#This Row],[!Name]], "rg:None")</f>
        <v>Group</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row>
    <row r="230" spans="1:21" x14ac:dyDescent="0.3">
      <c r="A230" s="3" t="s">
        <v>214</v>
      </c>
      <c r="B230" s="3" t="s">
        <v>8</v>
      </c>
      <c r="C230" s="3"/>
      <c r="D230" s="3" t="s">
        <v>8</v>
      </c>
      <c r="E230" s="3" t="s">
        <v>9</v>
      </c>
      <c r="F230" s="3" t="s">
        <v>7</v>
      </c>
      <c r="G230" s="4" t="s">
        <v>215</v>
      </c>
      <c r="H230" s="5" t="str">
        <f t="shared" si="3"/>
        <v>Defs</v>
      </c>
      <c r="I230" t="str">
        <f>IF(Table2[[#This Row],[!Type]]=I$1, I$1,"rg:None")</f>
        <v>rg:None</v>
      </c>
      <c r="J230" t="str">
        <f>IF(Table2[[#This Row],[!Type]]=J$1, J$1,"rg:None")</f>
        <v>rg:None</v>
      </c>
      <c r="K230" t="str">
        <f>IF(Table2[[#This Row],[!Type]]=K$1, K$1,"rg:None")</f>
        <v>id</v>
      </c>
      <c r="L230" s="10" t="str">
        <f>IF(Table2[[#This Row],[!Type]]=L$1, L$1,"rg:None")</f>
        <v>rg:None</v>
      </c>
      <c r="M230" s="5" t="str">
        <f>IF(Table2[[#This Row],[!Type]]=M$1, M$1,"rg:None")</f>
        <v>rg:None</v>
      </c>
      <c r="N230" s="5" t="str">
        <f>IF(Table2[[#This Row],[!Type]]=N$1, N$1,"rg:None")</f>
        <v>rg:None</v>
      </c>
      <c r="O230" s="5" t="str">
        <f>IF(Table2[[#This Row],[!Type]]=O$1, O$1,"rg:None")</f>
        <v>rg:None</v>
      </c>
      <c r="P230" s="5" t="str">
        <f>IF(Table2[[#This Row],[!Type]]=P$1, P$1,"rg:None")</f>
        <v>rg:None</v>
      </c>
      <c r="Q230" s="10" t="str">
        <f>IF(LEN(Table2[[#This Row],[!Length]]) &gt; 0, Table2[[#This Row],[!Length]], "rg:None")</f>
        <v>rg:None</v>
      </c>
      <c r="R230" s="10" t="str">
        <f>IF(LEN(Table2[[#This Row],[!Name]]) &gt; 0, Table2[[#This Row],[!Name]], "rg:None")</f>
        <v>id</v>
      </c>
      <c r="S230" s="10" t="str">
        <f>IF(LEN(Table2[[#This Row],[!Description]]) &gt; 0, Table2[[#This Row],[!Description]], "rg:None")</f>
        <v>Primary Key</v>
      </c>
      <c r="T230" s="10" t="str">
        <f>IF(LEN(Table2[[#This Row],[!FK]])&gt;0,Table2[[#This Row],[!FK]],"rg:None")</f>
        <v>rg:None</v>
      </c>
      <c r="U230" s="10" t="str">
        <f>IF(LEN(concatif2(A:A,Table2[[#This Row],[!Table]],G:G,"Y",D:D,",")) &gt; 0,"rg:[ { 'req' : '"&amp;concatif2(A:A,Table2[[#This Row],[!Table]],G:G,"Y",D:D,"' }, { 'req': '")&amp;"'} ]","rg:[]")</f>
        <v>rg:[ { 'req' : 'id' }, { 'req': 'name' }, { 'req': 'description'} ]</v>
      </c>
    </row>
    <row r="231" spans="1:21" x14ac:dyDescent="0.3">
      <c r="A231" s="3" t="s">
        <v>214</v>
      </c>
      <c r="B231" s="3" t="s">
        <v>10</v>
      </c>
      <c r="C231" s="3"/>
      <c r="D231" s="3" t="s">
        <v>84</v>
      </c>
      <c r="E231" s="3" t="s">
        <v>7</v>
      </c>
      <c r="F231" s="3" t="s">
        <v>7</v>
      </c>
      <c r="G231" s="4" t="s">
        <v>215</v>
      </c>
      <c r="H231" s="5" t="str">
        <f t="shared" si="3"/>
        <v>Defs</v>
      </c>
      <c r="I231" t="str">
        <f>IF(Table2[[#This Row],[!Type]]=I$1, I$1,"rg:None")</f>
        <v>rg:None</v>
      </c>
      <c r="J231" t="str">
        <f>IF(Table2[[#This Row],[!Type]]=J$1, J$1,"rg:None")</f>
        <v>rg:None</v>
      </c>
      <c r="K231" t="str">
        <f>IF(Table2[[#This Row],[!Type]]=K$1, K$1,"rg:None")</f>
        <v>rg:None</v>
      </c>
      <c r="L231" s="10" t="str">
        <f>IF(Table2[[#This Row],[!Type]]=L$1, L$1,"rg:None")</f>
        <v>rg:None</v>
      </c>
      <c r="M231" s="5" t="str">
        <f>IF(Table2[[#This Row],[!Type]]=M$1, M$1,"rg:None")</f>
        <v>rg:None</v>
      </c>
      <c r="N231" s="5" t="str">
        <f>IF(Table2[[#This Row],[!Type]]=N$1, N$1,"rg:None")</f>
        <v>rg:None</v>
      </c>
      <c r="O231" s="5" t="str">
        <f>IF(Table2[[#This Row],[!Type]]=O$1, O$1,"rg:None")</f>
        <v>string</v>
      </c>
      <c r="P231" s="5" t="str">
        <f>IF(Table2[[#This Row],[!Type]]=P$1, P$1,"rg:None")</f>
        <v>rg:None</v>
      </c>
      <c r="Q231" s="10" t="str">
        <f>IF(LEN(Table2[[#This Row],[!Length]]) &gt; 0, Table2[[#This Row],[!Length]], "rg:None")</f>
        <v>rg:None</v>
      </c>
      <c r="R231" s="10" t="str">
        <f>IF(LEN(Table2[[#This Row],[!Name]]) &gt; 0, Table2[[#This Row],[!Name]], "rg:None")</f>
        <v>name</v>
      </c>
      <c r="S231" s="10" t="str">
        <f>IF(LEN(Table2[[#This Row],[!Description]]) &gt; 0, Table2[[#This Row],[!Description]], "rg:None")</f>
        <v>rg:None</v>
      </c>
      <c r="T231" s="10" t="str">
        <f>IF(LEN(Table2[[#This Row],[!FK]])&gt;0,Table2[[#This Row],[!FK]],"rg:None")</f>
        <v>rg:None</v>
      </c>
      <c r="U231" s="10" t="str">
        <f>IF(LEN(concatif2(A:A,Table2[[#This Row],[!Table]],G:G,"Y",D:D,",")) &gt; 0,"rg:[ { 'req' : '"&amp;concatif2(A:A,Table2[[#This Row],[!Table]],G:G,"Y",D:D,"' }, { 'req': '")&amp;"'} ]","rg:[]")</f>
        <v>rg:[ { 'req' : 'id' }, { 'req': 'name' }, { 'req': 'description'} ]</v>
      </c>
    </row>
    <row r="232" spans="1:21" x14ac:dyDescent="0.3">
      <c r="A232" s="3" t="s">
        <v>214</v>
      </c>
      <c r="B232" s="3" t="s">
        <v>10</v>
      </c>
      <c r="C232" s="3"/>
      <c r="D232" s="3" t="s">
        <v>80</v>
      </c>
      <c r="E232" s="3" t="s">
        <v>7</v>
      </c>
      <c r="F232" s="3" t="s">
        <v>7</v>
      </c>
      <c r="G232" s="4" t="s">
        <v>215</v>
      </c>
      <c r="H232" s="5" t="str">
        <f t="shared" si="3"/>
        <v>Defs</v>
      </c>
      <c r="I232" t="str">
        <f>IF(Table2[[#This Row],[!Type]]=I$1, I$1,"rg:None")</f>
        <v>rg:None</v>
      </c>
      <c r="J232" t="str">
        <f>IF(Table2[[#This Row],[!Type]]=J$1, J$1,"rg:None")</f>
        <v>rg:None</v>
      </c>
      <c r="K232" t="str">
        <f>IF(Table2[[#This Row],[!Type]]=K$1, K$1,"rg:None")</f>
        <v>rg:None</v>
      </c>
      <c r="L232" s="10" t="str">
        <f>IF(Table2[[#This Row],[!Type]]=L$1, L$1,"rg:None")</f>
        <v>rg:None</v>
      </c>
      <c r="M232" s="5" t="str">
        <f>IF(Table2[[#This Row],[!Type]]=M$1, M$1,"rg:None")</f>
        <v>rg:None</v>
      </c>
      <c r="N232" s="5" t="str">
        <f>IF(Table2[[#This Row],[!Type]]=N$1, N$1,"rg:None")</f>
        <v>rg:None</v>
      </c>
      <c r="O232" s="5" t="str">
        <f>IF(Table2[[#This Row],[!Type]]=O$1, O$1,"rg:None")</f>
        <v>string</v>
      </c>
      <c r="P232" s="5" t="str">
        <f>IF(Table2[[#This Row],[!Type]]=P$1, P$1,"rg:None")</f>
        <v>rg:None</v>
      </c>
      <c r="Q232" s="10" t="str">
        <f>IF(LEN(Table2[[#This Row],[!Length]]) &gt; 0, Table2[[#This Row],[!Length]], "rg:None")</f>
        <v>rg:None</v>
      </c>
      <c r="R232" s="10" t="str">
        <f>IF(LEN(Table2[[#This Row],[!Name]]) &gt; 0, Table2[[#This Row],[!Name]], "rg:None")</f>
        <v>description</v>
      </c>
      <c r="S232" s="10" t="str">
        <f>IF(LEN(Table2[[#This Row],[!Description]]) &gt; 0, Table2[[#This Row],[!Description]], "rg:None")</f>
        <v>rg:None</v>
      </c>
      <c r="T232" s="10" t="str">
        <f>IF(LEN(Table2[[#This Row],[!FK]])&gt;0,Table2[[#This Row],[!FK]],"rg:None")</f>
        <v>rg:None</v>
      </c>
      <c r="U232"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6"/>
  <sheetViews>
    <sheetView zoomScale="130" zoomScaleNormal="130" workbookViewId="0">
      <pane ySplit="1" topLeftCell="A2" activePane="bottomLeft" state="frozen"/>
      <selection pane="bottomLeft" activeCell="D19" sqref="D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279</v>
      </c>
      <c r="B1" s="1" t="s">
        <v>280</v>
      </c>
      <c r="C1" s="1" t="s">
        <v>281</v>
      </c>
      <c r="D1" s="1" t="s">
        <v>282</v>
      </c>
      <c r="E1" s="2" t="s">
        <v>283</v>
      </c>
      <c r="F1" s="1" t="s">
        <v>284</v>
      </c>
      <c r="G1" s="11" t="s">
        <v>260</v>
      </c>
      <c r="H1" s="11" t="s">
        <v>270</v>
      </c>
      <c r="I1" s="11" t="s">
        <v>271</v>
      </c>
      <c r="J1" s="11" t="s">
        <v>272</v>
      </c>
      <c r="K1" s="11" t="s">
        <v>273</v>
      </c>
      <c r="L1" s="11" t="s">
        <v>274</v>
      </c>
      <c r="M1" s="11" t="s">
        <v>275</v>
      </c>
      <c r="N1" s="11" t="s">
        <v>276</v>
      </c>
      <c r="O1" s="11" t="s">
        <v>277</v>
      </c>
      <c r="P1" s="11" t="s">
        <v>266</v>
      </c>
      <c r="Q1" s="11" t="s">
        <v>267</v>
      </c>
      <c r="R1" s="11" t="s">
        <v>268</v>
      </c>
      <c r="S1" s="11" t="s">
        <v>269</v>
      </c>
      <c r="T1" s="11" t="s">
        <v>1</v>
      </c>
    </row>
    <row r="2" spans="1:20" x14ac:dyDescent="0.3">
      <c r="A2" s="9" t="s">
        <v>270</v>
      </c>
      <c r="B2" s="9" t="s">
        <v>278</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270</v>
      </c>
      <c r="B3" s="12" t="s">
        <v>292</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270</v>
      </c>
      <c r="B4" s="12" t="s">
        <v>293</v>
      </c>
      <c r="C4" s="3" t="s">
        <v>4</v>
      </c>
      <c r="D4" s="3"/>
      <c r="E4" s="3"/>
      <c r="F4" s="3"/>
      <c r="G4" s="10" t="str">
        <f t="shared" ref="G4:G26"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270</v>
      </c>
      <c r="B5" s="12" t="s">
        <v>294</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270</v>
      </c>
      <c r="B6" s="12" t="s">
        <v>295</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270</v>
      </c>
      <c r="B7" s="12" t="s">
        <v>296</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270</v>
      </c>
      <c r="B8" s="12" t="s">
        <v>298</v>
      </c>
      <c r="C8" s="3" t="s">
        <v>180</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270</v>
      </c>
      <c r="B9" s="12" t="s">
        <v>297</v>
      </c>
      <c r="C9" s="3" t="s">
        <v>182</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270</v>
      </c>
      <c r="B10" s="12" t="s">
        <v>299</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270</v>
      </c>
      <c r="B11" s="3" t="s">
        <v>300</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270</v>
      </c>
      <c r="B12" s="3" t="s">
        <v>301</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270</v>
      </c>
      <c r="B13" s="3" t="s">
        <v>302</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270</v>
      </c>
      <c r="B14" s="12" t="s">
        <v>303</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270</v>
      </c>
      <c r="B15" s="12" t="s">
        <v>304</v>
      </c>
      <c r="C15" s="3" t="s">
        <v>214</v>
      </c>
      <c r="D15" s="3"/>
      <c r="E15" s="3"/>
      <c r="F15" s="3"/>
      <c r="G15" s="10" t="str">
        <f t="shared" ref="G15:G21"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270</v>
      </c>
      <c r="B16" s="12" t="s">
        <v>305</v>
      </c>
      <c r="C16" s="3" t="s">
        <v>210</v>
      </c>
      <c r="D16" s="17" t="s">
        <v>317</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9" t="s">
        <v>270</v>
      </c>
      <c r="B17" s="12" t="s">
        <v>306</v>
      </c>
      <c r="C17" s="3" t="s">
        <v>206</v>
      </c>
      <c r="D17" s="17" t="s">
        <v>318</v>
      </c>
      <c r="E17" s="3"/>
      <c r="F17" s="3"/>
      <c r="G17" s="10" t="str">
        <f t="shared" si="1"/>
        <v>Path</v>
      </c>
      <c r="H17" s="5" t="str">
        <f>IF(LEN(Table23[[#This Row],[!type]])&gt;0,IF(Table23[[#This Row],[!type]]=H$1,"1","rg:None"),"-")</f>
        <v>1</v>
      </c>
      <c r="I17" s="5" t="str">
        <f>IF(LEN(Table23[[#This Row],[!type]])&gt;0,IF(Table23[[#This Row],[!type]]=I$1,"1","rg:None"),"-")</f>
        <v>rg:None</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roles</v>
      </c>
      <c r="Q17" s="5" t="str">
        <f>IF(LEN(Table23[[#This Row],[!tag]]) &gt;0,Table23[[#This Row],[!tag]],"rg:None")</f>
        <v>Role</v>
      </c>
      <c r="R17" s="5" t="str">
        <f>IF(LEN(Table23[[#This Row],[!paramDef]]) &gt;0,Table23[[#This Row],[!paramDef]],"rg:None")</f>
        <v>RoleViewModel</v>
      </c>
      <c r="S17" s="5" t="str">
        <f>IF(LEN(Table23[[#This Row],[!respDef]]) &gt;0,Table23[[#This Row],[!respDef]],"rg:None")</f>
        <v>rg:None</v>
      </c>
      <c r="T17" s="5" t="str">
        <f>IF(LEN(Table23[[#This Row],[!Description]]) &gt;0,Table23[[#This Row],[!Description]],"rg:None")</f>
        <v>rg:None</v>
      </c>
    </row>
    <row r="18" spans="1:20" x14ac:dyDescent="0.3">
      <c r="A18" s="12" t="s">
        <v>272</v>
      </c>
      <c r="B18" s="12" t="s">
        <v>314</v>
      </c>
      <c r="C18" s="17" t="s">
        <v>206</v>
      </c>
      <c r="D18" s="17" t="s">
        <v>208</v>
      </c>
      <c r="E18" s="3"/>
      <c r="F18" s="3"/>
      <c r="G18" s="10"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9" t="s">
        <v>270</v>
      </c>
      <c r="B19" s="12" t="s">
        <v>307</v>
      </c>
      <c r="C19" s="3" t="s">
        <v>0</v>
      </c>
      <c r="D19" s="17" t="s">
        <v>319</v>
      </c>
      <c r="E19" s="3"/>
      <c r="F19" s="3"/>
      <c r="G19" s="10"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13" t="s">
        <v>272</v>
      </c>
      <c r="B20" s="13" t="s">
        <v>315</v>
      </c>
      <c r="C20" s="18" t="s">
        <v>0</v>
      </c>
      <c r="D20" s="17" t="s">
        <v>212</v>
      </c>
      <c r="E20" s="14"/>
      <c r="F20" s="15"/>
      <c r="G20" s="16" t="str">
        <f t="shared" si="1"/>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usergroups</v>
      </c>
      <c r="Q20" s="4" t="str">
        <f>IF(LEN(Table23[[#This Row],[!tag]]) &gt;0,Table23[[#This Row],[!tag]],"rg:None")</f>
        <v>User</v>
      </c>
      <c r="R20" s="4" t="str">
        <f>IF(LEN(Table23[[#This Row],[!paramDef]]) &gt;0,Table23[[#This Row],[!paramDef]],"rg:None")</f>
        <v>GroupMembership</v>
      </c>
      <c r="S20" s="4" t="str">
        <f>IF(LEN(Table23[[#This Row],[!respDef]]) &gt;0,Table23[[#This Row],[!respDef]],"rg:None")</f>
        <v>rg:None</v>
      </c>
      <c r="T20" s="4" t="str">
        <f>IF(LEN(Table23[[#This Row],[!Description]]) &gt;0,Table23[[#This Row],[!Description]],"rg:None")</f>
        <v>rg:None</v>
      </c>
    </row>
    <row r="21" spans="1:20" x14ac:dyDescent="0.3">
      <c r="A21" s="12" t="s">
        <v>272</v>
      </c>
      <c r="B21" s="12" t="s">
        <v>308</v>
      </c>
      <c r="C21" s="17" t="s">
        <v>0</v>
      </c>
      <c r="D21" s="17" t="s">
        <v>203</v>
      </c>
      <c r="E21" s="3"/>
      <c r="F21" s="3"/>
      <c r="G21" s="10" t="str">
        <f t="shared" si="1"/>
        <v>Path</v>
      </c>
      <c r="H21" s="5" t="str">
        <f>IF(LEN(Table23[[#This Row],[!type]])&gt;0,IF(Table23[[#This Row],[!type]]=H$1,"1","rg:None"),"-")</f>
        <v>rg:None</v>
      </c>
      <c r="I21" s="5" t="str">
        <f>IF(LEN(Table23[[#This Row],[!type]])&gt;0,IF(Table23[[#This Row],[!type]]=I$1,"1","rg:None"),"-")</f>
        <v>rg:None</v>
      </c>
      <c r="J21" s="5" t="str">
        <f>IF(LEN(Table23[[#This Row],[!type]])&gt;0,IF(Table23[[#This Row],[!type]]=J$1,"1","rg:None"),"-")</f>
        <v>1</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userroles</v>
      </c>
      <c r="Q21" s="5" t="str">
        <f>IF(LEN(Table23[[#This Row],[!tag]]) &gt;0,Table23[[#This Row],[!tag]],"rg:None")</f>
        <v>User</v>
      </c>
      <c r="R21" s="5" t="str">
        <f>IF(LEN(Table23[[#This Row],[!paramDef]]) &gt;0,Table23[[#This Row],[!paramDef]],"rg:None")</f>
        <v>UserRole</v>
      </c>
      <c r="S21" s="5" t="str">
        <f>IF(LEN(Table23[[#This Row],[!respDef]]) &gt;0,Table23[[#This Row],[!respDef]],"rg:None")</f>
        <v>rg:None</v>
      </c>
      <c r="T21" s="5" t="str">
        <f>IF(LEN(Table23[[#This Row],[!Description]]) &gt;0,Table23[[#This Row],[!Description]],"rg:None")</f>
        <v>rg:None</v>
      </c>
    </row>
    <row r="22" spans="1:20" x14ac:dyDescent="0.3">
      <c r="A22" s="9" t="s">
        <v>270</v>
      </c>
      <c r="B22" s="12" t="s">
        <v>309</v>
      </c>
      <c r="C22" s="3" t="s">
        <v>153</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regions</v>
      </c>
      <c r="Q22" s="5" t="str">
        <f>IF(LEN(Table23[[#This Row],[!tag]]) &gt;0,Table23[[#This Row],[!tag]],"rg:None")</f>
        <v>Region</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9" t="s">
        <v>270</v>
      </c>
      <c r="B23" s="12" t="s">
        <v>310</v>
      </c>
      <c r="C23" s="3" t="s">
        <v>161</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districts</v>
      </c>
      <c r="Q23" s="5" t="str">
        <f>IF(LEN(Table23[[#This Row],[!tag]]) &gt;0,Table23[[#This Row],[!tag]],"rg:None")</f>
        <v>District</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270</v>
      </c>
      <c r="B24" s="12" t="s">
        <v>311</v>
      </c>
      <c r="C24" s="3" t="s">
        <v>27</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serviceareas</v>
      </c>
      <c r="Q24" s="5" t="str">
        <f>IF(LEN(Table23[[#This Row],[!tag]]) &gt;0,Table23[[#This Row],[!tag]],"rg:None")</f>
        <v>ServiceArea</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270</v>
      </c>
      <c r="B25" s="12" t="s">
        <v>312</v>
      </c>
      <c r="C25" s="3" t="s">
        <v>34</v>
      </c>
      <c r="D25" s="3"/>
      <c r="E25" s="3"/>
      <c r="F25" s="3"/>
      <c r="G25" s="10" t="str">
        <f>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cities</v>
      </c>
      <c r="Q25" s="5" t="str">
        <f>IF(LEN(Table23[[#This Row],[!tag]]) &gt;0,Table23[[#This Row],[!tag]],"rg:None")</f>
        <v>City</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270</v>
      </c>
      <c r="B26" s="12" t="s">
        <v>313</v>
      </c>
      <c r="C26" s="3" t="s">
        <v>50</v>
      </c>
      <c r="D26" s="3"/>
      <c r="E26" s="3"/>
      <c r="F26" s="3"/>
      <c r="G26" s="10" t="str">
        <f t="shared" si="0"/>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schooldistricts</v>
      </c>
      <c r="Q26" s="5" t="str">
        <f>IF(LEN(Table23[[#This Row],[!tag]]) &gt;0,Table23[[#This Row],[!tag]],"rg:None")</f>
        <v>SchoolDistrict</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260</v>
      </c>
      <c r="B1" t="s">
        <v>263</v>
      </c>
    </row>
    <row r="2" spans="1:2" x14ac:dyDescent="0.3">
      <c r="A2" t="s">
        <v>265</v>
      </c>
      <c r="B2" t="s">
        <v>264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election activeCell="A2" sqref="A2"/>
    </sheetView>
  </sheetViews>
  <sheetFormatPr defaultRowHeight="15.6" x14ac:dyDescent="0.3"/>
  <cols>
    <col min="2" max="2" width="28.3984375" bestFit="1" customWidth="1"/>
  </cols>
  <sheetData>
    <row r="1" spans="1:2" x14ac:dyDescent="0.3">
      <c r="A1" t="s">
        <v>260</v>
      </c>
      <c r="B1" t="s">
        <v>263</v>
      </c>
    </row>
    <row r="2" spans="1:2" x14ac:dyDescent="0.3">
      <c r="A2" t="s">
        <v>265</v>
      </c>
      <c r="B2" t="s">
        <v>285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2017-01-18T16:03:24Z</dcterms:modified>
</cp:coreProperties>
</file>