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showInkAnnotation="0" codeName="ThisWorkbook" autoCompressPictures="0"/>
  <mc:AlternateContent xmlns:mc="http://schemas.openxmlformats.org/markup-compatibility/2006">
    <mc:Choice Requires="x15">
      <x15ac:absPath xmlns:x15ac="http://schemas.microsoft.com/office/spreadsheetml/2010/11/ac" url="C:\repo\schoolbus\ApiSpec\in\"/>
    </mc:Choice>
  </mc:AlternateContent>
  <bookViews>
    <workbookView xWindow="240" yWindow="240" windowWidth="11136" windowHeight="6792" tabRatio="844"/>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defs.csv!$A$1:$I$229</definedName>
    <definedName name="_xlnm._FilterDatabase" localSheetId="1" hidden="1">paths.csv!$A$1:$F$27</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H138" i="27" l="1"/>
  <c r="I138" i="27"/>
  <c r="J138" i="27"/>
  <c r="K138" i="27"/>
  <c r="L138" i="27"/>
  <c r="M138" i="27"/>
  <c r="N138" i="27"/>
  <c r="O138" i="27"/>
  <c r="P138" i="27"/>
  <c r="Q138" i="27"/>
  <c r="R138" i="27"/>
  <c r="S138" i="27"/>
  <c r="T138" i="27"/>
  <c r="U138" i="27"/>
  <c r="H141" i="27" l="1"/>
  <c r="I141" i="27"/>
  <c r="J141" i="27"/>
  <c r="K141" i="27"/>
  <c r="L141" i="27"/>
  <c r="M141" i="27"/>
  <c r="N141" i="27"/>
  <c r="O141" i="27"/>
  <c r="P141" i="27"/>
  <c r="Q141" i="27"/>
  <c r="R141" i="27"/>
  <c r="S141" i="27"/>
  <c r="T141" i="27"/>
  <c r="R19" i="30"/>
  <c r="G19" i="30"/>
  <c r="H19" i="30"/>
  <c r="I19" i="30"/>
  <c r="J19" i="30"/>
  <c r="K19" i="30"/>
  <c r="L19" i="30"/>
  <c r="M19" i="30"/>
  <c r="N19" i="30"/>
  <c r="O19" i="30"/>
  <c r="P19" i="30"/>
  <c r="Q19" i="30"/>
  <c r="S19" i="30"/>
  <c r="T19" i="30"/>
  <c r="R17" i="30"/>
  <c r="G17" i="30"/>
  <c r="H17" i="30"/>
  <c r="I17" i="30"/>
  <c r="J17" i="30"/>
  <c r="K17" i="30"/>
  <c r="L17" i="30"/>
  <c r="M17" i="30"/>
  <c r="N17" i="30"/>
  <c r="O17" i="30"/>
  <c r="P17" i="30"/>
  <c r="Q17" i="30"/>
  <c r="S17" i="30"/>
  <c r="T17" i="30"/>
  <c r="H30" i="27"/>
  <c r="I30" i="27"/>
  <c r="J30" i="27"/>
  <c r="K30" i="27"/>
  <c r="L30" i="27"/>
  <c r="M30" i="27"/>
  <c r="N30" i="27"/>
  <c r="O30" i="27"/>
  <c r="P30" i="27"/>
  <c r="Q30" i="27"/>
  <c r="R30" i="27"/>
  <c r="S30" i="27"/>
  <c r="T30" i="27"/>
  <c r="U141" i="27"/>
  <c r="U30" i="27"/>
  <c r="T11" i="27" l="1"/>
  <c r="R21" i="30" l="1"/>
  <c r="G21" i="30"/>
  <c r="H21" i="30"/>
  <c r="I21" i="30"/>
  <c r="J21" i="30"/>
  <c r="K21" i="30"/>
  <c r="L21" i="30"/>
  <c r="M21" i="30"/>
  <c r="N21" i="30"/>
  <c r="O21" i="30"/>
  <c r="P21" i="30"/>
  <c r="Q21" i="30"/>
  <c r="S21" i="30"/>
  <c r="T21" i="30"/>
  <c r="R4" i="30"/>
  <c r="G4" i="30"/>
  <c r="H4" i="30"/>
  <c r="I4" i="30"/>
  <c r="J4" i="30"/>
  <c r="K4" i="30"/>
  <c r="L4" i="30"/>
  <c r="M4" i="30"/>
  <c r="N4" i="30"/>
  <c r="O4" i="30"/>
  <c r="P4" i="30"/>
  <c r="Q4" i="30"/>
  <c r="S4" i="30"/>
  <c r="T4" i="30"/>
  <c r="G5" i="30" l="1"/>
  <c r="G6" i="30"/>
  <c r="G7" i="30"/>
  <c r="G10" i="30"/>
  <c r="G12" i="30"/>
  <c r="G11" i="30"/>
  <c r="G13" i="30"/>
  <c r="G14" i="30"/>
  <c r="G2" i="30"/>
  <c r="G3" i="30"/>
  <c r="G23" i="30"/>
  <c r="G24" i="30"/>
  <c r="G25" i="30"/>
  <c r="G27" i="30"/>
  <c r="G26" i="30"/>
  <c r="G8" i="30"/>
  <c r="G9" i="30"/>
  <c r="G22" i="30"/>
  <c r="G18" i="30"/>
  <c r="G20" i="30"/>
  <c r="G16" i="30"/>
  <c r="G15" i="30"/>
  <c r="S3" i="27"/>
  <c r="S4" i="27"/>
  <c r="S5" i="27"/>
  <c r="S6" i="27"/>
  <c r="S7" i="27"/>
  <c r="S8" i="27"/>
  <c r="S9" i="27"/>
  <c r="S10" i="27"/>
  <c r="S11" i="27"/>
  <c r="S12" i="27"/>
  <c r="S13" i="27"/>
  <c r="S14" i="27"/>
  <c r="S15" i="27"/>
  <c r="S16" i="27"/>
  <c r="S17" i="27"/>
  <c r="S18" i="27"/>
  <c r="S19" i="27"/>
  <c r="S20" i="27"/>
  <c r="S21" i="27"/>
  <c r="S22" i="27"/>
  <c r="S23" i="27"/>
  <c r="S24" i="27"/>
  <c r="S25" i="27"/>
  <c r="S26" i="27"/>
  <c r="S27" i="27"/>
  <c r="S28" i="27"/>
  <c r="S29" i="27"/>
  <c r="S31" i="27"/>
  <c r="S32" i="27"/>
  <c r="S33" i="27"/>
  <c r="S34" i="27"/>
  <c r="S35" i="27"/>
  <c r="S36" i="27"/>
  <c r="S37" i="27"/>
  <c r="S38" i="27"/>
  <c r="S39" i="27"/>
  <c r="S40" i="27"/>
  <c r="S41" i="27"/>
  <c r="S42" i="27"/>
  <c r="S43" i="27"/>
  <c r="S44" i="27"/>
  <c r="S45" i="27"/>
  <c r="S46" i="27"/>
  <c r="S47" i="27"/>
  <c r="S48" i="27"/>
  <c r="S49" i="27"/>
  <c r="S50" i="27"/>
  <c r="S51" i="27"/>
  <c r="S52" i="27"/>
  <c r="S53" i="27"/>
  <c r="S54" i="27"/>
  <c r="S55" i="27"/>
  <c r="S56" i="27"/>
  <c r="S57" i="27"/>
  <c r="S58" i="27"/>
  <c r="S59" i="27"/>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S87" i="27"/>
  <c r="S88" i="27"/>
  <c r="S89" i="27"/>
  <c r="S90" i="27"/>
  <c r="S91" i="27"/>
  <c r="S92" i="27"/>
  <c r="S93" i="27"/>
  <c r="S94" i="27"/>
  <c r="S95" i="27"/>
  <c r="S96" i="27"/>
  <c r="S97" i="27"/>
  <c r="S98" i="27"/>
  <c r="S99" i="27"/>
  <c r="S100" i="27"/>
  <c r="S101" i="27"/>
  <c r="S102" i="27"/>
  <c r="S103" i="27"/>
  <c r="S104" i="27"/>
  <c r="S105" i="27"/>
  <c r="S106" i="27"/>
  <c r="S107" i="27"/>
  <c r="S108" i="27"/>
  <c r="S109" i="27"/>
  <c r="S110" i="27"/>
  <c r="S111" i="27"/>
  <c r="S112" i="27"/>
  <c r="S113" i="27"/>
  <c r="S114" i="27"/>
  <c r="S115" i="27"/>
  <c r="S116" i="27"/>
  <c r="S117" i="27"/>
  <c r="S118" i="27"/>
  <c r="S119" i="27"/>
  <c r="S120" i="27"/>
  <c r="S121" i="27"/>
  <c r="S122" i="27"/>
  <c r="S123" i="27"/>
  <c r="S124" i="27"/>
  <c r="S125" i="27"/>
  <c r="S126" i="27"/>
  <c r="S127" i="27"/>
  <c r="S128" i="27"/>
  <c r="S129" i="27"/>
  <c r="S130" i="27"/>
  <c r="S131" i="27"/>
  <c r="S132" i="27"/>
  <c r="S133" i="27"/>
  <c r="S134" i="27"/>
  <c r="S135" i="27"/>
  <c r="S136" i="27"/>
  <c r="S137" i="27"/>
  <c r="S139" i="27"/>
  <c r="S140" i="27"/>
  <c r="S142" i="27"/>
  <c r="S143" i="27"/>
  <c r="S144" i="27"/>
  <c r="S145" i="27"/>
  <c r="S146" i="27"/>
  <c r="S147" i="27"/>
  <c r="S148" i="27"/>
  <c r="S149" i="27"/>
  <c r="S150" i="27"/>
  <c r="S151" i="27"/>
  <c r="S152" i="27"/>
  <c r="S153" i="27"/>
  <c r="S154" i="27"/>
  <c r="S155" i="27"/>
  <c r="S156" i="27"/>
  <c r="S157" i="27"/>
  <c r="S158" i="27"/>
  <c r="S159" i="27"/>
  <c r="S160" i="27"/>
  <c r="S161" i="27"/>
  <c r="S162" i="27"/>
  <c r="S163" i="27"/>
  <c r="S164" i="27"/>
  <c r="S165" i="27"/>
  <c r="S166" i="27"/>
  <c r="S167" i="27"/>
  <c r="S168" i="27"/>
  <c r="S169" i="27"/>
  <c r="S170" i="27"/>
  <c r="S171" i="27"/>
  <c r="S172" i="27"/>
  <c r="S173" i="27"/>
  <c r="S174" i="27"/>
  <c r="S175" i="27"/>
  <c r="S176" i="27"/>
  <c r="S177" i="27"/>
  <c r="S178" i="27"/>
  <c r="S179" i="27"/>
  <c r="S180" i="27"/>
  <c r="S181" i="27"/>
  <c r="S182" i="27"/>
  <c r="S183" i="27"/>
  <c r="S184" i="27"/>
  <c r="S185" i="27"/>
  <c r="S186" i="27"/>
  <c r="S187" i="27"/>
  <c r="S188" i="27"/>
  <c r="S189" i="27"/>
  <c r="S190" i="27"/>
  <c r="S191" i="27"/>
  <c r="S192" i="27"/>
  <c r="S193" i="27"/>
  <c r="S194" i="27"/>
  <c r="S195" i="27"/>
  <c r="S196" i="27"/>
  <c r="S197" i="27"/>
  <c r="S198" i="27"/>
  <c r="S199" i="27"/>
  <c r="S200" i="27"/>
  <c r="S201" i="27"/>
  <c r="S202" i="27"/>
  <c r="S203" i="27"/>
  <c r="S204" i="27"/>
  <c r="S205" i="27"/>
  <c r="S206" i="27"/>
  <c r="S207" i="27"/>
  <c r="S208" i="27"/>
  <c r="S209" i="27"/>
  <c r="S210" i="27"/>
  <c r="S211" i="27"/>
  <c r="S212" i="27"/>
  <c r="S213" i="27"/>
  <c r="S214" i="27"/>
  <c r="S215" i="27"/>
  <c r="S216" i="27"/>
  <c r="S217" i="27"/>
  <c r="S218" i="27"/>
  <c r="S219" i="27"/>
  <c r="S220" i="27"/>
  <c r="S221" i="27"/>
  <c r="S222" i="27"/>
  <c r="S223" i="27"/>
  <c r="S224" i="27"/>
  <c r="S225" i="27"/>
  <c r="S226" i="27"/>
  <c r="S227" i="27"/>
  <c r="S228" i="27"/>
  <c r="S229" i="27"/>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9" i="27"/>
  <c r="R140"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T3" i="27"/>
  <c r="T4" i="27"/>
  <c r="T5" i="27"/>
  <c r="T6" i="27"/>
  <c r="T7" i="27"/>
  <c r="T8" i="27"/>
  <c r="T9" i="27"/>
  <c r="T10" i="27"/>
  <c r="T12" i="27"/>
  <c r="T13" i="27"/>
  <c r="T14" i="27"/>
  <c r="T15" i="27"/>
  <c r="T16" i="27"/>
  <c r="T17" i="27"/>
  <c r="T18" i="27"/>
  <c r="T19" i="27"/>
  <c r="T20" i="27"/>
  <c r="T21" i="27"/>
  <c r="T22" i="27"/>
  <c r="T23" i="27"/>
  <c r="T24" i="27"/>
  <c r="T25" i="27"/>
  <c r="T26" i="27"/>
  <c r="T27" i="27"/>
  <c r="T28" i="27"/>
  <c r="T29" i="27"/>
  <c r="T31" i="27"/>
  <c r="T32" i="27"/>
  <c r="T33" i="27"/>
  <c r="T34" i="27"/>
  <c r="T35" i="27"/>
  <c r="T36" i="27"/>
  <c r="T37" i="27"/>
  <c r="T38" i="27"/>
  <c r="T39" i="27"/>
  <c r="T40" i="27"/>
  <c r="T41" i="27"/>
  <c r="T42" i="27"/>
  <c r="T43" i="27"/>
  <c r="T44" i="27"/>
  <c r="T45" i="27"/>
  <c r="T46" i="27"/>
  <c r="T47" i="27"/>
  <c r="T48" i="27"/>
  <c r="T49" i="27"/>
  <c r="T50" i="27"/>
  <c r="T51" i="27"/>
  <c r="T52" i="27"/>
  <c r="T53" i="27"/>
  <c r="T54" i="27"/>
  <c r="T55" i="27"/>
  <c r="T56" i="27"/>
  <c r="T57" i="27"/>
  <c r="T58" i="27"/>
  <c r="T59" i="27"/>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T87" i="27"/>
  <c r="T88" i="27"/>
  <c r="T89" i="27"/>
  <c r="T90" i="27"/>
  <c r="T91" i="27"/>
  <c r="T92" i="27"/>
  <c r="T93" i="27"/>
  <c r="T94" i="27"/>
  <c r="T95" i="27"/>
  <c r="T96" i="27"/>
  <c r="T97" i="27"/>
  <c r="T98" i="27"/>
  <c r="T99" i="27"/>
  <c r="T100" i="27"/>
  <c r="T101" i="27"/>
  <c r="T102" i="27"/>
  <c r="T103" i="27"/>
  <c r="T104" i="27"/>
  <c r="T105" i="27"/>
  <c r="T106" i="27"/>
  <c r="T107" i="27"/>
  <c r="T108" i="27"/>
  <c r="T109" i="27"/>
  <c r="T110" i="27"/>
  <c r="T111" i="27"/>
  <c r="T112" i="27"/>
  <c r="T113" i="27"/>
  <c r="T114" i="27"/>
  <c r="T115" i="27"/>
  <c r="T116" i="27"/>
  <c r="T117" i="27"/>
  <c r="T118" i="27"/>
  <c r="T119" i="27"/>
  <c r="T120" i="27"/>
  <c r="T121" i="27"/>
  <c r="T122" i="27"/>
  <c r="T123" i="27"/>
  <c r="T124" i="27"/>
  <c r="T125" i="27"/>
  <c r="T126" i="27"/>
  <c r="T127" i="27"/>
  <c r="T128" i="27"/>
  <c r="T129" i="27"/>
  <c r="T130" i="27"/>
  <c r="T131" i="27"/>
  <c r="T132" i="27"/>
  <c r="T133" i="27"/>
  <c r="T134" i="27"/>
  <c r="T135" i="27"/>
  <c r="T136" i="27"/>
  <c r="T137" i="27"/>
  <c r="T139" i="27"/>
  <c r="T140" i="27"/>
  <c r="T142" i="27"/>
  <c r="T143" i="27"/>
  <c r="T144" i="27"/>
  <c r="T145" i="27"/>
  <c r="T146" i="27"/>
  <c r="T147" i="27"/>
  <c r="T148" i="27"/>
  <c r="T149" i="27"/>
  <c r="T150" i="27"/>
  <c r="T151" i="27"/>
  <c r="T152" i="27"/>
  <c r="T153" i="27"/>
  <c r="T154" i="27"/>
  <c r="T155" i="27"/>
  <c r="T156" i="27"/>
  <c r="T157" i="27"/>
  <c r="T158" i="27"/>
  <c r="T159" i="27"/>
  <c r="T160" i="27"/>
  <c r="T161" i="27"/>
  <c r="T162" i="27"/>
  <c r="T163" i="27"/>
  <c r="T164" i="27"/>
  <c r="T165" i="27"/>
  <c r="T166" i="27"/>
  <c r="T167" i="27"/>
  <c r="T168" i="27"/>
  <c r="T169" i="27"/>
  <c r="T170" i="27"/>
  <c r="T171" i="27"/>
  <c r="T172" i="27"/>
  <c r="T173" i="27"/>
  <c r="T174" i="27"/>
  <c r="T175" i="27"/>
  <c r="T176" i="27"/>
  <c r="T177" i="27"/>
  <c r="T178" i="27"/>
  <c r="T179" i="27"/>
  <c r="T180" i="27"/>
  <c r="T181" i="27"/>
  <c r="T182" i="27"/>
  <c r="T183" i="27"/>
  <c r="T184" i="27"/>
  <c r="T185" i="27"/>
  <c r="T186" i="27"/>
  <c r="T187" i="27"/>
  <c r="T188" i="27"/>
  <c r="T189" i="27"/>
  <c r="T190" i="27"/>
  <c r="T191" i="27"/>
  <c r="T192" i="27"/>
  <c r="T193" i="27"/>
  <c r="T194" i="27"/>
  <c r="T195" i="27"/>
  <c r="T196" i="27"/>
  <c r="T197" i="27"/>
  <c r="T198" i="27"/>
  <c r="T199" i="27"/>
  <c r="T200" i="27"/>
  <c r="T201" i="27"/>
  <c r="T202" i="27"/>
  <c r="T203" i="27"/>
  <c r="T204" i="27"/>
  <c r="T205" i="27"/>
  <c r="T206" i="27"/>
  <c r="T207" i="27"/>
  <c r="T208" i="27"/>
  <c r="T209" i="27"/>
  <c r="T210" i="27"/>
  <c r="T211" i="27"/>
  <c r="T212" i="27"/>
  <c r="T213" i="27"/>
  <c r="T214" i="27"/>
  <c r="T215" i="27"/>
  <c r="T216" i="27"/>
  <c r="T217" i="27"/>
  <c r="T218" i="27"/>
  <c r="T219" i="27"/>
  <c r="T220" i="27"/>
  <c r="T221" i="27"/>
  <c r="T222" i="27"/>
  <c r="T223" i="27"/>
  <c r="T224" i="27"/>
  <c r="T225" i="27"/>
  <c r="T226" i="27"/>
  <c r="T227" i="27"/>
  <c r="T228" i="27"/>
  <c r="T229" i="27"/>
  <c r="K3" i="27"/>
  <c r="K4" i="27"/>
  <c r="K5" i="27"/>
  <c r="K6" i="27"/>
  <c r="K7" i="27"/>
  <c r="K8" i="27"/>
  <c r="K9" i="27"/>
  <c r="K10" i="27"/>
  <c r="K11" i="27"/>
  <c r="K12" i="27"/>
  <c r="K13" i="27"/>
  <c r="K14" i="27"/>
  <c r="K15" i="27"/>
  <c r="K16" i="27"/>
  <c r="K17" i="27"/>
  <c r="K18" i="27"/>
  <c r="K19" i="27"/>
  <c r="K20" i="27"/>
  <c r="K21" i="27"/>
  <c r="K22" i="27"/>
  <c r="K23" i="27"/>
  <c r="K24" i="27"/>
  <c r="K25" i="27"/>
  <c r="K26" i="27"/>
  <c r="K27" i="27"/>
  <c r="K28" i="27"/>
  <c r="K29" i="27"/>
  <c r="K31" i="27"/>
  <c r="K32" i="27"/>
  <c r="K33" i="27"/>
  <c r="K34" i="27"/>
  <c r="K35"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4" i="27"/>
  <c r="K65" i="27"/>
  <c r="K66" i="27"/>
  <c r="K67" i="27"/>
  <c r="K68" i="27"/>
  <c r="K69" i="27"/>
  <c r="K70" i="27"/>
  <c r="K71" i="27"/>
  <c r="K72" i="27"/>
  <c r="K73" i="27"/>
  <c r="K74" i="27"/>
  <c r="K75" i="27"/>
  <c r="K76" i="27"/>
  <c r="K77" i="27"/>
  <c r="K78" i="27"/>
  <c r="K79" i="27"/>
  <c r="K80" i="27"/>
  <c r="K81" i="27"/>
  <c r="K82" i="27"/>
  <c r="K83" i="27"/>
  <c r="K84" i="27"/>
  <c r="K85" i="27"/>
  <c r="K86" i="27"/>
  <c r="K87" i="27"/>
  <c r="K88" i="27"/>
  <c r="K89" i="27"/>
  <c r="K90" i="27"/>
  <c r="K91" i="27"/>
  <c r="K92" i="27"/>
  <c r="K93" i="27"/>
  <c r="K94" i="27"/>
  <c r="K95" i="27"/>
  <c r="K96" i="27"/>
  <c r="K97" i="27"/>
  <c r="K98" i="27"/>
  <c r="K99" i="27"/>
  <c r="K100" i="27"/>
  <c r="K101" i="27"/>
  <c r="K102" i="27"/>
  <c r="K103" i="27"/>
  <c r="K104" i="27"/>
  <c r="K105" i="27"/>
  <c r="K106" i="27"/>
  <c r="K107" i="27"/>
  <c r="K108" i="27"/>
  <c r="K109" i="27"/>
  <c r="K110" i="27"/>
  <c r="K111" i="27"/>
  <c r="K112" i="27"/>
  <c r="K113" i="27"/>
  <c r="K114" i="27"/>
  <c r="K115" i="27"/>
  <c r="K116" i="27"/>
  <c r="K117" i="27"/>
  <c r="K118" i="27"/>
  <c r="K119" i="27"/>
  <c r="K120" i="27"/>
  <c r="K121" i="27"/>
  <c r="K122" i="27"/>
  <c r="K123" i="27"/>
  <c r="K124" i="27"/>
  <c r="K125" i="27"/>
  <c r="K126" i="27"/>
  <c r="K127" i="27"/>
  <c r="K128" i="27"/>
  <c r="K129" i="27"/>
  <c r="K130" i="27"/>
  <c r="K131" i="27"/>
  <c r="K132" i="27"/>
  <c r="K133" i="27"/>
  <c r="K134" i="27"/>
  <c r="K135" i="27"/>
  <c r="K136" i="27"/>
  <c r="K137" i="27"/>
  <c r="K139" i="27"/>
  <c r="K140" i="27"/>
  <c r="K142" i="27"/>
  <c r="K143" i="27"/>
  <c r="K144" i="27"/>
  <c r="K145" i="27"/>
  <c r="K146" i="27"/>
  <c r="K147" i="27"/>
  <c r="K148" i="27"/>
  <c r="K149" i="27"/>
  <c r="K150" i="27"/>
  <c r="K151" i="27"/>
  <c r="K152" i="27"/>
  <c r="K153" i="27"/>
  <c r="K154" i="27"/>
  <c r="K155" i="27"/>
  <c r="K156" i="27"/>
  <c r="K157" i="27"/>
  <c r="K158" i="27"/>
  <c r="K159" i="27"/>
  <c r="K160" i="27"/>
  <c r="K161" i="27"/>
  <c r="K162" i="27"/>
  <c r="K163" i="27"/>
  <c r="K164" i="27"/>
  <c r="K165" i="27"/>
  <c r="K166" i="27"/>
  <c r="K167" i="27"/>
  <c r="K168" i="27"/>
  <c r="K169" i="27"/>
  <c r="K170" i="27"/>
  <c r="K171" i="27"/>
  <c r="K172" i="27"/>
  <c r="K173" i="27"/>
  <c r="K174" i="27"/>
  <c r="K175" i="27"/>
  <c r="K176" i="27"/>
  <c r="K177" i="27"/>
  <c r="K178" i="27"/>
  <c r="K179" i="27"/>
  <c r="K180" i="27"/>
  <c r="K181" i="27"/>
  <c r="K182" i="27"/>
  <c r="K183" i="27"/>
  <c r="K184" i="27"/>
  <c r="K185" i="27"/>
  <c r="K186" i="27"/>
  <c r="K187" i="27"/>
  <c r="K188" i="27"/>
  <c r="K189" i="27"/>
  <c r="K190" i="27"/>
  <c r="K191" i="27"/>
  <c r="K192" i="27"/>
  <c r="K193" i="27"/>
  <c r="K194" i="27"/>
  <c r="K195" i="27"/>
  <c r="K196" i="27"/>
  <c r="K197" i="27"/>
  <c r="K198" i="27"/>
  <c r="K199" i="27"/>
  <c r="K200" i="27"/>
  <c r="K201" i="27"/>
  <c r="K202" i="27"/>
  <c r="K203" i="27"/>
  <c r="K204" i="27"/>
  <c r="K205" i="27"/>
  <c r="K206" i="27"/>
  <c r="K207" i="27"/>
  <c r="K208" i="27"/>
  <c r="K209" i="27"/>
  <c r="K210" i="27"/>
  <c r="K211" i="27"/>
  <c r="K212" i="27"/>
  <c r="K213" i="27"/>
  <c r="K214" i="27"/>
  <c r="K215" i="27"/>
  <c r="K216" i="27"/>
  <c r="K217" i="27"/>
  <c r="K218" i="27"/>
  <c r="K219" i="27"/>
  <c r="K220" i="27"/>
  <c r="K221" i="27"/>
  <c r="K222" i="27"/>
  <c r="K223" i="27"/>
  <c r="K224" i="27"/>
  <c r="K225" i="27"/>
  <c r="K226" i="27"/>
  <c r="K227" i="27"/>
  <c r="K228" i="27"/>
  <c r="K229" i="27"/>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29" i="27"/>
  <c r="J31" i="27"/>
  <c r="J32" i="27"/>
  <c r="J33" i="27"/>
  <c r="J34" i="27"/>
  <c r="J35" i="27"/>
  <c r="J36" i="27"/>
  <c r="J37" i="27"/>
  <c r="J38" i="27"/>
  <c r="J39" i="27"/>
  <c r="J40" i="27"/>
  <c r="J41" i="27"/>
  <c r="J42" i="27"/>
  <c r="J43"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92" i="27"/>
  <c r="J93" i="27"/>
  <c r="J94" i="27"/>
  <c r="J95" i="27"/>
  <c r="J96" i="27"/>
  <c r="J97" i="27"/>
  <c r="J98" i="27"/>
  <c r="J99" i="27"/>
  <c r="J100" i="27"/>
  <c r="J101" i="27"/>
  <c r="J102" i="27"/>
  <c r="J103" i="27"/>
  <c r="J104" i="27"/>
  <c r="J105" i="27"/>
  <c r="J106" i="27"/>
  <c r="J107" i="27"/>
  <c r="J108" i="27"/>
  <c r="J109" i="27"/>
  <c r="J110" i="27"/>
  <c r="J111" i="27"/>
  <c r="J112" i="27"/>
  <c r="J113" i="27"/>
  <c r="J114" i="27"/>
  <c r="J115" i="27"/>
  <c r="J116" i="27"/>
  <c r="J117" i="27"/>
  <c r="J118" i="27"/>
  <c r="J119" i="27"/>
  <c r="J120" i="27"/>
  <c r="J121" i="27"/>
  <c r="J122" i="27"/>
  <c r="J123" i="27"/>
  <c r="J124" i="27"/>
  <c r="J125" i="27"/>
  <c r="J126" i="27"/>
  <c r="J127" i="27"/>
  <c r="J128" i="27"/>
  <c r="J129" i="27"/>
  <c r="J130" i="27"/>
  <c r="J131" i="27"/>
  <c r="J132" i="27"/>
  <c r="J133" i="27"/>
  <c r="J134" i="27"/>
  <c r="J135" i="27"/>
  <c r="J136" i="27"/>
  <c r="J137" i="27"/>
  <c r="J139" i="27"/>
  <c r="J140" i="27"/>
  <c r="J142" i="27"/>
  <c r="J143" i="27"/>
  <c r="J144" i="27"/>
  <c r="J145" i="27"/>
  <c r="J146" i="27"/>
  <c r="J147" i="27"/>
  <c r="J148" i="27"/>
  <c r="J149" i="27"/>
  <c r="J150" i="27"/>
  <c r="J151" i="27"/>
  <c r="J152" i="27"/>
  <c r="J153" i="27"/>
  <c r="J154" i="27"/>
  <c r="J155" i="27"/>
  <c r="J156" i="27"/>
  <c r="J157" i="27"/>
  <c r="J158" i="27"/>
  <c r="J159" i="27"/>
  <c r="J160" i="27"/>
  <c r="J161" i="27"/>
  <c r="J162" i="27"/>
  <c r="J163" i="27"/>
  <c r="J164" i="27"/>
  <c r="J165" i="27"/>
  <c r="J166" i="27"/>
  <c r="J167" i="27"/>
  <c r="J168" i="27"/>
  <c r="J169" i="27"/>
  <c r="J170" i="27"/>
  <c r="J171" i="27"/>
  <c r="J172" i="27"/>
  <c r="J173" i="27"/>
  <c r="J174" i="27"/>
  <c r="J175" i="27"/>
  <c r="J176" i="27"/>
  <c r="J177" i="27"/>
  <c r="J178" i="27"/>
  <c r="J179" i="27"/>
  <c r="J180" i="27"/>
  <c r="J181" i="27"/>
  <c r="J182" i="27"/>
  <c r="J183" i="27"/>
  <c r="J184" i="27"/>
  <c r="J185" i="27"/>
  <c r="J186" i="27"/>
  <c r="J187" i="27"/>
  <c r="J188" i="27"/>
  <c r="J189" i="27"/>
  <c r="J190" i="27"/>
  <c r="J191" i="27"/>
  <c r="J192" i="27"/>
  <c r="J193" i="27"/>
  <c r="J194" i="27"/>
  <c r="J195" i="27"/>
  <c r="J196" i="27"/>
  <c r="J197" i="27"/>
  <c r="J198" i="27"/>
  <c r="J199" i="27"/>
  <c r="J200" i="27"/>
  <c r="J201" i="27"/>
  <c r="J202" i="27"/>
  <c r="J203" i="27"/>
  <c r="J204" i="27"/>
  <c r="J205" i="27"/>
  <c r="J206" i="27"/>
  <c r="J207" i="27"/>
  <c r="J208" i="27"/>
  <c r="J209" i="27"/>
  <c r="J210" i="27"/>
  <c r="J211" i="27"/>
  <c r="J212" i="27"/>
  <c r="J213" i="27"/>
  <c r="J214" i="27"/>
  <c r="J215" i="27"/>
  <c r="J216" i="27"/>
  <c r="J217" i="27"/>
  <c r="J218" i="27"/>
  <c r="J219" i="27"/>
  <c r="J220" i="27"/>
  <c r="J221" i="27"/>
  <c r="J222" i="27"/>
  <c r="J223" i="27"/>
  <c r="J224" i="27"/>
  <c r="J225" i="27"/>
  <c r="J226" i="27"/>
  <c r="J227" i="27"/>
  <c r="J228" i="27"/>
  <c r="J229" i="27"/>
  <c r="I3" i="27"/>
  <c r="I4" i="27"/>
  <c r="I5" i="27"/>
  <c r="I6" i="27"/>
  <c r="I7" i="27"/>
  <c r="I8" i="27"/>
  <c r="I9" i="27"/>
  <c r="I10" i="27"/>
  <c r="I11" i="27"/>
  <c r="I12" i="27"/>
  <c r="I13" i="27"/>
  <c r="I14" i="27"/>
  <c r="I15" i="27"/>
  <c r="I16" i="27"/>
  <c r="I17" i="27"/>
  <c r="I18" i="27"/>
  <c r="I19" i="27"/>
  <c r="I20" i="27"/>
  <c r="I21" i="27"/>
  <c r="I22" i="27"/>
  <c r="I23" i="27"/>
  <c r="I24" i="27"/>
  <c r="I25" i="27"/>
  <c r="I26" i="27"/>
  <c r="I27" i="27"/>
  <c r="I28" i="27"/>
  <c r="I29" i="27"/>
  <c r="I31" i="27"/>
  <c r="I32" i="27"/>
  <c r="I33" i="27"/>
  <c r="I34" i="27"/>
  <c r="I35" i="27"/>
  <c r="I36" i="27"/>
  <c r="I37" i="27"/>
  <c r="I38" i="27"/>
  <c r="I39" i="27"/>
  <c r="I40" i="27"/>
  <c r="I41" i="27"/>
  <c r="I42" i="27"/>
  <c r="I43" i="27"/>
  <c r="I44" i="27"/>
  <c r="I45" i="27"/>
  <c r="I46" i="27"/>
  <c r="I47" i="27"/>
  <c r="I48" i="27"/>
  <c r="I49" i="27"/>
  <c r="I50" i="27"/>
  <c r="I51" i="27"/>
  <c r="I52" i="27"/>
  <c r="I53" i="27"/>
  <c r="I54" i="27"/>
  <c r="I55" i="27"/>
  <c r="I56" i="27"/>
  <c r="I57" i="27"/>
  <c r="I58" i="27"/>
  <c r="I59" i="27"/>
  <c r="I60" i="27"/>
  <c r="I61" i="27"/>
  <c r="I62" i="27"/>
  <c r="I63" i="27"/>
  <c r="I64" i="27"/>
  <c r="I65" i="27"/>
  <c r="I66" i="27"/>
  <c r="I67" i="27"/>
  <c r="I68" i="27"/>
  <c r="I69" i="27"/>
  <c r="I70" i="27"/>
  <c r="I71" i="27"/>
  <c r="I72" i="27"/>
  <c r="I73" i="27"/>
  <c r="I74" i="27"/>
  <c r="I75" i="27"/>
  <c r="I76" i="27"/>
  <c r="I77" i="27"/>
  <c r="I78" i="27"/>
  <c r="I79" i="27"/>
  <c r="I80" i="27"/>
  <c r="I81" i="27"/>
  <c r="I82" i="27"/>
  <c r="I83" i="27"/>
  <c r="I84" i="27"/>
  <c r="I85" i="27"/>
  <c r="I86" i="27"/>
  <c r="I87" i="27"/>
  <c r="I88" i="27"/>
  <c r="I89" i="27"/>
  <c r="I90" i="27"/>
  <c r="I91" i="27"/>
  <c r="I92" i="27"/>
  <c r="I93" i="27"/>
  <c r="I94" i="27"/>
  <c r="I95" i="27"/>
  <c r="I96" i="27"/>
  <c r="I97" i="27"/>
  <c r="I98" i="27"/>
  <c r="I99" i="27"/>
  <c r="I100" i="27"/>
  <c r="I101" i="27"/>
  <c r="I102" i="27"/>
  <c r="I103" i="27"/>
  <c r="I104" i="27"/>
  <c r="I105" i="27"/>
  <c r="I106" i="27"/>
  <c r="I107" i="27"/>
  <c r="I108" i="27"/>
  <c r="I109" i="27"/>
  <c r="I110" i="27"/>
  <c r="I111" i="27"/>
  <c r="I112" i="27"/>
  <c r="I113" i="27"/>
  <c r="I114" i="27"/>
  <c r="I115" i="27"/>
  <c r="I116" i="27"/>
  <c r="I117" i="27"/>
  <c r="I118" i="27"/>
  <c r="I119" i="27"/>
  <c r="I120" i="27"/>
  <c r="I121" i="27"/>
  <c r="I122" i="27"/>
  <c r="I123" i="27"/>
  <c r="I124" i="27"/>
  <c r="I125" i="27"/>
  <c r="I126" i="27"/>
  <c r="I127" i="27"/>
  <c r="I128" i="27"/>
  <c r="I129" i="27"/>
  <c r="I130" i="27"/>
  <c r="I131" i="27"/>
  <c r="I132" i="27"/>
  <c r="I133" i="27"/>
  <c r="I134" i="27"/>
  <c r="I135" i="27"/>
  <c r="I136" i="27"/>
  <c r="I137" i="27"/>
  <c r="I139" i="27"/>
  <c r="I140" i="27"/>
  <c r="I142" i="27"/>
  <c r="I143" i="27"/>
  <c r="I144" i="27"/>
  <c r="I145" i="27"/>
  <c r="I146" i="27"/>
  <c r="I147" i="27"/>
  <c r="I148" i="27"/>
  <c r="I149" i="27"/>
  <c r="I150" i="27"/>
  <c r="I151" i="27"/>
  <c r="I152" i="27"/>
  <c r="I153" i="27"/>
  <c r="I154" i="27"/>
  <c r="I155" i="27"/>
  <c r="I156" i="27"/>
  <c r="I157" i="27"/>
  <c r="I158" i="27"/>
  <c r="I159" i="27"/>
  <c r="I160" i="27"/>
  <c r="I161" i="27"/>
  <c r="I162" i="27"/>
  <c r="I163" i="27"/>
  <c r="I164" i="27"/>
  <c r="I165" i="27"/>
  <c r="I166" i="27"/>
  <c r="I167" i="27"/>
  <c r="I168" i="27"/>
  <c r="I169" i="27"/>
  <c r="I170" i="27"/>
  <c r="I171" i="27"/>
  <c r="I172" i="27"/>
  <c r="I173" i="27"/>
  <c r="I174" i="27"/>
  <c r="I175" i="27"/>
  <c r="I176" i="27"/>
  <c r="I177" i="27"/>
  <c r="I178" i="27"/>
  <c r="I179" i="27"/>
  <c r="I180" i="27"/>
  <c r="I181" i="27"/>
  <c r="I182" i="27"/>
  <c r="I183" i="27"/>
  <c r="I184" i="27"/>
  <c r="I185" i="27"/>
  <c r="I186" i="27"/>
  <c r="I187" i="27"/>
  <c r="I188" i="27"/>
  <c r="I189" i="27"/>
  <c r="I190" i="27"/>
  <c r="I191" i="27"/>
  <c r="I192" i="27"/>
  <c r="I193" i="27"/>
  <c r="I194" i="27"/>
  <c r="I195" i="27"/>
  <c r="I196" i="27"/>
  <c r="I197" i="27"/>
  <c r="I198" i="27"/>
  <c r="I199" i="27"/>
  <c r="I200" i="27"/>
  <c r="I201" i="27"/>
  <c r="I202" i="27"/>
  <c r="I203" i="27"/>
  <c r="I204" i="27"/>
  <c r="I205" i="27"/>
  <c r="I206" i="27"/>
  <c r="I207" i="27"/>
  <c r="I208" i="27"/>
  <c r="I209" i="27"/>
  <c r="I210" i="27"/>
  <c r="I211" i="27"/>
  <c r="I212" i="27"/>
  <c r="I213" i="27"/>
  <c r="I214" i="27"/>
  <c r="I215" i="27"/>
  <c r="I216" i="27"/>
  <c r="I217" i="27"/>
  <c r="I218" i="27"/>
  <c r="I219" i="27"/>
  <c r="I220" i="27"/>
  <c r="I221" i="27"/>
  <c r="I222" i="27"/>
  <c r="I223" i="27"/>
  <c r="I224" i="27"/>
  <c r="I225" i="27"/>
  <c r="I226" i="27"/>
  <c r="I227" i="27"/>
  <c r="I228" i="27"/>
  <c r="I229" i="27"/>
  <c r="H2" i="27"/>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H83" i="27"/>
  <c r="H84" i="27"/>
  <c r="H85" i="27"/>
  <c r="H86" i="27"/>
  <c r="H87" i="27"/>
  <c r="H88" i="27"/>
  <c r="H89" i="27"/>
  <c r="H90" i="27"/>
  <c r="H91" i="27"/>
  <c r="H92" i="27"/>
  <c r="H93" i="27"/>
  <c r="H94" i="27"/>
  <c r="H95" i="27"/>
  <c r="H96" i="27"/>
  <c r="H97" i="27"/>
  <c r="H98" i="27"/>
  <c r="H99" i="27"/>
  <c r="H100" i="27"/>
  <c r="H101" i="27"/>
  <c r="H102" i="27"/>
  <c r="H103" i="27"/>
  <c r="H104" i="27"/>
  <c r="H105" i="27"/>
  <c r="H106" i="27"/>
  <c r="H107" i="27"/>
  <c r="H108" i="27"/>
  <c r="H109" i="27"/>
  <c r="H110" i="27"/>
  <c r="H111" i="27"/>
  <c r="H112" i="27"/>
  <c r="H113" i="27"/>
  <c r="H114" i="27"/>
  <c r="H115" i="27"/>
  <c r="H116" i="27"/>
  <c r="H117" i="27"/>
  <c r="H118" i="27"/>
  <c r="H119" i="27"/>
  <c r="H120" i="27"/>
  <c r="H121" i="27"/>
  <c r="H122" i="27"/>
  <c r="H123" i="27"/>
  <c r="H124" i="27"/>
  <c r="H125" i="27"/>
  <c r="H126" i="27"/>
  <c r="H127" i="27"/>
  <c r="H128" i="27"/>
  <c r="H129" i="27"/>
  <c r="H130" i="27"/>
  <c r="H131" i="27"/>
  <c r="H132" i="27"/>
  <c r="H133" i="27"/>
  <c r="H134" i="27"/>
  <c r="H135" i="27"/>
  <c r="H136" i="27"/>
  <c r="H137" i="27"/>
  <c r="H139" i="27"/>
  <c r="H140" i="27"/>
  <c r="H142" i="27"/>
  <c r="H143" i="27"/>
  <c r="H144" i="27"/>
  <c r="H145" i="27"/>
  <c r="H146" i="27"/>
  <c r="H147" i="27"/>
  <c r="H148" i="27"/>
  <c r="H149" i="27"/>
  <c r="H150" i="27"/>
  <c r="H151" i="27"/>
  <c r="H152" i="27"/>
  <c r="H153" i="27"/>
  <c r="H154" i="27"/>
  <c r="H155" i="27"/>
  <c r="H156" i="27"/>
  <c r="H157" i="27"/>
  <c r="H158" i="27"/>
  <c r="H159" i="27"/>
  <c r="H160" i="27"/>
  <c r="H161" i="27"/>
  <c r="H162" i="27"/>
  <c r="H163" i="27"/>
  <c r="H164" i="27"/>
  <c r="H165" i="27"/>
  <c r="H166" i="27"/>
  <c r="H167" i="27"/>
  <c r="H168" i="27"/>
  <c r="H169" i="27"/>
  <c r="H170" i="27"/>
  <c r="H171" i="27"/>
  <c r="H172" i="27"/>
  <c r="H173" i="27"/>
  <c r="H174" i="27"/>
  <c r="H175" i="27"/>
  <c r="H176" i="27"/>
  <c r="H177" i="27"/>
  <c r="H178" i="27"/>
  <c r="H179" i="27"/>
  <c r="H180" i="27"/>
  <c r="H181" i="27"/>
  <c r="H182" i="27"/>
  <c r="H183" i="27"/>
  <c r="H184" i="27"/>
  <c r="H185" i="27"/>
  <c r="H186" i="27"/>
  <c r="H187" i="27"/>
  <c r="H188" i="27"/>
  <c r="H189" i="27"/>
  <c r="H190" i="27"/>
  <c r="H191" i="27"/>
  <c r="H192" i="27"/>
  <c r="H193" i="27"/>
  <c r="H194" i="27"/>
  <c r="H195" i="27"/>
  <c r="H196" i="27"/>
  <c r="H197" i="27"/>
  <c r="H198" i="27"/>
  <c r="H199" i="27"/>
  <c r="H200" i="27"/>
  <c r="H201" i="27"/>
  <c r="H202" i="27"/>
  <c r="H203" i="27"/>
  <c r="H204" i="27"/>
  <c r="H205" i="27"/>
  <c r="H206" i="27"/>
  <c r="H207" i="27"/>
  <c r="H208" i="27"/>
  <c r="H209" i="27"/>
  <c r="H210" i="27"/>
  <c r="H211" i="27"/>
  <c r="H212" i="27"/>
  <c r="H213" i="27"/>
  <c r="H214" i="27"/>
  <c r="H215" i="27"/>
  <c r="H216" i="27"/>
  <c r="H217" i="27"/>
  <c r="H218" i="27"/>
  <c r="H219" i="27"/>
  <c r="H220" i="27"/>
  <c r="H221" i="27"/>
  <c r="H222" i="27"/>
  <c r="H223" i="27"/>
  <c r="H224" i="27"/>
  <c r="H225" i="27"/>
  <c r="H226" i="27"/>
  <c r="H227" i="27"/>
  <c r="H228" i="27"/>
  <c r="H229" i="27"/>
  <c r="Q3" i="27"/>
  <c r="Q4" i="27"/>
  <c r="Q5" i="27"/>
  <c r="Q6" i="27"/>
  <c r="Q7" i="27"/>
  <c r="Q8" i="27"/>
  <c r="Q9" i="27"/>
  <c r="Q10" i="27"/>
  <c r="Q11" i="27"/>
  <c r="Q12" i="27"/>
  <c r="Q13" i="27"/>
  <c r="Q14" i="27"/>
  <c r="Q15" i="27"/>
  <c r="Q16" i="27"/>
  <c r="Q17" i="27"/>
  <c r="Q18" i="27"/>
  <c r="Q19" i="27"/>
  <c r="Q20" i="27"/>
  <c r="Q21" i="27"/>
  <c r="Q22" i="27"/>
  <c r="Q23" i="27"/>
  <c r="Q24" i="27"/>
  <c r="Q25" i="27"/>
  <c r="Q26" i="27"/>
  <c r="Q27" i="27"/>
  <c r="Q28" i="27"/>
  <c r="Q29" i="27"/>
  <c r="Q31" i="27"/>
  <c r="Q32" i="27"/>
  <c r="Q33" i="27"/>
  <c r="Q34" i="27"/>
  <c r="Q35" i="27"/>
  <c r="Q36" i="27"/>
  <c r="Q37" i="27"/>
  <c r="Q38" i="27"/>
  <c r="Q39" i="27"/>
  <c r="Q40" i="27"/>
  <c r="Q41" i="27"/>
  <c r="Q42" i="27"/>
  <c r="Q43" i="27"/>
  <c r="Q44" i="27"/>
  <c r="Q45" i="27"/>
  <c r="Q46" i="27"/>
  <c r="Q47" i="27"/>
  <c r="Q48" i="27"/>
  <c r="Q49" i="27"/>
  <c r="Q50" i="27"/>
  <c r="Q51" i="27"/>
  <c r="Q52" i="27"/>
  <c r="Q53" i="27"/>
  <c r="Q54" i="27"/>
  <c r="Q55" i="27"/>
  <c r="Q56" i="27"/>
  <c r="Q57" i="27"/>
  <c r="Q58" i="27"/>
  <c r="Q59" i="27"/>
  <c r="Q60" i="27"/>
  <c r="Q61" i="27"/>
  <c r="Q62" i="27"/>
  <c r="Q63" i="27"/>
  <c r="Q64" i="27"/>
  <c r="Q65" i="27"/>
  <c r="Q66" i="27"/>
  <c r="Q67" i="27"/>
  <c r="Q68" i="27"/>
  <c r="Q69" i="27"/>
  <c r="Q70" i="27"/>
  <c r="Q71" i="27"/>
  <c r="Q72" i="27"/>
  <c r="Q73" i="27"/>
  <c r="Q74" i="27"/>
  <c r="Q75" i="27"/>
  <c r="Q76" i="27"/>
  <c r="Q77" i="27"/>
  <c r="Q78" i="27"/>
  <c r="Q79" i="27"/>
  <c r="Q80" i="27"/>
  <c r="Q81" i="27"/>
  <c r="Q82" i="27"/>
  <c r="Q83" i="27"/>
  <c r="Q84" i="27"/>
  <c r="Q85" i="27"/>
  <c r="Q86" i="27"/>
  <c r="Q87" i="27"/>
  <c r="Q88" i="27"/>
  <c r="Q89" i="27"/>
  <c r="Q90" i="27"/>
  <c r="Q91" i="27"/>
  <c r="Q92" i="27"/>
  <c r="Q93" i="27"/>
  <c r="Q94" i="27"/>
  <c r="Q95" i="27"/>
  <c r="Q96" i="27"/>
  <c r="Q97" i="27"/>
  <c r="Q98" i="27"/>
  <c r="Q99" i="27"/>
  <c r="Q100" i="27"/>
  <c r="Q101" i="27"/>
  <c r="Q102" i="27"/>
  <c r="Q103" i="27"/>
  <c r="Q104" i="27"/>
  <c r="Q105" i="27"/>
  <c r="Q106" i="27"/>
  <c r="Q107" i="27"/>
  <c r="Q108" i="27"/>
  <c r="Q109" i="27"/>
  <c r="Q110" i="27"/>
  <c r="Q111" i="27"/>
  <c r="Q112" i="27"/>
  <c r="Q113" i="27"/>
  <c r="Q114" i="27"/>
  <c r="Q115" i="27"/>
  <c r="Q116" i="27"/>
  <c r="Q117" i="27"/>
  <c r="Q118" i="27"/>
  <c r="Q119" i="27"/>
  <c r="Q120" i="27"/>
  <c r="Q121" i="27"/>
  <c r="Q122" i="27"/>
  <c r="Q123" i="27"/>
  <c r="Q124" i="27"/>
  <c r="Q125" i="27"/>
  <c r="Q126" i="27"/>
  <c r="Q127" i="27"/>
  <c r="Q128" i="27"/>
  <c r="Q129" i="27"/>
  <c r="Q130" i="27"/>
  <c r="Q131" i="27"/>
  <c r="Q132" i="27"/>
  <c r="Q133" i="27"/>
  <c r="Q134" i="27"/>
  <c r="Q135" i="27"/>
  <c r="Q136" i="27"/>
  <c r="Q137" i="27"/>
  <c r="Q139" i="27"/>
  <c r="Q140" i="27"/>
  <c r="Q142" i="27"/>
  <c r="Q143" i="27"/>
  <c r="Q144" i="27"/>
  <c r="Q145" i="27"/>
  <c r="Q146" i="27"/>
  <c r="Q147" i="27"/>
  <c r="Q148" i="27"/>
  <c r="Q149" i="27"/>
  <c r="Q150" i="27"/>
  <c r="Q151" i="27"/>
  <c r="Q152" i="27"/>
  <c r="Q153" i="27"/>
  <c r="Q154" i="27"/>
  <c r="Q155" i="27"/>
  <c r="Q156" i="27"/>
  <c r="Q157" i="27"/>
  <c r="Q158" i="27"/>
  <c r="Q159" i="27"/>
  <c r="Q160" i="27"/>
  <c r="Q161" i="27"/>
  <c r="Q162" i="27"/>
  <c r="Q163" i="27"/>
  <c r="Q164" i="27"/>
  <c r="Q165" i="27"/>
  <c r="Q166" i="27"/>
  <c r="Q167" i="27"/>
  <c r="Q168" i="27"/>
  <c r="Q169" i="27"/>
  <c r="Q170" i="27"/>
  <c r="Q171" i="27"/>
  <c r="Q172" i="27"/>
  <c r="Q173" i="27"/>
  <c r="Q174" i="27"/>
  <c r="Q175" i="27"/>
  <c r="Q176" i="27"/>
  <c r="Q177" i="27"/>
  <c r="Q178" i="27"/>
  <c r="Q179" i="27"/>
  <c r="Q180" i="27"/>
  <c r="Q181" i="27"/>
  <c r="Q182" i="27"/>
  <c r="Q183" i="27"/>
  <c r="Q184" i="27"/>
  <c r="Q185" i="27"/>
  <c r="Q186" i="27"/>
  <c r="Q187" i="27"/>
  <c r="Q188" i="27"/>
  <c r="Q189" i="27"/>
  <c r="Q190" i="27"/>
  <c r="Q191" i="27"/>
  <c r="Q192" i="27"/>
  <c r="Q193" i="27"/>
  <c r="Q194" i="27"/>
  <c r="Q195" i="27"/>
  <c r="Q196" i="27"/>
  <c r="Q197" i="27"/>
  <c r="Q198" i="27"/>
  <c r="Q199" i="27"/>
  <c r="Q200" i="27"/>
  <c r="Q201" i="27"/>
  <c r="Q202" i="27"/>
  <c r="Q203" i="27"/>
  <c r="Q204" i="27"/>
  <c r="Q205" i="27"/>
  <c r="Q206" i="27"/>
  <c r="Q207" i="27"/>
  <c r="Q208" i="27"/>
  <c r="Q209" i="27"/>
  <c r="Q210" i="27"/>
  <c r="Q211" i="27"/>
  <c r="Q212" i="27"/>
  <c r="Q213" i="27"/>
  <c r="Q214" i="27"/>
  <c r="Q215" i="27"/>
  <c r="Q216" i="27"/>
  <c r="Q217" i="27"/>
  <c r="Q218" i="27"/>
  <c r="Q219" i="27"/>
  <c r="Q220" i="27"/>
  <c r="Q221" i="27"/>
  <c r="Q222" i="27"/>
  <c r="Q223" i="27"/>
  <c r="Q224" i="27"/>
  <c r="Q225" i="27"/>
  <c r="Q226" i="27"/>
  <c r="Q227" i="27"/>
  <c r="Q228" i="27"/>
  <c r="Q229" i="27"/>
  <c r="S2" i="27"/>
  <c r="R2" i="27"/>
  <c r="M2" i="27"/>
  <c r="M3" i="27"/>
  <c r="M4" i="27"/>
  <c r="M5" i="27"/>
  <c r="M6" i="27"/>
  <c r="M7" i="27"/>
  <c r="M8" i="27"/>
  <c r="M9" i="27"/>
  <c r="M10" i="27"/>
  <c r="M11" i="27"/>
  <c r="M12" i="27"/>
  <c r="M13" i="27"/>
  <c r="M14" i="27"/>
  <c r="M15" i="27"/>
  <c r="M16" i="27"/>
  <c r="M17" i="27"/>
  <c r="M18" i="27"/>
  <c r="M19" i="27"/>
  <c r="M20" i="27"/>
  <c r="M21" i="27"/>
  <c r="M22" i="27"/>
  <c r="M23" i="27"/>
  <c r="M24" i="27"/>
  <c r="M25" i="27"/>
  <c r="M26" i="27"/>
  <c r="M27" i="27"/>
  <c r="M28" i="27"/>
  <c r="M29" i="27"/>
  <c r="M31" i="27"/>
  <c r="M32" i="27"/>
  <c r="M33" i="27"/>
  <c r="M34" i="27"/>
  <c r="M35" i="27"/>
  <c r="M36" i="27"/>
  <c r="M37" i="27"/>
  <c r="M38" i="27"/>
  <c r="M39" i="27"/>
  <c r="M40" i="27"/>
  <c r="M41" i="27"/>
  <c r="M42" i="27"/>
  <c r="M43" i="27"/>
  <c r="M44" i="27"/>
  <c r="M45" i="27"/>
  <c r="M46" i="27"/>
  <c r="M47" i="27"/>
  <c r="M48" i="27"/>
  <c r="M49" i="27"/>
  <c r="M50" i="27"/>
  <c r="M51" i="27"/>
  <c r="M52" i="27"/>
  <c r="M53" i="27"/>
  <c r="M54" i="27"/>
  <c r="M55" i="27"/>
  <c r="M56" i="27"/>
  <c r="M57" i="27"/>
  <c r="M58" i="27"/>
  <c r="M59" i="27"/>
  <c r="M60" i="27"/>
  <c r="M61" i="27"/>
  <c r="M62" i="27"/>
  <c r="M63" i="27"/>
  <c r="M64" i="27"/>
  <c r="M65" i="27"/>
  <c r="M66" i="27"/>
  <c r="M67" i="27"/>
  <c r="M68" i="27"/>
  <c r="M69" i="27"/>
  <c r="M70" i="27"/>
  <c r="M71" i="27"/>
  <c r="M72" i="27"/>
  <c r="M73" i="27"/>
  <c r="M74" i="27"/>
  <c r="M75" i="27"/>
  <c r="M76" i="27"/>
  <c r="M77" i="27"/>
  <c r="M78" i="27"/>
  <c r="M79" i="27"/>
  <c r="M80" i="27"/>
  <c r="M81" i="27"/>
  <c r="M82" i="27"/>
  <c r="M83" i="27"/>
  <c r="M84" i="27"/>
  <c r="M85" i="27"/>
  <c r="M86" i="27"/>
  <c r="M87" i="27"/>
  <c r="M88" i="27"/>
  <c r="M89" i="27"/>
  <c r="M90" i="27"/>
  <c r="M91" i="27"/>
  <c r="M92" i="27"/>
  <c r="M93" i="27"/>
  <c r="M94" i="27"/>
  <c r="M95" i="27"/>
  <c r="M96" i="27"/>
  <c r="M97" i="27"/>
  <c r="M98" i="27"/>
  <c r="M99" i="27"/>
  <c r="M100" i="27"/>
  <c r="M101" i="27"/>
  <c r="M102" i="27"/>
  <c r="M103" i="27"/>
  <c r="M104" i="27"/>
  <c r="M105" i="27"/>
  <c r="M106" i="27"/>
  <c r="M107" i="27"/>
  <c r="M108" i="27"/>
  <c r="M109" i="27"/>
  <c r="M110" i="27"/>
  <c r="M111" i="27"/>
  <c r="M112" i="27"/>
  <c r="M113" i="27"/>
  <c r="M114" i="27"/>
  <c r="M115" i="27"/>
  <c r="M116" i="27"/>
  <c r="M117" i="27"/>
  <c r="M118" i="27"/>
  <c r="M119" i="27"/>
  <c r="M120" i="27"/>
  <c r="M121" i="27"/>
  <c r="M122" i="27"/>
  <c r="M123" i="27"/>
  <c r="M124" i="27"/>
  <c r="M125" i="27"/>
  <c r="M126" i="27"/>
  <c r="M127" i="27"/>
  <c r="M128" i="27"/>
  <c r="M129" i="27"/>
  <c r="M130" i="27"/>
  <c r="M131" i="27"/>
  <c r="M132" i="27"/>
  <c r="M133" i="27"/>
  <c r="M134" i="27"/>
  <c r="M135" i="27"/>
  <c r="M136" i="27"/>
  <c r="M137" i="27"/>
  <c r="M139" i="27"/>
  <c r="M140" i="27"/>
  <c r="M142" i="27"/>
  <c r="M143" i="27"/>
  <c r="M144" i="27"/>
  <c r="M145" i="27"/>
  <c r="M146" i="27"/>
  <c r="M147" i="27"/>
  <c r="M148" i="27"/>
  <c r="M149" i="27"/>
  <c r="M150" i="27"/>
  <c r="M151" i="27"/>
  <c r="M152" i="27"/>
  <c r="M153" i="27"/>
  <c r="M154" i="27"/>
  <c r="M155" i="27"/>
  <c r="M156" i="27"/>
  <c r="M157" i="27"/>
  <c r="M158" i="27"/>
  <c r="M159" i="27"/>
  <c r="M160" i="27"/>
  <c r="M161" i="27"/>
  <c r="M162" i="27"/>
  <c r="M163" i="27"/>
  <c r="M164" i="27"/>
  <c r="M165" i="27"/>
  <c r="M166" i="27"/>
  <c r="M167" i="27"/>
  <c r="M168" i="27"/>
  <c r="M169" i="27"/>
  <c r="M170" i="27"/>
  <c r="M171" i="27"/>
  <c r="M172" i="27"/>
  <c r="M173" i="27"/>
  <c r="M174" i="27"/>
  <c r="M175" i="27"/>
  <c r="M176" i="27"/>
  <c r="M177" i="27"/>
  <c r="M178" i="27"/>
  <c r="M179" i="27"/>
  <c r="M180" i="27"/>
  <c r="M181" i="27"/>
  <c r="M182" i="27"/>
  <c r="M183" i="27"/>
  <c r="M184" i="27"/>
  <c r="M185" i="27"/>
  <c r="M186" i="27"/>
  <c r="M187" i="27"/>
  <c r="M188" i="27"/>
  <c r="M189" i="27"/>
  <c r="M190" i="27"/>
  <c r="M191" i="27"/>
  <c r="M192" i="27"/>
  <c r="M193" i="27"/>
  <c r="M194" i="27"/>
  <c r="M195" i="27"/>
  <c r="M196" i="27"/>
  <c r="M197" i="27"/>
  <c r="M198" i="27"/>
  <c r="M199" i="27"/>
  <c r="M200" i="27"/>
  <c r="M201" i="27"/>
  <c r="M202" i="27"/>
  <c r="M203" i="27"/>
  <c r="M204" i="27"/>
  <c r="M205" i="27"/>
  <c r="M206" i="27"/>
  <c r="M207" i="27"/>
  <c r="M208" i="27"/>
  <c r="M209" i="27"/>
  <c r="M210" i="27"/>
  <c r="M211" i="27"/>
  <c r="M212" i="27"/>
  <c r="M213" i="27"/>
  <c r="M214" i="27"/>
  <c r="M215" i="27"/>
  <c r="M216" i="27"/>
  <c r="M217" i="27"/>
  <c r="M218" i="27"/>
  <c r="M219" i="27"/>
  <c r="M220" i="27"/>
  <c r="M221" i="27"/>
  <c r="M222" i="27"/>
  <c r="M223" i="27"/>
  <c r="M224" i="27"/>
  <c r="M225" i="27"/>
  <c r="M226" i="27"/>
  <c r="M227" i="27"/>
  <c r="M228" i="27"/>
  <c r="M229" i="27"/>
  <c r="N2" i="27"/>
  <c r="N3" i="27"/>
  <c r="N4" i="27"/>
  <c r="N5" i="27"/>
  <c r="N6" i="27"/>
  <c r="N7" i="27"/>
  <c r="N8" i="27"/>
  <c r="N9" i="27"/>
  <c r="N10" i="27"/>
  <c r="N11" i="27"/>
  <c r="N12" i="27"/>
  <c r="N13" i="27"/>
  <c r="N14" i="27"/>
  <c r="N15" i="27"/>
  <c r="N16" i="27"/>
  <c r="N17" i="27"/>
  <c r="N18" i="27"/>
  <c r="N19" i="27"/>
  <c r="N20" i="27"/>
  <c r="N21" i="27"/>
  <c r="N22" i="27"/>
  <c r="N23" i="27"/>
  <c r="N24" i="27"/>
  <c r="N25" i="27"/>
  <c r="N26" i="27"/>
  <c r="N27" i="27"/>
  <c r="N28" i="27"/>
  <c r="N29" i="27"/>
  <c r="N31" i="27"/>
  <c r="N32" i="27"/>
  <c r="N33" i="27"/>
  <c r="N34" i="27"/>
  <c r="N35" i="27"/>
  <c r="N36" i="27"/>
  <c r="N37" i="27"/>
  <c r="N38" i="27"/>
  <c r="N39" i="27"/>
  <c r="N40" i="27"/>
  <c r="N41" i="27"/>
  <c r="N42" i="27"/>
  <c r="N43" i="27"/>
  <c r="N44" i="27"/>
  <c r="N45" i="27"/>
  <c r="N46" i="27"/>
  <c r="N47" i="27"/>
  <c r="N48" i="27"/>
  <c r="N49" i="27"/>
  <c r="N50" i="27"/>
  <c r="N51" i="27"/>
  <c r="N5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92" i="27"/>
  <c r="N93" i="27"/>
  <c r="N94" i="27"/>
  <c r="N95" i="27"/>
  <c r="N96" i="27"/>
  <c r="N97" i="27"/>
  <c r="N98" i="27"/>
  <c r="N99" i="27"/>
  <c r="N100" i="27"/>
  <c r="N101" i="27"/>
  <c r="N102" i="27"/>
  <c r="N103" i="27"/>
  <c r="N104" i="27"/>
  <c r="N105" i="27"/>
  <c r="N106" i="27"/>
  <c r="N107" i="27"/>
  <c r="N108" i="27"/>
  <c r="N109" i="27"/>
  <c r="N110" i="27"/>
  <c r="N111" i="27"/>
  <c r="N112" i="27"/>
  <c r="N113" i="27"/>
  <c r="N114" i="27"/>
  <c r="N115" i="27"/>
  <c r="N116" i="27"/>
  <c r="N117" i="27"/>
  <c r="N118" i="27"/>
  <c r="N119" i="27"/>
  <c r="N120" i="27"/>
  <c r="N121" i="27"/>
  <c r="N122" i="27"/>
  <c r="N123" i="27"/>
  <c r="N124" i="27"/>
  <c r="N125" i="27"/>
  <c r="N126" i="27"/>
  <c r="N127" i="27"/>
  <c r="N128" i="27"/>
  <c r="N129" i="27"/>
  <c r="N130" i="27"/>
  <c r="N131" i="27"/>
  <c r="N132" i="27"/>
  <c r="N133" i="27"/>
  <c r="N134" i="27"/>
  <c r="N135" i="27"/>
  <c r="N136" i="27"/>
  <c r="N137" i="27"/>
  <c r="N139" i="27"/>
  <c r="N140" i="27"/>
  <c r="N142" i="27"/>
  <c r="N143" i="27"/>
  <c r="N144" i="27"/>
  <c r="N145" i="27"/>
  <c r="N146" i="27"/>
  <c r="N147" i="27"/>
  <c r="N148" i="27"/>
  <c r="N149" i="27"/>
  <c r="N150" i="27"/>
  <c r="N151" i="27"/>
  <c r="N152" i="27"/>
  <c r="N153" i="27"/>
  <c r="N154" i="27"/>
  <c r="N155" i="27"/>
  <c r="N156" i="27"/>
  <c r="N157" i="27"/>
  <c r="N158" i="27"/>
  <c r="N159" i="27"/>
  <c r="N160" i="27"/>
  <c r="N161" i="27"/>
  <c r="N162" i="27"/>
  <c r="N163" i="27"/>
  <c r="N164" i="27"/>
  <c r="N165" i="27"/>
  <c r="N166" i="27"/>
  <c r="N167" i="27"/>
  <c r="N168" i="27"/>
  <c r="N169" i="27"/>
  <c r="N170" i="27"/>
  <c r="N171" i="27"/>
  <c r="N172" i="27"/>
  <c r="N173" i="27"/>
  <c r="N174" i="27"/>
  <c r="N175" i="27"/>
  <c r="N176" i="27"/>
  <c r="N177" i="27"/>
  <c r="N178" i="27"/>
  <c r="N179" i="27"/>
  <c r="N180" i="27"/>
  <c r="N181" i="27"/>
  <c r="N182" i="27"/>
  <c r="N183" i="27"/>
  <c r="N184" i="27"/>
  <c r="N185" i="27"/>
  <c r="N186" i="27"/>
  <c r="N187" i="27"/>
  <c r="N188" i="27"/>
  <c r="N189" i="27"/>
  <c r="N190" i="27"/>
  <c r="N191" i="27"/>
  <c r="N192" i="27"/>
  <c r="N193" i="27"/>
  <c r="N194" i="27"/>
  <c r="N195" i="27"/>
  <c r="N196" i="27"/>
  <c r="N197" i="27"/>
  <c r="N198" i="27"/>
  <c r="N199" i="27"/>
  <c r="N200" i="27"/>
  <c r="N201" i="27"/>
  <c r="N202" i="27"/>
  <c r="N203" i="27"/>
  <c r="N204" i="27"/>
  <c r="N205" i="27"/>
  <c r="N206" i="27"/>
  <c r="N207" i="27"/>
  <c r="N208" i="27"/>
  <c r="N209" i="27"/>
  <c r="N210" i="27"/>
  <c r="N211" i="27"/>
  <c r="N212" i="27"/>
  <c r="N213" i="27"/>
  <c r="N214" i="27"/>
  <c r="N215" i="27"/>
  <c r="N216" i="27"/>
  <c r="N217" i="27"/>
  <c r="N218" i="27"/>
  <c r="N219" i="27"/>
  <c r="N220" i="27"/>
  <c r="N221" i="27"/>
  <c r="N222" i="27"/>
  <c r="N223" i="27"/>
  <c r="N224" i="27"/>
  <c r="N225" i="27"/>
  <c r="N226" i="27"/>
  <c r="N227" i="27"/>
  <c r="N228" i="27"/>
  <c r="N229" i="27"/>
  <c r="O2" i="27"/>
  <c r="O3" i="27"/>
  <c r="O4" i="27"/>
  <c r="O5" i="27"/>
  <c r="O6" i="27"/>
  <c r="O7" i="27"/>
  <c r="O8" i="27"/>
  <c r="O9" i="27"/>
  <c r="O10" i="27"/>
  <c r="O11" i="27"/>
  <c r="O12" i="27"/>
  <c r="O13" i="27"/>
  <c r="O14" i="27"/>
  <c r="O15" i="27"/>
  <c r="O16" i="27"/>
  <c r="O17" i="27"/>
  <c r="O18" i="27"/>
  <c r="O19" i="27"/>
  <c r="O20" i="27"/>
  <c r="O21" i="27"/>
  <c r="O22" i="27"/>
  <c r="O23" i="27"/>
  <c r="O24" i="27"/>
  <c r="O25" i="27"/>
  <c r="O26" i="27"/>
  <c r="O27" i="27"/>
  <c r="O28" i="27"/>
  <c r="O29" i="27"/>
  <c r="O31" i="27"/>
  <c r="O32" i="27"/>
  <c r="O33" i="27"/>
  <c r="O34" i="27"/>
  <c r="O35" i="27"/>
  <c r="O36" i="27"/>
  <c r="O37" i="27"/>
  <c r="O38" i="27"/>
  <c r="O39" i="27"/>
  <c r="O40" i="27"/>
  <c r="O41" i="27"/>
  <c r="O42" i="27"/>
  <c r="O43" i="27"/>
  <c r="O44" i="27"/>
  <c r="O45" i="27"/>
  <c r="O46" i="27"/>
  <c r="O47" i="27"/>
  <c r="O48" i="27"/>
  <c r="O49" i="27"/>
  <c r="O50" i="27"/>
  <c r="O51" i="27"/>
  <c r="O52" i="27"/>
  <c r="O53" i="27"/>
  <c r="O54" i="27"/>
  <c r="O55" i="27"/>
  <c r="O56" i="27"/>
  <c r="O57" i="27"/>
  <c r="O58" i="27"/>
  <c r="O59" i="27"/>
  <c r="O60" i="27"/>
  <c r="O61" i="27"/>
  <c r="O62" i="27"/>
  <c r="O63" i="27"/>
  <c r="O64" i="27"/>
  <c r="O65" i="27"/>
  <c r="O66" i="27"/>
  <c r="O67" i="27"/>
  <c r="O68" i="27"/>
  <c r="O69" i="27"/>
  <c r="O70" i="27"/>
  <c r="O71" i="27"/>
  <c r="O72" i="27"/>
  <c r="O73" i="27"/>
  <c r="O74" i="27"/>
  <c r="O75" i="27"/>
  <c r="O76" i="27"/>
  <c r="O77" i="27"/>
  <c r="O78" i="27"/>
  <c r="O79" i="27"/>
  <c r="O80" i="27"/>
  <c r="O81" i="27"/>
  <c r="O82" i="27"/>
  <c r="O83" i="27"/>
  <c r="O84" i="27"/>
  <c r="O85" i="27"/>
  <c r="O86" i="27"/>
  <c r="O87" i="27"/>
  <c r="O88" i="27"/>
  <c r="O89" i="27"/>
  <c r="O90" i="27"/>
  <c r="O91" i="27"/>
  <c r="O92" i="27"/>
  <c r="O93" i="27"/>
  <c r="O94" i="27"/>
  <c r="O95" i="27"/>
  <c r="O96" i="27"/>
  <c r="O97" i="27"/>
  <c r="O98" i="27"/>
  <c r="O99" i="27"/>
  <c r="O100" i="27"/>
  <c r="O101" i="27"/>
  <c r="O102" i="27"/>
  <c r="O103" i="27"/>
  <c r="O104" i="27"/>
  <c r="O105" i="27"/>
  <c r="O106" i="27"/>
  <c r="O107" i="27"/>
  <c r="O108" i="27"/>
  <c r="O109" i="27"/>
  <c r="O110" i="27"/>
  <c r="O111" i="27"/>
  <c r="O112" i="27"/>
  <c r="O113" i="27"/>
  <c r="O114" i="27"/>
  <c r="O115" i="27"/>
  <c r="O116" i="27"/>
  <c r="O117" i="27"/>
  <c r="O118" i="27"/>
  <c r="O119" i="27"/>
  <c r="O120" i="27"/>
  <c r="O121" i="27"/>
  <c r="O122" i="27"/>
  <c r="O123" i="27"/>
  <c r="O124" i="27"/>
  <c r="O125" i="27"/>
  <c r="O126" i="27"/>
  <c r="O127" i="27"/>
  <c r="O128" i="27"/>
  <c r="O129" i="27"/>
  <c r="O130" i="27"/>
  <c r="O131" i="27"/>
  <c r="O132" i="27"/>
  <c r="O133" i="27"/>
  <c r="O134" i="27"/>
  <c r="O135" i="27"/>
  <c r="O136" i="27"/>
  <c r="O137" i="27"/>
  <c r="O139" i="27"/>
  <c r="O140" i="27"/>
  <c r="O142" i="27"/>
  <c r="O143" i="27"/>
  <c r="O144" i="27"/>
  <c r="O145" i="27"/>
  <c r="O146" i="27"/>
  <c r="O147" i="27"/>
  <c r="O148" i="27"/>
  <c r="O149" i="27"/>
  <c r="O150" i="27"/>
  <c r="O151" i="27"/>
  <c r="O152" i="27"/>
  <c r="O153" i="27"/>
  <c r="O154" i="27"/>
  <c r="O155" i="27"/>
  <c r="O156" i="27"/>
  <c r="O157" i="27"/>
  <c r="O158" i="27"/>
  <c r="O159" i="27"/>
  <c r="O160" i="27"/>
  <c r="O161" i="27"/>
  <c r="O162" i="27"/>
  <c r="O163" i="27"/>
  <c r="O164" i="27"/>
  <c r="O165" i="27"/>
  <c r="O166" i="27"/>
  <c r="O167" i="27"/>
  <c r="O168" i="27"/>
  <c r="O169" i="27"/>
  <c r="O170" i="27"/>
  <c r="O171" i="27"/>
  <c r="O172" i="27"/>
  <c r="O173" i="27"/>
  <c r="O174" i="27"/>
  <c r="O175" i="27"/>
  <c r="O176" i="27"/>
  <c r="O177" i="27"/>
  <c r="O178" i="27"/>
  <c r="O179" i="27"/>
  <c r="O180" i="27"/>
  <c r="O181" i="27"/>
  <c r="O182" i="27"/>
  <c r="O183" i="27"/>
  <c r="O184" i="27"/>
  <c r="O185" i="27"/>
  <c r="O186" i="27"/>
  <c r="O187" i="27"/>
  <c r="O188" i="27"/>
  <c r="O189" i="27"/>
  <c r="O190" i="27"/>
  <c r="O191" i="27"/>
  <c r="O192" i="27"/>
  <c r="O193" i="27"/>
  <c r="O194" i="27"/>
  <c r="O195" i="27"/>
  <c r="O196" i="27"/>
  <c r="O197" i="27"/>
  <c r="O198" i="27"/>
  <c r="O199" i="27"/>
  <c r="O200" i="27"/>
  <c r="O201" i="27"/>
  <c r="O202" i="27"/>
  <c r="O203" i="27"/>
  <c r="O204" i="27"/>
  <c r="O205" i="27"/>
  <c r="O206" i="27"/>
  <c r="O207" i="27"/>
  <c r="O208" i="27"/>
  <c r="O209" i="27"/>
  <c r="O210" i="27"/>
  <c r="O211" i="27"/>
  <c r="O212" i="27"/>
  <c r="O213" i="27"/>
  <c r="O214" i="27"/>
  <c r="O215" i="27"/>
  <c r="O216" i="27"/>
  <c r="O217" i="27"/>
  <c r="O218" i="27"/>
  <c r="O219" i="27"/>
  <c r="O220" i="27"/>
  <c r="O221" i="27"/>
  <c r="O222" i="27"/>
  <c r="O223" i="27"/>
  <c r="O224" i="27"/>
  <c r="O225" i="27"/>
  <c r="O226" i="27"/>
  <c r="O227" i="27"/>
  <c r="O228" i="27"/>
  <c r="O229" i="27"/>
  <c r="P2" i="27"/>
  <c r="P3" i="27"/>
  <c r="P4" i="27"/>
  <c r="P5" i="27"/>
  <c r="P6" i="27"/>
  <c r="P7" i="27"/>
  <c r="P8" i="27"/>
  <c r="P9" i="27"/>
  <c r="P10" i="27"/>
  <c r="P11" i="27"/>
  <c r="P12" i="27"/>
  <c r="P13" i="27"/>
  <c r="P14" i="27"/>
  <c r="P15" i="27"/>
  <c r="P16" i="27"/>
  <c r="P17" i="27"/>
  <c r="P18" i="27"/>
  <c r="P19" i="27"/>
  <c r="P20" i="27"/>
  <c r="P21" i="27"/>
  <c r="P22" i="27"/>
  <c r="P23" i="27"/>
  <c r="P24" i="27"/>
  <c r="P25" i="27"/>
  <c r="P26" i="27"/>
  <c r="P27" i="27"/>
  <c r="P28" i="27"/>
  <c r="P29" i="27"/>
  <c r="P31" i="27"/>
  <c r="P32" i="27"/>
  <c r="P33" i="27"/>
  <c r="P34" i="27"/>
  <c r="P35" i="27"/>
  <c r="P36" i="27"/>
  <c r="P37" i="27"/>
  <c r="P38" i="27"/>
  <c r="P39" i="27"/>
  <c r="P40" i="27"/>
  <c r="P41" i="27"/>
  <c r="P42" i="27"/>
  <c r="P43" i="27"/>
  <c r="P44" i="27"/>
  <c r="P45" i="27"/>
  <c r="P46" i="27"/>
  <c r="P47" i="27"/>
  <c r="P48" i="27"/>
  <c r="P49" i="27"/>
  <c r="P50" i="27"/>
  <c r="P51" i="27"/>
  <c r="P52" i="27"/>
  <c r="P53" i="27"/>
  <c r="P54" i="27"/>
  <c r="P55" i="27"/>
  <c r="P56" i="27"/>
  <c r="P57" i="27"/>
  <c r="P58" i="27"/>
  <c r="P59" i="27"/>
  <c r="P60" i="27"/>
  <c r="P61" i="27"/>
  <c r="P62" i="27"/>
  <c r="P63" i="27"/>
  <c r="P64" i="27"/>
  <c r="P65" i="27"/>
  <c r="P66" i="27"/>
  <c r="P67" i="27"/>
  <c r="P68" i="27"/>
  <c r="P69" i="27"/>
  <c r="P70" i="27"/>
  <c r="P71" i="27"/>
  <c r="P72" i="27"/>
  <c r="P73" i="27"/>
  <c r="P74" i="27"/>
  <c r="P75" i="27"/>
  <c r="P76" i="27"/>
  <c r="P77" i="27"/>
  <c r="P78" i="27"/>
  <c r="P79" i="27"/>
  <c r="P80" i="27"/>
  <c r="P81" i="27"/>
  <c r="P82" i="27"/>
  <c r="P83" i="27"/>
  <c r="P84" i="27"/>
  <c r="P85" i="27"/>
  <c r="P86" i="27"/>
  <c r="P87" i="27"/>
  <c r="P88" i="27"/>
  <c r="P89" i="27"/>
  <c r="P90" i="27"/>
  <c r="P91" i="27"/>
  <c r="P92" i="27"/>
  <c r="P93" i="27"/>
  <c r="P94" i="27"/>
  <c r="P95" i="27"/>
  <c r="P96" i="27"/>
  <c r="P97" i="27"/>
  <c r="P98" i="27"/>
  <c r="P99" i="27"/>
  <c r="P100" i="27"/>
  <c r="P101" i="27"/>
  <c r="P102" i="27"/>
  <c r="P103" i="27"/>
  <c r="P104" i="27"/>
  <c r="P105" i="27"/>
  <c r="P106" i="27"/>
  <c r="P107" i="27"/>
  <c r="P108" i="27"/>
  <c r="P109" i="27"/>
  <c r="P110" i="27"/>
  <c r="P111" i="27"/>
  <c r="P112" i="27"/>
  <c r="P113" i="27"/>
  <c r="P114" i="27"/>
  <c r="P115" i="27"/>
  <c r="P116" i="27"/>
  <c r="P117" i="27"/>
  <c r="P118" i="27"/>
  <c r="P119" i="27"/>
  <c r="P120" i="27"/>
  <c r="P121" i="27"/>
  <c r="P122" i="27"/>
  <c r="P123" i="27"/>
  <c r="P124" i="27"/>
  <c r="P125" i="27"/>
  <c r="P126" i="27"/>
  <c r="P127" i="27"/>
  <c r="P128" i="27"/>
  <c r="P129" i="27"/>
  <c r="P130" i="27"/>
  <c r="P131" i="27"/>
  <c r="P132" i="27"/>
  <c r="P133" i="27"/>
  <c r="P134" i="27"/>
  <c r="P135" i="27"/>
  <c r="P136" i="27"/>
  <c r="P137" i="27"/>
  <c r="P139" i="27"/>
  <c r="P140" i="27"/>
  <c r="P142" i="27"/>
  <c r="P143" i="27"/>
  <c r="P144" i="27"/>
  <c r="P145" i="27"/>
  <c r="P146" i="27"/>
  <c r="P147" i="27"/>
  <c r="P148" i="27"/>
  <c r="P149" i="27"/>
  <c r="P150" i="27"/>
  <c r="P151" i="27"/>
  <c r="P152" i="27"/>
  <c r="P153" i="27"/>
  <c r="P154" i="27"/>
  <c r="P155" i="27"/>
  <c r="P156" i="27"/>
  <c r="P157" i="27"/>
  <c r="P158" i="27"/>
  <c r="P159" i="27"/>
  <c r="P160" i="27"/>
  <c r="P161" i="27"/>
  <c r="P162" i="27"/>
  <c r="P163" i="27"/>
  <c r="P164" i="27"/>
  <c r="P165" i="27"/>
  <c r="P166" i="27"/>
  <c r="P167" i="27"/>
  <c r="P168" i="27"/>
  <c r="P169" i="27"/>
  <c r="P170" i="27"/>
  <c r="P171" i="27"/>
  <c r="P172" i="27"/>
  <c r="P173" i="27"/>
  <c r="P174" i="27"/>
  <c r="P175" i="27"/>
  <c r="P176" i="27"/>
  <c r="P177" i="27"/>
  <c r="P178" i="27"/>
  <c r="P179" i="27"/>
  <c r="P180" i="27"/>
  <c r="P181" i="27"/>
  <c r="P182" i="27"/>
  <c r="P183" i="27"/>
  <c r="P184" i="27"/>
  <c r="P185" i="27"/>
  <c r="P186" i="27"/>
  <c r="P187" i="27"/>
  <c r="P188" i="27"/>
  <c r="P189" i="27"/>
  <c r="P190" i="27"/>
  <c r="P191" i="27"/>
  <c r="P192" i="27"/>
  <c r="P193" i="27"/>
  <c r="P194" i="27"/>
  <c r="P195" i="27"/>
  <c r="P196" i="27"/>
  <c r="P197" i="27"/>
  <c r="P198" i="27"/>
  <c r="P199" i="27"/>
  <c r="P200" i="27"/>
  <c r="P201" i="27"/>
  <c r="P202" i="27"/>
  <c r="P203" i="27"/>
  <c r="P204" i="27"/>
  <c r="P205" i="27"/>
  <c r="P206" i="27"/>
  <c r="P207" i="27"/>
  <c r="P208" i="27"/>
  <c r="P209" i="27"/>
  <c r="P210" i="27"/>
  <c r="P211" i="27"/>
  <c r="P212" i="27"/>
  <c r="P213" i="27"/>
  <c r="P214" i="27"/>
  <c r="P215" i="27"/>
  <c r="P216" i="27"/>
  <c r="P217" i="27"/>
  <c r="P218" i="27"/>
  <c r="P219" i="27"/>
  <c r="P220" i="27"/>
  <c r="P221" i="27"/>
  <c r="P222" i="27"/>
  <c r="P223" i="27"/>
  <c r="P224" i="27"/>
  <c r="P225" i="27"/>
  <c r="P226" i="27"/>
  <c r="P227" i="27"/>
  <c r="P228" i="27"/>
  <c r="P229" i="27"/>
  <c r="L2" i="27"/>
  <c r="K2" i="27"/>
  <c r="J2" i="27"/>
  <c r="L3" i="27"/>
  <c r="L4" i="27"/>
  <c r="L5" i="27"/>
  <c r="L6" i="27"/>
  <c r="L7" i="27"/>
  <c r="L8" i="27"/>
  <c r="L9" i="27"/>
  <c r="L10" i="27"/>
  <c r="L11" i="27"/>
  <c r="L12" i="27"/>
  <c r="L13" i="27"/>
  <c r="L14" i="27"/>
  <c r="L15" i="27"/>
  <c r="L16" i="27"/>
  <c r="L17" i="27"/>
  <c r="L18" i="27"/>
  <c r="L19" i="27"/>
  <c r="L20" i="27"/>
  <c r="L21" i="27"/>
  <c r="L22" i="27"/>
  <c r="L23" i="27"/>
  <c r="L24" i="27"/>
  <c r="L25" i="27"/>
  <c r="L26" i="27"/>
  <c r="L27" i="27"/>
  <c r="L28" i="27"/>
  <c r="L29" i="27"/>
  <c r="L31" i="27"/>
  <c r="L32" i="27"/>
  <c r="L33" i="27"/>
  <c r="L34" i="27"/>
  <c r="L35" i="27"/>
  <c r="L36" i="27"/>
  <c r="L37" i="27"/>
  <c r="L38" i="27"/>
  <c r="L39" i="27"/>
  <c r="L40" i="27"/>
  <c r="L41" i="27"/>
  <c r="L42" i="27"/>
  <c r="L43" i="27"/>
  <c r="L44" i="27"/>
  <c r="L45" i="27"/>
  <c r="L46" i="27"/>
  <c r="L47" i="27"/>
  <c r="L48" i="27"/>
  <c r="L49" i="27"/>
  <c r="L50" i="27"/>
  <c r="L51" i="27"/>
  <c r="L52" i="27"/>
  <c r="L53" i="27"/>
  <c r="L54" i="27"/>
  <c r="L55" i="27"/>
  <c r="L56" i="27"/>
  <c r="L57" i="27"/>
  <c r="L58" i="27"/>
  <c r="L59" i="27"/>
  <c r="L60" i="27"/>
  <c r="L61" i="27"/>
  <c r="L62" i="27"/>
  <c r="L63" i="27"/>
  <c r="L64" i="27"/>
  <c r="L65" i="27"/>
  <c r="L66" i="27"/>
  <c r="L67" i="27"/>
  <c r="L68" i="27"/>
  <c r="L69" i="27"/>
  <c r="L70" i="27"/>
  <c r="L71" i="27"/>
  <c r="L72" i="27"/>
  <c r="L73" i="27"/>
  <c r="L74" i="27"/>
  <c r="L75" i="27"/>
  <c r="L76" i="27"/>
  <c r="L77" i="27"/>
  <c r="L78" i="27"/>
  <c r="L79" i="27"/>
  <c r="L80" i="27"/>
  <c r="L81" i="27"/>
  <c r="L82" i="27"/>
  <c r="L83" i="27"/>
  <c r="L84" i="27"/>
  <c r="L85" i="27"/>
  <c r="L86" i="27"/>
  <c r="L87" i="27"/>
  <c r="L88" i="27"/>
  <c r="L89" i="27"/>
  <c r="L90" i="27"/>
  <c r="L91" i="27"/>
  <c r="L92" i="27"/>
  <c r="L93" i="27"/>
  <c r="L94" i="27"/>
  <c r="L95" i="27"/>
  <c r="L96" i="27"/>
  <c r="L97" i="27"/>
  <c r="L98" i="27"/>
  <c r="L99" i="27"/>
  <c r="L100" i="27"/>
  <c r="L101" i="27"/>
  <c r="L102" i="27"/>
  <c r="L103" i="27"/>
  <c r="L104" i="27"/>
  <c r="L105" i="27"/>
  <c r="L106" i="27"/>
  <c r="L107" i="27"/>
  <c r="L108" i="27"/>
  <c r="L109" i="27"/>
  <c r="L110" i="27"/>
  <c r="L111" i="27"/>
  <c r="L112" i="27"/>
  <c r="L113" i="27"/>
  <c r="L114" i="27"/>
  <c r="L115" i="27"/>
  <c r="L116" i="27"/>
  <c r="L117" i="27"/>
  <c r="L118" i="27"/>
  <c r="L119" i="27"/>
  <c r="L120" i="27"/>
  <c r="L121" i="27"/>
  <c r="L122" i="27"/>
  <c r="L123" i="27"/>
  <c r="L124" i="27"/>
  <c r="L125" i="27"/>
  <c r="L126" i="27"/>
  <c r="L127" i="27"/>
  <c r="L128" i="27"/>
  <c r="L129" i="27"/>
  <c r="L130" i="27"/>
  <c r="L131" i="27"/>
  <c r="L132" i="27"/>
  <c r="L133" i="27"/>
  <c r="L134" i="27"/>
  <c r="L135" i="27"/>
  <c r="L136" i="27"/>
  <c r="L137" i="27"/>
  <c r="L139" i="27"/>
  <c r="L140" i="27"/>
  <c r="L142" i="27"/>
  <c r="L143" i="27"/>
  <c r="L144" i="27"/>
  <c r="L145" i="27"/>
  <c r="L146" i="27"/>
  <c r="L147" i="27"/>
  <c r="L148" i="27"/>
  <c r="L149" i="27"/>
  <c r="L150" i="27"/>
  <c r="L151" i="27"/>
  <c r="L152" i="27"/>
  <c r="L153" i="27"/>
  <c r="L154" i="27"/>
  <c r="L155" i="27"/>
  <c r="L156" i="27"/>
  <c r="L157" i="27"/>
  <c r="L158" i="27"/>
  <c r="L159" i="27"/>
  <c r="L160" i="27"/>
  <c r="L161" i="27"/>
  <c r="L162" i="27"/>
  <c r="L163" i="27"/>
  <c r="L164" i="27"/>
  <c r="L165" i="27"/>
  <c r="L166" i="27"/>
  <c r="L167" i="27"/>
  <c r="L168" i="27"/>
  <c r="L169" i="27"/>
  <c r="L170" i="27"/>
  <c r="L171" i="27"/>
  <c r="L172" i="27"/>
  <c r="L173" i="27"/>
  <c r="L174" i="27"/>
  <c r="L175" i="27"/>
  <c r="L176" i="27"/>
  <c r="L177" i="27"/>
  <c r="L178" i="27"/>
  <c r="L179" i="27"/>
  <c r="L180" i="27"/>
  <c r="L181" i="27"/>
  <c r="L182" i="27"/>
  <c r="L183" i="27"/>
  <c r="L184" i="27"/>
  <c r="L185" i="27"/>
  <c r="L186" i="27"/>
  <c r="L187" i="27"/>
  <c r="L188" i="27"/>
  <c r="L189" i="27"/>
  <c r="L190" i="27"/>
  <c r="L191" i="27"/>
  <c r="L192" i="27"/>
  <c r="L193" i="27"/>
  <c r="L194" i="27"/>
  <c r="L195" i="27"/>
  <c r="L196" i="27"/>
  <c r="L197" i="27"/>
  <c r="L198" i="27"/>
  <c r="L199" i="27"/>
  <c r="L200" i="27"/>
  <c r="L201" i="27"/>
  <c r="L202" i="27"/>
  <c r="L203" i="27"/>
  <c r="L204" i="27"/>
  <c r="L205" i="27"/>
  <c r="L206" i="27"/>
  <c r="L207" i="27"/>
  <c r="L208" i="27"/>
  <c r="L209" i="27"/>
  <c r="L210" i="27"/>
  <c r="L211" i="27"/>
  <c r="L212" i="27"/>
  <c r="L213" i="27"/>
  <c r="L214" i="27"/>
  <c r="L215" i="27"/>
  <c r="L216" i="27"/>
  <c r="L217" i="27"/>
  <c r="L218" i="27"/>
  <c r="L219" i="27"/>
  <c r="L220" i="27"/>
  <c r="L221" i="27"/>
  <c r="L222" i="27"/>
  <c r="L223" i="27"/>
  <c r="L224" i="27"/>
  <c r="L225" i="27"/>
  <c r="L226" i="27"/>
  <c r="L227" i="27"/>
  <c r="L228" i="27"/>
  <c r="L229" i="27"/>
  <c r="I2" i="27"/>
  <c r="Q2" i="27"/>
  <c r="T2" i="27"/>
  <c r="T5" i="30"/>
  <c r="T6" i="30"/>
  <c r="T7" i="30"/>
  <c r="T10" i="30"/>
  <c r="T12" i="30"/>
  <c r="T11" i="30"/>
  <c r="T13" i="30"/>
  <c r="T14" i="30"/>
  <c r="T2" i="30"/>
  <c r="T3" i="30"/>
  <c r="T23" i="30"/>
  <c r="T24" i="30"/>
  <c r="T25" i="30"/>
  <c r="T27" i="30"/>
  <c r="T26" i="30"/>
  <c r="T8" i="30"/>
  <c r="T9" i="30"/>
  <c r="T22" i="30"/>
  <c r="T18" i="30"/>
  <c r="T20" i="30"/>
  <c r="T16" i="30"/>
  <c r="T15" i="30"/>
  <c r="S5" i="30"/>
  <c r="S6" i="30"/>
  <c r="S7" i="30"/>
  <c r="S10" i="30"/>
  <c r="S12" i="30"/>
  <c r="S11" i="30"/>
  <c r="S13" i="30"/>
  <c r="S14" i="30"/>
  <c r="S2" i="30"/>
  <c r="S3" i="30"/>
  <c r="S23" i="30"/>
  <c r="S24" i="30"/>
  <c r="S25" i="30"/>
  <c r="S27" i="30"/>
  <c r="S26" i="30"/>
  <c r="S8" i="30"/>
  <c r="S9" i="30"/>
  <c r="S22" i="30"/>
  <c r="S18" i="30"/>
  <c r="S20" i="30"/>
  <c r="S16" i="30"/>
  <c r="S15" i="30"/>
  <c r="R5" i="30"/>
  <c r="R6" i="30"/>
  <c r="R7" i="30"/>
  <c r="R10" i="30"/>
  <c r="R12" i="30"/>
  <c r="R13" i="30"/>
  <c r="R14" i="30"/>
  <c r="R2" i="30"/>
  <c r="R3" i="30"/>
  <c r="R23" i="30"/>
  <c r="R24" i="30"/>
  <c r="R25" i="30"/>
  <c r="R27" i="30"/>
  <c r="R26" i="30"/>
  <c r="R8" i="30"/>
  <c r="R9" i="30"/>
  <c r="R22" i="30"/>
  <c r="R18" i="30"/>
  <c r="R20" i="30"/>
  <c r="R16" i="30"/>
  <c r="R15" i="30"/>
  <c r="Q5" i="30"/>
  <c r="Q6" i="30"/>
  <c r="Q7" i="30"/>
  <c r="Q10" i="30"/>
  <c r="Q12" i="30"/>
  <c r="Q11" i="30"/>
  <c r="Q13" i="30"/>
  <c r="Q14" i="30"/>
  <c r="Q2" i="30"/>
  <c r="Q3" i="30"/>
  <c r="Q23" i="30"/>
  <c r="Q24" i="30"/>
  <c r="Q25" i="30"/>
  <c r="Q27" i="30"/>
  <c r="Q26" i="30"/>
  <c r="Q8" i="30"/>
  <c r="Q9" i="30"/>
  <c r="Q22" i="30"/>
  <c r="Q18" i="30"/>
  <c r="Q20" i="30"/>
  <c r="Q16" i="30"/>
  <c r="Q15" i="30"/>
  <c r="P5" i="30"/>
  <c r="P6" i="30"/>
  <c r="P7" i="30"/>
  <c r="P10" i="30"/>
  <c r="P12" i="30"/>
  <c r="P13" i="30"/>
  <c r="P14" i="30"/>
  <c r="P2" i="30"/>
  <c r="P3" i="30"/>
  <c r="P23" i="30"/>
  <c r="P24" i="30"/>
  <c r="P25" i="30"/>
  <c r="P27" i="30"/>
  <c r="P26" i="30"/>
  <c r="P8" i="30"/>
  <c r="P9" i="30"/>
  <c r="P22" i="30"/>
  <c r="P18" i="30"/>
  <c r="P20" i="30"/>
  <c r="P16" i="30"/>
  <c r="P15" i="30"/>
  <c r="I5" i="30"/>
  <c r="I6" i="30"/>
  <c r="I7" i="30"/>
  <c r="I10" i="30"/>
  <c r="I12" i="30"/>
  <c r="I11" i="30"/>
  <c r="I13" i="30"/>
  <c r="I14" i="30"/>
  <c r="I2" i="30"/>
  <c r="I3" i="30"/>
  <c r="I23" i="30"/>
  <c r="I24" i="30"/>
  <c r="I25" i="30"/>
  <c r="I27" i="30"/>
  <c r="I26" i="30"/>
  <c r="I8" i="30"/>
  <c r="I9" i="30"/>
  <c r="I22" i="30"/>
  <c r="I18" i="30"/>
  <c r="I20" i="30"/>
  <c r="I16" i="30"/>
  <c r="I15" i="30"/>
  <c r="J5" i="30"/>
  <c r="J6" i="30"/>
  <c r="J7" i="30"/>
  <c r="J10" i="30"/>
  <c r="J12" i="30"/>
  <c r="J11" i="30"/>
  <c r="J13" i="30"/>
  <c r="J14" i="30"/>
  <c r="J2" i="30"/>
  <c r="J3" i="30"/>
  <c r="J23" i="30"/>
  <c r="J24" i="30"/>
  <c r="J25" i="30"/>
  <c r="J27" i="30"/>
  <c r="J26" i="30"/>
  <c r="J8" i="30"/>
  <c r="J9" i="30"/>
  <c r="J22" i="30"/>
  <c r="J18" i="30"/>
  <c r="J20" i="30"/>
  <c r="J16" i="30"/>
  <c r="J15" i="30"/>
  <c r="K5" i="30"/>
  <c r="K6" i="30"/>
  <c r="K7" i="30"/>
  <c r="K10" i="30"/>
  <c r="K12" i="30"/>
  <c r="K11" i="30"/>
  <c r="K13" i="30"/>
  <c r="K14" i="30"/>
  <c r="K2" i="30"/>
  <c r="K3" i="30"/>
  <c r="K23" i="30"/>
  <c r="K24" i="30"/>
  <c r="K25" i="30"/>
  <c r="K27" i="30"/>
  <c r="K26" i="30"/>
  <c r="K8" i="30"/>
  <c r="K9" i="30"/>
  <c r="K22" i="30"/>
  <c r="K18" i="30"/>
  <c r="K20" i="30"/>
  <c r="K16" i="30"/>
  <c r="K15" i="30"/>
  <c r="L5" i="30"/>
  <c r="L6" i="30"/>
  <c r="L7" i="30"/>
  <c r="L10" i="30"/>
  <c r="L12" i="30"/>
  <c r="L11" i="30"/>
  <c r="L13" i="30"/>
  <c r="L14" i="30"/>
  <c r="L2" i="30"/>
  <c r="L3" i="30"/>
  <c r="L23" i="30"/>
  <c r="L24" i="30"/>
  <c r="L25" i="30"/>
  <c r="L27" i="30"/>
  <c r="L26" i="30"/>
  <c r="L8" i="30"/>
  <c r="L9" i="30"/>
  <c r="L22" i="30"/>
  <c r="L18" i="30"/>
  <c r="L20" i="30"/>
  <c r="L16" i="30"/>
  <c r="L15" i="30"/>
  <c r="M5" i="30"/>
  <c r="M6" i="30"/>
  <c r="M7" i="30"/>
  <c r="M10" i="30"/>
  <c r="M12" i="30"/>
  <c r="M11" i="30"/>
  <c r="M13" i="30"/>
  <c r="M14" i="30"/>
  <c r="M2" i="30"/>
  <c r="M3" i="30"/>
  <c r="M23" i="30"/>
  <c r="M24" i="30"/>
  <c r="M25" i="30"/>
  <c r="M27" i="30"/>
  <c r="M26" i="30"/>
  <c r="M8" i="30"/>
  <c r="M9" i="30"/>
  <c r="M22" i="30"/>
  <c r="M18" i="30"/>
  <c r="M20" i="30"/>
  <c r="M16" i="30"/>
  <c r="M15" i="30"/>
  <c r="N5" i="30"/>
  <c r="N6" i="30"/>
  <c r="N7" i="30"/>
  <c r="N10" i="30"/>
  <c r="N12" i="30"/>
  <c r="N11" i="30"/>
  <c r="N13" i="30"/>
  <c r="N14" i="30"/>
  <c r="N2" i="30"/>
  <c r="N3" i="30"/>
  <c r="N23" i="30"/>
  <c r="N24" i="30"/>
  <c r="N25" i="30"/>
  <c r="N27" i="30"/>
  <c r="N26" i="30"/>
  <c r="N8" i="30"/>
  <c r="N9" i="30"/>
  <c r="N22" i="30"/>
  <c r="N18" i="30"/>
  <c r="N20" i="30"/>
  <c r="N16" i="30"/>
  <c r="N15" i="30"/>
  <c r="O5" i="30"/>
  <c r="O6" i="30"/>
  <c r="O7" i="30"/>
  <c r="O10" i="30"/>
  <c r="O12" i="30"/>
  <c r="O11" i="30"/>
  <c r="O13" i="30"/>
  <c r="O14" i="30"/>
  <c r="O2" i="30"/>
  <c r="O3" i="30"/>
  <c r="O23" i="30"/>
  <c r="O24" i="30"/>
  <c r="O25" i="30"/>
  <c r="O27" i="30"/>
  <c r="O26" i="30"/>
  <c r="O8" i="30"/>
  <c r="O9" i="30"/>
  <c r="O22" i="30"/>
  <c r="O18" i="30"/>
  <c r="O20" i="30"/>
  <c r="O16" i="30"/>
  <c r="O15" i="30"/>
  <c r="H5" i="30"/>
  <c r="H6" i="30"/>
  <c r="H7" i="30"/>
  <c r="H10" i="30"/>
  <c r="H12" i="30"/>
  <c r="H11" i="30"/>
  <c r="H13" i="30"/>
  <c r="H14" i="30"/>
  <c r="H2" i="30"/>
  <c r="H3" i="30"/>
  <c r="H23" i="30"/>
  <c r="H24" i="30"/>
  <c r="H25" i="30"/>
  <c r="H27" i="30"/>
  <c r="H26" i="30"/>
  <c r="H8" i="30"/>
  <c r="H9" i="30"/>
  <c r="H22" i="30"/>
  <c r="H18" i="30"/>
  <c r="H20" i="30"/>
  <c r="H16" i="30"/>
  <c r="H15" i="30"/>
  <c r="P11" i="30"/>
  <c r="R11" i="30"/>
  <c r="U189" i="27"/>
  <c r="U26" i="27"/>
  <c r="U103" i="27"/>
  <c r="U214" i="27"/>
  <c r="U152" i="27"/>
  <c r="U117" i="27"/>
  <c r="U176" i="27"/>
  <c r="U9" i="27"/>
  <c r="U44" i="27"/>
  <c r="U124" i="27"/>
  <c r="U8" i="27"/>
  <c r="U208" i="27"/>
  <c r="U72" i="27"/>
  <c r="U185" i="27"/>
  <c r="U224" i="27"/>
  <c r="U132" i="27"/>
  <c r="U45" i="27"/>
  <c r="U171" i="27"/>
  <c r="U32" i="27"/>
  <c r="U221" i="27"/>
  <c r="U18" i="27"/>
  <c r="U128" i="27"/>
  <c r="U161" i="27"/>
  <c r="U55" i="27"/>
  <c r="U65" i="27"/>
  <c r="U21" i="27"/>
  <c r="U106" i="27"/>
  <c r="U201" i="27"/>
  <c r="U27" i="27"/>
  <c r="U187" i="27"/>
  <c r="U196" i="27"/>
  <c r="U20" i="27"/>
  <c r="U125" i="27"/>
  <c r="U186" i="27"/>
  <c r="U80" i="27"/>
  <c r="U105" i="27"/>
  <c r="U126" i="27"/>
  <c r="U206" i="27"/>
  <c r="U113" i="27"/>
  <c r="U218" i="27"/>
  <c r="U110" i="27"/>
  <c r="U38" i="27"/>
  <c r="U98" i="27"/>
  <c r="U81" i="27"/>
  <c r="U162" i="27"/>
  <c r="U197" i="27"/>
  <c r="U159" i="27"/>
  <c r="U102" i="27"/>
  <c r="U64" i="27"/>
  <c r="U35" i="27"/>
  <c r="U43" i="27"/>
  <c r="U160" i="27"/>
  <c r="U131" i="27"/>
  <c r="U99" i="27"/>
  <c r="U226" i="27"/>
  <c r="U174" i="27"/>
  <c r="U164" i="27"/>
  <c r="U135" i="27"/>
  <c r="U109" i="27"/>
  <c r="U151" i="27"/>
  <c r="U11" i="27"/>
  <c r="U149" i="27"/>
  <c r="U158" i="27"/>
  <c r="U39" i="27"/>
  <c r="U199" i="27"/>
  <c r="U169" i="27"/>
  <c r="U190" i="27"/>
  <c r="U211" i="27"/>
  <c r="U70" i="27"/>
  <c r="U101" i="27"/>
  <c r="U195" i="27"/>
  <c r="U59" i="27"/>
  <c r="U153" i="27"/>
  <c r="U181" i="27"/>
  <c r="U129" i="27"/>
  <c r="U193" i="27"/>
  <c r="U163" i="27"/>
  <c r="U210" i="27"/>
  <c r="U216" i="27"/>
  <c r="U166" i="27"/>
  <c r="U54" i="27"/>
  <c r="U192" i="27"/>
  <c r="U173" i="27"/>
  <c r="U74" i="27"/>
  <c r="U84" i="27"/>
  <c r="U104" i="27"/>
  <c r="U215" i="27"/>
  <c r="U14" i="27"/>
  <c r="U134" i="27"/>
  <c r="U52" i="27"/>
  <c r="U61" i="27"/>
  <c r="U142" i="27"/>
  <c r="U167" i="27"/>
  <c r="U100" i="27"/>
  <c r="U66" i="27"/>
  <c r="U95" i="27"/>
  <c r="U200" i="27"/>
  <c r="U123" i="27"/>
  <c r="U2" i="27"/>
  <c r="U69" i="27"/>
  <c r="U93" i="27"/>
  <c r="U31" i="27"/>
  <c r="U12" i="27"/>
  <c r="U53" i="27"/>
  <c r="U76" i="27"/>
  <c r="U47" i="27"/>
  <c r="U114" i="27"/>
  <c r="U83" i="27"/>
  <c r="U207" i="27"/>
  <c r="U89" i="27"/>
  <c r="U85" i="27"/>
  <c r="U73" i="27"/>
  <c r="U229" i="27"/>
  <c r="U177" i="27"/>
  <c r="U57" i="27"/>
  <c r="U17" i="27"/>
  <c r="U140" i="27"/>
  <c r="U19" i="27"/>
  <c r="U165" i="27"/>
  <c r="U41" i="27"/>
  <c r="U130" i="27"/>
  <c r="U78" i="27"/>
  <c r="U179" i="27"/>
  <c r="U67" i="27"/>
  <c r="U46" i="27"/>
  <c r="U49" i="27"/>
  <c r="U79" i="27"/>
  <c r="U220" i="27"/>
  <c r="U127" i="27"/>
  <c r="U202" i="27"/>
  <c r="U209" i="27"/>
  <c r="U121" i="27"/>
  <c r="U119" i="27"/>
  <c r="U150" i="27"/>
  <c r="U92" i="27"/>
  <c r="U118" i="27"/>
  <c r="U22" i="27"/>
  <c r="U34" i="27"/>
  <c r="U40" i="27"/>
  <c r="U219" i="27"/>
  <c r="U88" i="27"/>
  <c r="U4" i="27"/>
  <c r="U222" i="27"/>
  <c r="U184" i="27"/>
  <c r="U146" i="27"/>
  <c r="U157" i="27"/>
  <c r="U37" i="27"/>
  <c r="U194" i="27"/>
  <c r="U23" i="27"/>
  <c r="U133" i="27"/>
  <c r="U86" i="27"/>
  <c r="U148" i="27"/>
  <c r="U205" i="27"/>
  <c r="U175" i="27"/>
  <c r="U10" i="27"/>
  <c r="U213" i="27"/>
  <c r="U155" i="27"/>
  <c r="U116" i="27"/>
  <c r="U168" i="27"/>
  <c r="U212" i="27"/>
  <c r="U94" i="27"/>
  <c r="U217" i="27"/>
  <c r="U143" i="27"/>
  <c r="U204" i="27"/>
  <c r="U182" i="27"/>
  <c r="U62" i="27"/>
  <c r="U77" i="27"/>
  <c r="U33" i="27"/>
  <c r="U63" i="27"/>
  <c r="U170" i="27"/>
  <c r="U91" i="27"/>
  <c r="U13" i="27"/>
  <c r="U172" i="27"/>
  <c r="U198" i="27"/>
  <c r="U108" i="27"/>
  <c r="U36" i="27"/>
  <c r="U24" i="27"/>
  <c r="U112" i="27"/>
  <c r="U115" i="27"/>
  <c r="U16" i="27"/>
  <c r="U3" i="27"/>
  <c r="U223" i="27"/>
  <c r="U48" i="27"/>
  <c r="U51" i="27"/>
  <c r="U7" i="27"/>
  <c r="U137" i="27"/>
  <c r="U145" i="27"/>
  <c r="U29" i="27"/>
  <c r="U178" i="27"/>
  <c r="U15" i="27"/>
  <c r="U25" i="27"/>
  <c r="U120" i="27"/>
  <c r="U225" i="27"/>
  <c r="U68" i="27"/>
  <c r="U228" i="27"/>
  <c r="U50" i="27"/>
  <c r="U136" i="27"/>
  <c r="U87" i="27"/>
  <c r="U96" i="27"/>
  <c r="U75" i="27"/>
  <c r="U227" i="27"/>
  <c r="U71" i="27"/>
  <c r="U147" i="27"/>
  <c r="U5" i="27"/>
  <c r="U56" i="27"/>
  <c r="U82" i="27"/>
  <c r="U154" i="27"/>
  <c r="U42" i="27"/>
  <c r="U203" i="27"/>
  <c r="U111" i="27"/>
  <c r="U139" i="27"/>
  <c r="U97" i="27"/>
  <c r="U183" i="27"/>
  <c r="U28" i="27"/>
  <c r="U60" i="27"/>
  <c r="U122" i="27"/>
  <c r="U90" i="27"/>
  <c r="U6" i="27"/>
  <c r="U188" i="27"/>
  <c r="U144" i="27"/>
  <c r="U107" i="27"/>
  <c r="U180" i="27"/>
  <c r="U58" i="27"/>
  <c r="U191" i="27"/>
  <c r="U156" i="27"/>
</calcChain>
</file>

<file path=xl/sharedStrings.xml><?xml version="1.0" encoding="utf-8"?>
<sst xmlns="http://schemas.openxmlformats.org/spreadsheetml/2006/main" count="1310" uniqueCount="317">
  <si>
    <t>User</t>
  </si>
  <si>
    <t>Description</t>
  </si>
  <si>
    <t>Length</t>
  </si>
  <si>
    <t>Name</t>
  </si>
  <si>
    <t>SchoolBus</t>
  </si>
  <si>
    <t>table</t>
  </si>
  <si>
    <t>The School Bus entity, including only information that is of specific interest to the School Bus inspector and not tracked in other systems such as ICBC or NSC</t>
  </si>
  <si>
    <t/>
  </si>
  <si>
    <t>id</t>
  </si>
  <si>
    <t>Primary Key</t>
  </si>
  <si>
    <t>string</t>
  </si>
  <si>
    <t>regi</t>
  </si>
  <si>
    <t>The ICBC Registration number for the School Bus</t>
  </si>
  <si>
    <t>plate</t>
  </si>
  <si>
    <t>The ICBC Plate Number for the School Bus</t>
  </si>
  <si>
    <t>VIN</t>
  </si>
  <si>
    <t>The VIN for the School Bus</t>
  </si>
  <si>
    <t>ref</t>
  </si>
  <si>
    <t>schoolBusOwner</t>
  </si>
  <si>
    <t>SchoolBusOwner</t>
  </si>
  <si>
    <t>permitNumber</t>
  </si>
  <si>
    <t>The (generated) permit number for the School Bus. This will be added by the Inspector before the School Bus Permit can be printed and the bus can go into service.</t>
  </si>
  <si>
    <t>status</t>
  </si>
  <si>
    <t>Enumerated type of Status - Inactive,  Active,  Archived</t>
  </si>
  <si>
    <t>boolean</t>
  </si>
  <si>
    <t>isOutOfProvince</t>
  </si>
  <si>
    <t>serviceArea</t>
  </si>
  <si>
    <t>ServiceArea</t>
  </si>
  <si>
    <t>homeTerminalAddr1</t>
  </si>
  <si>
    <t>Address 1 of physical location of the School Bus.</t>
  </si>
  <si>
    <t>homeTerminalAddr2</t>
  </si>
  <si>
    <t>Address 2 of physical location of the School Bus.</t>
  </si>
  <si>
    <t>homeTerminalCity</t>
  </si>
  <si>
    <t>City of physical location of the School Bus.</t>
  </si>
  <si>
    <t>City</t>
  </si>
  <si>
    <t>homeTerminalProvince</t>
  </si>
  <si>
    <t>Province of physical location of the School Bus - free form.</t>
  </si>
  <si>
    <t>homeTerminalPostalCode</t>
  </si>
  <si>
    <t>Postal Code of physical location of the School Bus.</t>
  </si>
  <si>
    <t>homeTerminalComment</t>
  </si>
  <si>
    <t>A comment about the physical location of the bus so that the Inspector can more easily find it for an inspection</t>
  </si>
  <si>
    <t>restrictions</t>
  </si>
  <si>
    <t>Text of any restrictions to be printed on the school bus permit.</t>
  </si>
  <si>
    <t>datetime</t>
  </si>
  <si>
    <t>nextInspectionDate</t>
  </si>
  <si>
    <t>The next inspection date for this School Bus. Set at the time an inspection is set.</t>
  </si>
  <si>
    <t>nextInspectionType</t>
  </si>
  <si>
    <t>An enumerated type (by the UI) to indicate the type of the next inspection - Annual or Re-inspection based on the Pass/Fail status of the most recent inspection.</t>
  </si>
  <si>
    <t>schoolBusDistrict</t>
  </si>
  <si>
    <t>The School District in which the School Bus operates. The school bus may or may not be associated with the School District itself - we just track where it is regardless.</t>
  </si>
  <si>
    <t>SchoolDistrict</t>
  </si>
  <si>
    <t>isIndependentSchool</t>
  </si>
  <si>
    <t>True if the School Bus is associated with an Independent School. If true,  the name of the Independent School should be in the companion field.</t>
  </si>
  <si>
    <t>nameOfIndependentSchool</t>
  </si>
  <si>
    <t>The name of the Independent School to which the School Bus is associated. Should be null if the companion isIndependentSchool is false.</t>
  </si>
  <si>
    <t>schoolBusClass</t>
  </si>
  <si>
    <t>The enumerated class of School Bus.</t>
  </si>
  <si>
    <t>schoolBusBodyType</t>
  </si>
  <si>
    <t>The enumerated body type of the School Bus.</t>
  </si>
  <si>
    <t>schoolBusBodyTypeOther</t>
  </si>
  <si>
    <t>schoolBusUnitNumber</t>
  </si>
  <si>
    <t>The unit number of the Bus as defined by the School Bus owner - freeform text.</t>
  </si>
  <si>
    <t>integer</t>
  </si>
  <si>
    <t>schoolBusSeatingCapacity</t>
  </si>
  <si>
    <t>The maximum number of passengers in the bus based on the specific use of the bus. For example,  the same 2-per seat / 24-passenger model might have a seating capacity of 36 if the specific bus is to be used for small children,  3 per seat.</t>
  </si>
  <si>
    <t>mobilityAidCapacity</t>
  </si>
  <si>
    <t>The number of mobility aid passenger seats in the bus.</t>
  </si>
  <si>
    <t>SchoolBusNote</t>
  </si>
  <si>
    <t>Notes entered by users about a specific School Bus.</t>
  </si>
  <si>
    <t>note</t>
  </si>
  <si>
    <t>The contents of the note.</t>
  </si>
  <si>
    <t>isNoLongerRelevant</t>
  </si>
  <si>
    <t>A user set flag that the note is no longer relevant. Allows the note to be retained for historical reasons,  but identified to the user as no longer relevant.</t>
  </si>
  <si>
    <t>schoolBus</t>
  </si>
  <si>
    <t>SchoolBusAttachment</t>
  </si>
  <si>
    <t>Attachments uploaded by users about a specific School Bus. Attachments are stored in the file system, with rows in this table pointing to the file system location of the attachment.</t>
  </si>
  <si>
    <t>internalFileName</t>
  </si>
  <si>
    <t>The physical location of the attachment on the file system.</t>
  </si>
  <si>
    <t>externalFileName</t>
  </si>
  <si>
    <t>The name of the attachment as defined by the user in uploading the document.</t>
  </si>
  <si>
    <t>description</t>
  </si>
  <si>
    <t>A note about the attachment,  optionally maintained by the user.</t>
  </si>
  <si>
    <t>SchoolBusHistory</t>
  </si>
  <si>
    <t>The history of updates made to a School Bus. Exact format of the history TBD.</t>
  </si>
  <si>
    <t>name</t>
  </si>
  <si>
    <t>The name of the School Bus owner as defined by the user/Inspector. Not tied to the ICBC or NSC names,  but whatever is most useful for the Inspectors.</t>
  </si>
  <si>
    <t>Status of the School Bus owner - enumerated value Active,  Archived</t>
  </si>
  <si>
    <t>dateCreated</t>
  </si>
  <si>
    <t>The date-time of the creation of the record from the audit fields. Since this might be surfaced in the API,  adding it to the definition.</t>
  </si>
  <si>
    <t>primaryContact</t>
  </si>
  <si>
    <t>Link to the designated Primary Contact for the Inspector to the School Bus Owner organization.</t>
  </si>
  <si>
    <t>SchoolBusOwnerContact</t>
  </si>
  <si>
    <t>The District to which this School Bus is affliated.</t>
  </si>
  <si>
    <t>The calculated next inspection date from across the School Buses associated with this School Bus Owner</t>
  </si>
  <si>
    <t>numberOfBuses</t>
  </si>
  <si>
    <t>The calculated count of the number of School Buses associated with this School Bus Owner</t>
  </si>
  <si>
    <t>contacts</t>
  </si>
  <si>
    <t>SchoolBusOwnerAttachment</t>
  </si>
  <si>
    <t>SchoolBusOwnerNote</t>
  </si>
  <si>
    <t>givenName</t>
  </si>
  <si>
    <t>The given name of the contact.</t>
  </si>
  <si>
    <t>surname</t>
  </si>
  <si>
    <t>The surname of the contact.</t>
  </si>
  <si>
    <t>role</t>
  </si>
  <si>
    <t>The role of the contact. UI controlled as to whether it is free form or selected from an enumerated list.</t>
  </si>
  <si>
    <t>notes</t>
  </si>
  <si>
    <t>Notes about the contact.</t>
  </si>
  <si>
    <t>links</t>
  </si>
  <si>
    <t>schoolBusOwnerContactPhones</t>
  </si>
  <si>
    <t>schoolBusOwnerContactAddresses</t>
  </si>
  <si>
    <t>SchoolBusOwnerContactPhone</t>
  </si>
  <si>
    <t>type</t>
  </si>
  <si>
    <t>The type of the phone number. UI controlled as to whether it is free form or selected from an enumerated list.</t>
  </si>
  <si>
    <t>phoneNumber</t>
  </si>
  <si>
    <t>The phone number of the contact. Entered as free form to support a range of formats.</t>
  </si>
  <si>
    <t>SchoolBusOwnerContactAddress</t>
  </si>
  <si>
    <t>The type of the address. UI controlled as to whether it is free form or selected from an enumerated list.</t>
  </si>
  <si>
    <t>addr1</t>
  </si>
  <si>
    <t>Address 1 line of the address.</t>
  </si>
  <si>
    <t>addr2</t>
  </si>
  <si>
    <t>Address 2 line of the address.</t>
  </si>
  <si>
    <t>city</t>
  </si>
  <si>
    <t>The City of the address.</t>
  </si>
  <si>
    <t>province</t>
  </si>
  <si>
    <t>The Province of the address.</t>
  </si>
  <si>
    <t>postalCode</t>
  </si>
  <si>
    <t>The postal code of the address.</t>
  </si>
  <si>
    <t>SchoolBusOwnerHistory</t>
  </si>
  <si>
    <t>The history of updates made to a School Bus Owner record. Exact format of the history TBD.</t>
  </si>
  <si>
    <t>CCWData</t>
  </si>
  <si>
    <t>The Registration Number (Regi) is the link between the CCW information and a specific School Bus</t>
  </si>
  <si>
    <t>Vehicle Year</t>
  </si>
  <si>
    <t>Inspection</t>
  </si>
  <si>
    <t>Primary Key make this match the Inspection Details page</t>
  </si>
  <si>
    <t>inspector</t>
  </si>
  <si>
    <t>Defaults for a new inspection to the current user,  but can be changed as needed.</t>
  </si>
  <si>
    <t>inspectionDate</t>
  </si>
  <si>
    <t>The date the inspection was conducted.</t>
  </si>
  <si>
    <t>inspectionType</t>
  </si>
  <si>
    <t>The type of the inspection - enumerated type of Annual or Re-inspection,  pulled from the School Bus record at the time the inspection record is created</t>
  </si>
  <si>
    <t>inspectionResult</t>
  </si>
  <si>
    <t>The result of the inspection - enumerated type of Passed or Failed. The detailed results of the inspection are in RIP and not duplicated here.</t>
  </si>
  <si>
    <t>A note about the inspection independent of what goes into the RIP inspection - this is just for the School Bus application.</t>
  </si>
  <si>
    <t>The ID of the RIP inspection. The expectation is that the user will manually enter a RIP ID such that an external URL can be formed to allow the user to open the RIP inspection and see the inspection details.</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</si>
  <si>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</si>
  <si>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</si>
  <si>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</si>
  <si>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</si>
  <si>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</si>
  <si>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</si>
  <si>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</si>
  <si>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</si>
  <si>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The Ministry ID for the Region</t>
  </si>
  <si>
    <t>The name of the Region</t>
  </si>
  <si>
    <t>startDate</t>
  </si>
  <si>
    <t>The effective date of the Region - NOT CURRENTLY ENFORCED IN SCHOOL BUS</t>
  </si>
  <si>
    <t>endDate</t>
  </si>
  <si>
    <t>The end date of the Region; null if active - NOT CURRENTLY ENFORCED IN SCHOOL BUS</t>
  </si>
  <si>
    <t>District</t>
  </si>
  <si>
    <t>ministryDistrictID</t>
  </si>
  <si>
    <t>The Ministry ID for the District</t>
  </si>
  <si>
    <t>The name of the District</t>
  </si>
  <si>
    <t>region</t>
  </si>
  <si>
    <t>The region in which the District is found.</t>
  </si>
  <si>
    <t>The effective date of the District ID - NOT CURRENTLY ENFORCED IN SCHOOL BUS</t>
  </si>
  <si>
    <t>The end date of the District; null if active - NOT CURRENTLY ENFORCED IN SCHOOL BUS</t>
  </si>
  <si>
    <t>ministryServiceAreaID</t>
  </si>
  <si>
    <t>The Ministry ID for the Service Area</t>
  </si>
  <si>
    <t>The name of the Service Area</t>
  </si>
  <si>
    <t>district</t>
  </si>
  <si>
    <t>The district in which the Service Area is found.</t>
  </si>
  <si>
    <t>The effective date of the Service Area - NOT CURRENTLY ENFORCED IN SCHOOL BUS</t>
  </si>
  <si>
    <t>The end date of the Service Area; null if active - NOT CURRENTLY ENFORCED IN SCHOOL BUS</t>
  </si>
  <si>
    <t>The full name of the School District</t>
  </si>
  <si>
    <t>shortName</t>
  </si>
  <si>
    <t>A short name for the School District useful in some areas of the UI. Usually with format \&amp;quot;SD 61\&amp;quot;.</t>
  </si>
  <si>
    <t>The name of the City</t>
  </si>
  <si>
    <t>Notification</t>
  </si>
  <si>
    <t>event</t>
  </si>
  <si>
    <t>NotificationEvent</t>
  </si>
  <si>
    <t>event2</t>
  </si>
  <si>
    <t>hasBeenViewed</t>
  </si>
  <si>
    <t>isWatchNotification</t>
  </si>
  <si>
    <t>isExpired</t>
  </si>
  <si>
    <t>isAllDay</t>
  </si>
  <si>
    <t>priorityCode</t>
  </si>
  <si>
    <t>user</t>
  </si>
  <si>
    <t>eventTime</t>
  </si>
  <si>
    <t>eventTypeCode</t>
  </si>
  <si>
    <t>eventSubTypeCode</t>
  </si>
  <si>
    <t>notificationGenerated</t>
  </si>
  <si>
    <t>active</t>
  </si>
  <si>
    <t>initials</t>
  </si>
  <si>
    <t>email</t>
  </si>
  <si>
    <t>smUserId</t>
  </si>
  <si>
    <t>Security Manager User ID</t>
  </si>
  <si>
    <t>guid</t>
  </si>
  <si>
    <t>smAuthorizationDirectory</t>
  </si>
  <si>
    <t>userRoles</t>
  </si>
  <si>
    <t>UserRole</t>
  </si>
  <si>
    <t>effectiveDate</t>
  </si>
  <si>
    <t>expiryDate</t>
  </si>
  <si>
    <t>Role</t>
  </si>
  <si>
    <t>rolePermissions</t>
  </si>
  <si>
    <t>RolePermission</t>
  </si>
  <si>
    <t>permission</t>
  </si>
  <si>
    <t>Permission</t>
  </si>
  <si>
    <t>code</t>
  </si>
  <si>
    <t>GroupMembership</t>
  </si>
  <si>
    <t>group</t>
  </si>
  <si>
    <t>Group</t>
  </si>
  <si>
    <t>Y</t>
  </si>
  <si>
    <t>RIPInspectionId</t>
  </si>
  <si>
    <t>NSCPlateDecal</t>
  </si>
  <si>
    <t>ICBCRegi</t>
  </si>
  <si>
    <t>ICBCModelYear</t>
  </si>
  <si>
    <t>ICBCVehicleType</t>
  </si>
  <si>
    <t>ICBCRateClass</t>
  </si>
  <si>
    <t>ICBCCVIPDecal</t>
  </si>
  <si>
    <t>ICBCFleetUnitNo</t>
  </si>
  <si>
    <t>ICBCGrossVehicleWeight</t>
  </si>
  <si>
    <t>ICBCMake</t>
  </si>
  <si>
    <t>ICBCBody</t>
  </si>
  <si>
    <t>ICBCRebuiltStatus</t>
  </si>
  <si>
    <t>ICBCCVIPExpiry</t>
  </si>
  <si>
    <t>ICBCNetWt</t>
  </si>
  <si>
    <t>ICBCModel</t>
  </si>
  <si>
    <t>ICBCFuel</t>
  </si>
  <si>
    <t>ICBCSeatingCapacity</t>
  </si>
  <si>
    <t>ICBCColour</t>
  </si>
  <si>
    <t>ICBCNotesAndOrders</t>
  </si>
  <si>
    <t>ICBCOrderedOn</t>
  </si>
  <si>
    <t>ICBCRegOwnerName</t>
  </si>
  <si>
    <t>ICBCRegOwnerAddr1</t>
  </si>
  <si>
    <t>ICBCRegOwnerAddr2</t>
  </si>
  <si>
    <t>ICBCRegOwnerCity</t>
  </si>
  <si>
    <t>ICBCRegOwnerProv</t>
  </si>
  <si>
    <t>ICBCRegOwnerPostalCode</t>
  </si>
  <si>
    <t>ICBCRegOwnerStatus</t>
  </si>
  <si>
    <t>ICBCRegOwnerRODL</t>
  </si>
  <si>
    <t>ICBCRegOwnerPool</t>
  </si>
  <si>
    <t>NSCClientNum</t>
  </si>
  <si>
    <t>NSCCarrierName</t>
  </si>
  <si>
    <t>NSCCarrierConditions</t>
  </si>
  <si>
    <t>NSCCarrierSafetyRating</t>
  </si>
  <si>
    <t>NSCPolicyNumber</t>
  </si>
  <si>
    <t>NSCPolicyEffectiveDate</t>
  </si>
  <si>
    <t>NSCPolicyStatusDate</t>
  </si>
  <si>
    <t>NSCPolicyExpiryDate</t>
  </si>
  <si>
    <t>NSCPolicyStatus</t>
  </si>
  <si>
    <t>User specific settings for a specific location in the UI. The location and saved settings are internally defined by the UI.</t>
  </si>
  <si>
    <t>A list of cities in BC. Authoritative source to be determined.</t>
  </si>
  <si>
    <t>Information about the users of the system.</t>
  </si>
  <si>
    <t>Data pulled in from external sources (ICBC, NSC, etc) about School Buses and retained but not updated in the School Bus app. All data elements are simply copied from the comparable fields in the WSDLs of the Web Service Calls.</t>
  </si>
  <si>
    <t>The Restrictions text from the School Bus record. This is visible on the Inspections screen as a convenience for adjusting it prior to printing the Permit Page.</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</si>
  <si>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</si>
  <si>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</si>
  <si>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</si>
  <si>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</si>
  <si>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</si>
  <si>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</si>
  <si>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</si>
  <si>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</si>
  <si>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</si>
  <si>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</si>
  <si>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</si>
  <si>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</si>
  <si>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</si>
  <si>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</si>
  <si>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</si>
  <si>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</si>
  <si>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</si>
  <si>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</si>
  <si>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ccwdata</t>
  </si>
  <si>
    <t>!type</t>
  </si>
  <si>
    <t>!path</t>
  </si>
  <si>
    <t>!tag</t>
  </si>
  <si>
    <t>!paramDef</t>
  </si>
  <si>
    <t>!respDef</t>
  </si>
  <si>
    <t>!Description</t>
  </si>
  <si>
    <t>!Table</t>
  </si>
  <si>
    <t>!Type</t>
  </si>
  <si>
    <t>!Length</t>
  </si>
  <si>
    <t>!Name</t>
  </si>
  <si>
    <t>!FK</t>
  </si>
  <si>
    <t>RefDef</t>
  </si>
  <si>
    <t>inspections</t>
  </si>
  <si>
    <t>schoolbuses</t>
  </si>
  <si>
    <t>schoolbusnotes</t>
  </si>
  <si>
    <t>schoolbusattachments</t>
  </si>
  <si>
    <t>schoolbushistories</t>
  </si>
  <si>
    <t>notificationevents</t>
  </si>
  <si>
    <t>notifications</t>
  </si>
  <si>
    <t>schoolbusowners</t>
  </si>
  <si>
    <t>schoolbusownernotes</t>
  </si>
  <si>
    <t>schoolbusownerattachments</t>
  </si>
  <si>
    <t>schoolbusownercontacts</t>
  </si>
  <si>
    <t>schoolbusownerhistory</t>
  </si>
  <si>
    <t>groups</t>
  </si>
  <si>
    <t>permissions</t>
  </si>
  <si>
    <t>roles</t>
  </si>
  <si>
    <t>userroles</t>
  </si>
  <si>
    <t>regions</t>
  </si>
  <si>
    <t>districts</t>
  </si>
  <si>
    <t>serviceareas</t>
  </si>
  <si>
    <t>cities</t>
  </si>
  <si>
    <t>schooldistricts</t>
  </si>
  <si>
    <t>rolepermissions</t>
  </si>
  <si>
    <t>usergroups</t>
  </si>
  <si>
    <t>A list of School Districts in the Province of BC. Authoritative source to be determined.</t>
  </si>
  <si>
    <t>PermissionViewModel</t>
  </si>
  <si>
    <t>RoleViewModel</t>
  </si>
  <si>
    <t>rg:dataset('paths.csv','Path')</t>
  </si>
  <si>
    <t>The inspector assigned to this schoolbus</t>
  </si>
  <si>
    <t>The type of Favourite</t>
  </si>
  <si>
    <t>createdDate</t>
  </si>
  <si>
    <t>Record creation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</si>
</sst>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7" fillId="0" borderId="0"/>
  </cellStyleXfs>
  <cellXfs count="26">
    <xf numFmtId="0" fontId="0" fillId="0" borderId="0" xfId="0"/>
    <xf numFmtId="0" fontId="11" fillId="0" borderId="0" xfId="719" applyFont="1" applyAlignment="1">
      <alignment vertical="top"/>
    </xf>
    <xf numFmtId="0" fontId="11" fillId="0" borderId="0" xfId="719" applyFont="1" applyAlignment="1">
      <alignment vertical="top" wrapText="1"/>
    </xf>
    <xf numFmtId="0" fontId="7" fillId="0" borderId="0" xfId="719"/>
    <xf numFmtId="0" fontId="7" fillId="0" borderId="0" xfId="719" applyNumberFormat="1" applyAlignment="1">
      <alignment vertical="top"/>
    </xf>
    <xf numFmtId="0" fontId="7" fillId="0" borderId="0" xfId="719" applyAlignment="1">
      <alignment vertical="top"/>
    </xf>
    <xf numFmtId="0" fontId="7" fillId="0" borderId="0" xfId="719" applyAlignment="1">
      <alignment vertical="top" wrapText="1"/>
    </xf>
    <xf numFmtId="0" fontId="10" fillId="0" borderId="0" xfId="0" applyFont="1"/>
    <xf numFmtId="0" fontId="6" fillId="0" borderId="0" xfId="719" applyFont="1"/>
    <xf numFmtId="0" fontId="5" fillId="0" borderId="0" xfId="719" applyFont="1"/>
    <xf numFmtId="0" fontId="0" fillId="0" borderId="0" xfId="0" applyAlignment="1">
      <alignment vertical="top"/>
    </xf>
    <xf numFmtId="0" fontId="11" fillId="0" borderId="0" xfId="0" applyFont="1" applyAlignment="1">
      <alignment vertical="top"/>
    </xf>
    <xf numFmtId="0" fontId="4" fillId="0" borderId="0" xfId="719" applyFont="1"/>
    <xf numFmtId="0" fontId="4" fillId="0" borderId="0" xfId="719" applyFont="1" applyAlignment="1">
      <alignment vertical="top"/>
    </xf>
    <xf numFmtId="0" fontId="7" fillId="0" borderId="0" xfId="719" applyFill="1" applyAlignment="1">
      <alignment vertical="top" wrapText="1"/>
    </xf>
    <xf numFmtId="0" fontId="7" fillId="0" borderId="0" xfId="719" applyNumberFormat="1" applyFill="1"/>
    <xf numFmtId="0" fontId="0" fillId="0" borderId="0" xfId="0" applyNumberFormat="1" applyAlignment="1">
      <alignment vertical="top"/>
    </xf>
    <xf numFmtId="0" fontId="3" fillId="0" borderId="0" xfId="719" applyFont="1"/>
    <xf numFmtId="0" fontId="3" fillId="0" borderId="0" xfId="719" applyFont="1" applyFill="1"/>
    <xf numFmtId="0" fontId="7" fillId="0" borderId="0" xfId="719" applyNumberFormat="1" applyFill="1" applyAlignment="1">
      <alignment vertical="top"/>
    </xf>
    <xf numFmtId="0" fontId="2" fillId="0" borderId="0" xfId="719" applyFont="1" applyAlignment="1">
      <alignment vertical="top"/>
    </xf>
    <xf numFmtId="0" fontId="2" fillId="0" borderId="0" xfId="719" applyFont="1" applyAlignment="1">
      <alignment vertical="top" wrapText="1"/>
    </xf>
    <xf numFmtId="0" fontId="2" fillId="0" borderId="0" xfId="719" applyFont="1" applyFill="1"/>
    <xf numFmtId="0" fontId="2" fillId="0" borderId="0" xfId="719" applyNumberFormat="1" applyFont="1" applyAlignment="1">
      <alignment vertical="top"/>
    </xf>
    <xf numFmtId="0" fontId="1" fillId="0" borderId="0" xfId="719" applyFont="1" applyAlignment="1">
      <alignment vertical="top"/>
    </xf>
    <xf numFmtId="0" fontId="1" fillId="0" borderId="0" xfId="719" applyFont="1" applyAlignment="1">
      <alignment vertical="top" wrapText="1"/>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43">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U229" totalsRowShown="0" headerRowDxfId="42" dataDxfId="41">
  <autoFilter ref="A1:U229"/>
  <tableColumns count="21">
    <tableColumn id="1" name="!Table" dataDxfId="40"/>
    <tableColumn id="2" name="!Type" dataDxfId="39"/>
    <tableColumn id="6" name="!Length"/>
    <tableColumn id="3" name="!Name" dataDxfId="38"/>
    <tableColumn id="4" name="!Description" dataDxfId="37"/>
    <tableColumn id="7" name="!FK" dataDxfId="36"/>
    <tableColumn id="10" name="!Required" dataDxfId="35" dataCellStyle="Normal 2"/>
    <tableColumn id="9" name="File" dataDxfId="34">
      <calculatedColumnFormula>IF(LEN(A2) &gt; 0,"Defs","-")</calculatedColumnFormula>
    </tableColumn>
    <tableColumn id="5" name="boolean" dataDxfId="33">
      <calculatedColumnFormula>IF(Table2[[#This Row],[!Type]]=I$1, I$1,"rg:None")</calculatedColumnFormula>
    </tableColumn>
    <tableColumn id="8" name="datetime" dataDxfId="32">
      <calculatedColumnFormula>IF(Table2[[#This Row],[!Type]]=J$1, J$1,"rg:None")</calculatedColumnFormula>
    </tableColumn>
    <tableColumn id="11" name="id" dataDxfId="31">
      <calculatedColumnFormula>IF(Table2[[#This Row],[!Type]]=K$1, K$1,"rg:None")</calculatedColumnFormula>
    </tableColumn>
    <tableColumn id="12" name="integer" dataDxfId="30">
      <calculatedColumnFormula>IF(Table2[[#This Row],[!Type]]=L$1, L$1,"rg:None")</calculatedColumnFormula>
    </tableColumn>
    <tableColumn id="13" name="links" dataDxfId="29">
      <calculatedColumnFormula>IF(Table2[[#This Row],[!Type]]=M$1, M$1,"rg:None")</calculatedColumnFormula>
    </tableColumn>
    <tableColumn id="14" name="ref" dataDxfId="28">
      <calculatedColumnFormula>IF(Table2[[#This Row],[!Type]]=N$1, N$1,"rg:None")</calculatedColumnFormula>
    </tableColumn>
    <tableColumn id="15" name="string" dataDxfId="27">
      <calculatedColumnFormula>IF(Table2[[#This Row],[!Type]]=O$1, O$1,"rg:None")</calculatedColumnFormula>
    </tableColumn>
    <tableColumn id="16" name="table" dataDxfId="26">
      <calculatedColumnFormula>IF(Table2[[#This Row],[!Type]]=P$1, P$1,"rg:None")</calculatedColumnFormula>
    </tableColumn>
    <tableColumn id="17" name="Length" dataDxfId="25">
      <calculatedColumnFormula>IF(LEN(Table2[[#This Row],[!Length]]) &gt; 0, Table2[[#This Row],[!Length]], "rg:None")</calculatedColumnFormula>
    </tableColumn>
    <tableColumn id="18" name="Name" dataDxfId="24">
      <calculatedColumnFormula>IF(LEN(Table2[[#This Row],[!Name]]) &gt; 0, Table2[[#This Row],[!Name]], "rg:None")</calculatedColumnFormula>
    </tableColumn>
    <tableColumn id="19" name="Description" dataDxfId="23">
      <calculatedColumnFormula>IF(LEN(Table2[[#This Row],[!Description]]) &gt; 0, Table2[[#This Row],[!Description]], "rg:None")</calculatedColumnFormula>
    </tableColumn>
    <tableColumn id="20" name="RefDef" dataDxfId="22">
      <calculatedColumnFormula>IF(LEN(Table2[[#This Row],[!FK]])&gt;0,Table2[[#This Row],[!FK]],"rg:None")</calculatedColumnFormula>
    </tableColumn>
    <tableColumn id="22" name="Required" dataDxfId="21">
      <calculatedColumnFormula>IF(LEN(concatif2(A:A,Table2[[#This Row],[!Table]],G:G,"Y",D:D,",")) &gt; 0,"rg:[ { 'req' : '"&amp;concatif2(A:A,Table2[[#This Row],[!Table]],G:G,"Y",D:D,"' }, { 'req': '")&amp;"'} ]","rg:[]")</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27" totalsRowShown="0" headerRowDxfId="20" dataDxfId="19">
  <autoFilter ref="A1:T27"/>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U229"/>
  <sheetViews>
    <sheetView tabSelected="1" zoomScale="110" zoomScaleNormal="110" workbookViewId="0">
      <pane ySplit="1" topLeftCell="A110" activePane="bottomLeft" state="frozen"/>
      <selection pane="bottomLeft" activeCell="A138" sqref="A138"/>
    </sheetView>
  </sheetViews>
  <sheetFormatPr defaultRowHeight="15.6" x14ac:dyDescent="0.3"/>
  <cols>
    <col min="1" max="1" width="25.19921875" style="5" customWidth="1"/>
    <col min="2" max="2" width="8.796875" style="5"/>
    <col min="3" max="3" width="8.09765625" style="5" customWidth="1"/>
    <col min="4" max="4" width="33.5" style="6" customWidth="1"/>
    <col min="5" max="5" width="43.09765625" style="6" customWidth="1"/>
    <col min="6" max="6" width="24.19921875" style="5" customWidth="1"/>
    <col min="7" max="7" width="12.296875" style="5" customWidth="1"/>
    <col min="8" max="8" width="9.69921875" style="5" customWidth="1"/>
    <col min="9" max="9" width="8.296875" style="5" customWidth="1"/>
    <col min="10" max="20" width="8.796875" style="5"/>
    <col min="22" max="16384" width="8.796875" style="5"/>
  </cols>
  <sheetData>
    <row r="1" spans="1:21" s="1" customFormat="1" x14ac:dyDescent="0.3">
      <c r="A1" s="1" t="s">
        <v>280</v>
      </c>
      <c r="B1" s="1" t="s">
        <v>281</v>
      </c>
      <c r="C1" s="1" t="s">
        <v>282</v>
      </c>
      <c r="D1" s="1" t="s">
        <v>283</v>
      </c>
      <c r="E1" s="2" t="s">
        <v>279</v>
      </c>
      <c r="F1" s="2" t="s">
        <v>284</v>
      </c>
      <c r="G1" s="1" t="s">
        <v>257</v>
      </c>
      <c r="H1" s="7" t="s">
        <v>255</v>
      </c>
      <c r="I1" s="7" t="s">
        <v>24</v>
      </c>
      <c r="J1" s="11" t="s">
        <v>43</v>
      </c>
      <c r="K1" s="11" t="s">
        <v>8</v>
      </c>
      <c r="L1" s="11" t="s">
        <v>62</v>
      </c>
      <c r="M1" s="11" t="s">
        <v>107</v>
      </c>
      <c r="N1" s="11" t="s">
        <v>17</v>
      </c>
      <c r="O1" s="11" t="s">
        <v>10</v>
      </c>
      <c r="P1" s="11" t="s">
        <v>5</v>
      </c>
      <c r="Q1" s="11" t="s">
        <v>2</v>
      </c>
      <c r="R1" s="11" t="s">
        <v>3</v>
      </c>
      <c r="S1" s="11" t="s">
        <v>1</v>
      </c>
      <c r="T1" s="11" t="s">
        <v>285</v>
      </c>
      <c r="U1" s="11" t="s">
        <v>256</v>
      </c>
    </row>
    <row r="2" spans="1:21" x14ac:dyDescent="0.3">
      <c r="A2" s="3" t="s">
        <v>4</v>
      </c>
      <c r="B2" s="3" t="s">
        <v>5</v>
      </c>
      <c r="C2" s="3"/>
      <c r="D2" s="3" t="s">
        <v>4</v>
      </c>
      <c r="E2" s="3" t="s">
        <v>6</v>
      </c>
      <c r="F2" s="3" t="s">
        <v>7</v>
      </c>
      <c r="G2" s="4"/>
      <c r="H2" t="str">
        <f t="shared" ref="H2:H66" si="0">IF(LEN(A2) &gt; 0,"Defs","-")</f>
        <v>Defs</v>
      </c>
      <c r="I2" t="str">
        <f>IF(Table2[[#This Row],[!Type]]=I$1, I$1,"rg:None")</f>
        <v>rg:None</v>
      </c>
      <c r="J2" t="str">
        <f>IF(Table2[[#This Row],[!Type]]=J$1, J$1,"rg:None")</f>
        <v>rg:None</v>
      </c>
      <c r="K2" t="str">
        <f>IF(Table2[[#This Row],[!Type]]=K$1, K$1,"rg:None")</f>
        <v>rg:None</v>
      </c>
      <c r="L2" t="str">
        <f>IF(Table2[[#This Row],[!Type]]=L$1, L$1,"rg:None")</f>
        <v>rg:None</v>
      </c>
      <c r="M2" t="str">
        <f>IF(Table2[[#This Row],[!Type]]=M$1, M$1,"rg:None")</f>
        <v>rg:None</v>
      </c>
      <c r="N2" t="str">
        <f>IF(Table2[[#This Row],[!Type]]=N$1, N$1,"rg:None")</f>
        <v>rg:None</v>
      </c>
      <c r="O2" t="str">
        <f>IF(Table2[[#This Row],[!Type]]=O$1, O$1,"rg:None")</f>
        <v>rg:None</v>
      </c>
      <c r="P2" t="str">
        <f>IF(Table2[[#This Row],[!Type]]=P$1, P$1,"rg:None")</f>
        <v>table</v>
      </c>
      <c r="Q2" s="10" t="str">
        <f>IF(LEN(Table2[[#This Row],[!Length]]) &gt; 0, Table2[[#This Row],[!Length]], "rg:None")</f>
        <v>rg:None</v>
      </c>
      <c r="R2" s="10" t="str">
        <f>IF(LEN(Table2[[#This Row],[!Name]]) &gt; 0, Table2[[#This Row],[!Name]], "rg:None")</f>
        <v>SchoolBus</v>
      </c>
      <c r="S2" s="10" t="str">
        <f>IF(LEN(Table2[[#This Row],[!Description]]) &gt; 0, Table2[[#This Row],[!Description]], "rg:None")</f>
        <v>The School Bus entity, including only information that is of specific interest to the School Bus inspector and not tracked in other systems such as ICBC or NSC</v>
      </c>
      <c r="T2" s="10" t="str">
        <f>IF(LEN(Table2[[#This Row],[!FK]])&gt;0,Table2[[#This Row],[!FK]],"rg:None")</f>
        <v>rg:None</v>
      </c>
      <c r="U2" s="10" t="str">
        <f>IF(LEN(concatif2(A:A,Table2[[#This Row],[!Table]],G:G,"Y",D:D,",")) &gt; 0,"rg:[ { 'req' : '"&amp;concatif2(A:A,Table2[[#This Row],[!Table]],G:G,"Y",D:D,"' }, { 'req': '")&amp;"'} ]","rg:[]")</f>
        <v>rg:[ { 'req' : 'id'} ]</v>
      </c>
    </row>
    <row r="3" spans="1:21" x14ac:dyDescent="0.3">
      <c r="A3" s="3" t="s">
        <v>4</v>
      </c>
      <c r="B3" s="3" t="s">
        <v>8</v>
      </c>
      <c r="C3" s="3"/>
      <c r="D3" s="3" t="s">
        <v>8</v>
      </c>
      <c r="E3" s="3" t="s">
        <v>9</v>
      </c>
      <c r="F3" s="3" t="s">
        <v>7</v>
      </c>
      <c r="G3" s="4" t="s">
        <v>211</v>
      </c>
      <c r="H3" s="5" t="str">
        <f t="shared" si="0"/>
        <v>Defs</v>
      </c>
      <c r="I3" t="str">
        <f>IF(Table2[[#This Row],[!Type]]=I$1, I$1,"rg:None")</f>
        <v>rg:None</v>
      </c>
      <c r="J3" t="str">
        <f>IF(Table2[[#This Row],[!Type]]=J$1, J$1,"rg:None")</f>
        <v>rg:None</v>
      </c>
      <c r="K3" t="str">
        <f>IF(Table2[[#This Row],[!Type]]=K$1, K$1,"rg:None")</f>
        <v>id</v>
      </c>
      <c r="L3" s="10" t="str">
        <f>IF(Table2[[#This Row],[!Type]]=L$1, L$1,"rg:None")</f>
        <v>rg:None</v>
      </c>
      <c r="M3" s="5" t="str">
        <f>IF(Table2[[#This Row],[!Type]]=M$1, M$1,"rg:None")</f>
        <v>rg:None</v>
      </c>
      <c r="N3" s="5" t="str">
        <f>IF(Table2[[#This Row],[!Type]]=N$1, N$1,"rg:None")</f>
        <v>rg:None</v>
      </c>
      <c r="O3" s="5" t="str">
        <f>IF(Table2[[#This Row],[!Type]]=O$1, O$1,"rg:None")</f>
        <v>rg:None</v>
      </c>
      <c r="P3" s="5" t="str">
        <f>IF(Table2[[#This Row],[!Type]]=P$1, P$1,"rg:None")</f>
        <v>rg:None</v>
      </c>
      <c r="Q3" s="10" t="str">
        <f>IF(LEN(Table2[[#This Row],[!Length]]) &gt; 0, Table2[[#This Row],[!Length]], "rg:None")</f>
        <v>rg:None</v>
      </c>
      <c r="R3" s="10" t="str">
        <f>IF(LEN(Table2[[#This Row],[!Name]]) &gt; 0, Table2[[#This Row],[!Name]], "rg:None")</f>
        <v>id</v>
      </c>
      <c r="S3" s="10" t="str">
        <f>IF(LEN(Table2[[#This Row],[!Description]]) &gt; 0, Table2[[#This Row],[!Description]], "rg:None")</f>
        <v>Primary Key</v>
      </c>
      <c r="T3" s="10" t="str">
        <f>IF(LEN(Table2[[#This Row],[!FK]])&gt;0,Table2[[#This Row],[!FK]],"rg:None")</f>
        <v>rg:None</v>
      </c>
      <c r="U3" s="10" t="str">
        <f>IF(LEN(concatif2(A:A,Table2[[#This Row],[!Table]],G:G,"Y",D:D,",")) &gt; 0,"rg:[ { 'req' : '"&amp;concatif2(A:A,Table2[[#This Row],[!Table]],G:G,"Y",D:D,"' }, { 'req': '")&amp;"'} ]","rg:[]")</f>
        <v>rg:[ { 'req' : 'id'} ]</v>
      </c>
    </row>
    <row r="4" spans="1:21" x14ac:dyDescent="0.3">
      <c r="A4" s="3" t="s">
        <v>4</v>
      </c>
      <c r="B4" s="3" t="s">
        <v>10</v>
      </c>
      <c r="C4" s="3"/>
      <c r="D4" s="3" t="s">
        <v>11</v>
      </c>
      <c r="E4" s="3" t="s">
        <v>12</v>
      </c>
      <c r="F4" s="3" t="s">
        <v>7</v>
      </c>
      <c r="G4" s="4"/>
      <c r="H4" s="5" t="str">
        <f t="shared" si="0"/>
        <v>Defs</v>
      </c>
      <c r="I4" t="str">
        <f>IF(Table2[[#This Row],[!Type]]=I$1, I$1,"rg:None")</f>
        <v>rg:None</v>
      </c>
      <c r="J4" t="str">
        <f>IF(Table2[[#This Row],[!Type]]=J$1, J$1,"rg:None")</f>
        <v>rg:None</v>
      </c>
      <c r="K4" t="str">
        <f>IF(Table2[[#This Row],[!Type]]=K$1, K$1,"rg:None")</f>
        <v>rg:None</v>
      </c>
      <c r="L4" s="10" t="str">
        <f>IF(Table2[[#This Row],[!Type]]=L$1, L$1,"rg:None")</f>
        <v>rg:None</v>
      </c>
      <c r="M4" s="5" t="str">
        <f>IF(Table2[[#This Row],[!Type]]=M$1, M$1,"rg:None")</f>
        <v>rg:None</v>
      </c>
      <c r="N4" s="5" t="str">
        <f>IF(Table2[[#This Row],[!Type]]=N$1, N$1,"rg:None")</f>
        <v>rg:None</v>
      </c>
      <c r="O4" s="5" t="str">
        <f>IF(Table2[[#This Row],[!Type]]=O$1, O$1,"rg:None")</f>
        <v>string</v>
      </c>
      <c r="P4" s="5" t="str">
        <f>IF(Table2[[#This Row],[!Type]]=P$1, P$1,"rg:None")</f>
        <v>rg:None</v>
      </c>
      <c r="Q4" s="10" t="str">
        <f>IF(LEN(Table2[[#This Row],[!Length]]) &gt; 0, Table2[[#This Row],[!Length]], "rg:None")</f>
        <v>rg:None</v>
      </c>
      <c r="R4" s="10" t="str">
        <f>IF(LEN(Table2[[#This Row],[!Name]]) &gt; 0, Table2[[#This Row],[!Name]], "rg:None")</f>
        <v>regi</v>
      </c>
      <c r="S4" s="10" t="str">
        <f>IF(LEN(Table2[[#This Row],[!Description]]) &gt; 0, Table2[[#This Row],[!Description]], "rg:None")</f>
        <v>The ICBC Registration number for the School Bus</v>
      </c>
      <c r="T4" s="10" t="str">
        <f>IF(LEN(Table2[[#This Row],[!FK]])&gt;0,Table2[[#This Row],[!FK]],"rg:None")</f>
        <v>rg:None</v>
      </c>
      <c r="U4" s="10" t="str">
        <f>IF(LEN(concatif2(A:A,Table2[[#This Row],[!Table]],G:G,"Y",D:D,",")) &gt; 0,"rg:[ { 'req' : '"&amp;concatif2(A:A,Table2[[#This Row],[!Table]],G:G,"Y",D:D,"' }, { 'req': '")&amp;"'} ]","rg:[]")</f>
        <v>rg:[ { 'req' : 'id'} ]</v>
      </c>
    </row>
    <row r="5" spans="1:21" x14ac:dyDescent="0.3">
      <c r="A5" s="3" t="s">
        <v>4</v>
      </c>
      <c r="B5" s="3" t="s">
        <v>10</v>
      </c>
      <c r="C5" s="3"/>
      <c r="D5" s="3" t="s">
        <v>13</v>
      </c>
      <c r="E5" s="3" t="s">
        <v>14</v>
      </c>
      <c r="F5" s="3" t="s">
        <v>7</v>
      </c>
      <c r="G5" s="4"/>
      <c r="H5" s="5" t="str">
        <f t="shared" si="0"/>
        <v>Defs</v>
      </c>
      <c r="I5" t="str">
        <f>IF(Table2[[#This Row],[!Type]]=I$1, I$1,"rg:None")</f>
        <v>rg:None</v>
      </c>
      <c r="J5" t="str">
        <f>IF(Table2[[#This Row],[!Type]]=J$1, J$1,"rg:None")</f>
        <v>rg:None</v>
      </c>
      <c r="K5" t="str">
        <f>IF(Table2[[#This Row],[!Type]]=K$1, K$1,"rg:None")</f>
        <v>rg:None</v>
      </c>
      <c r="L5" s="10" t="str">
        <f>IF(Table2[[#This Row],[!Type]]=L$1, L$1,"rg:None")</f>
        <v>rg:None</v>
      </c>
      <c r="M5" s="5" t="str">
        <f>IF(Table2[[#This Row],[!Type]]=M$1, M$1,"rg:None")</f>
        <v>rg:None</v>
      </c>
      <c r="N5" s="5" t="str">
        <f>IF(Table2[[#This Row],[!Type]]=N$1, N$1,"rg:None")</f>
        <v>rg:None</v>
      </c>
      <c r="O5" s="5" t="str">
        <f>IF(Table2[[#This Row],[!Type]]=O$1, O$1,"rg:None")</f>
        <v>string</v>
      </c>
      <c r="P5" s="5" t="str">
        <f>IF(Table2[[#This Row],[!Type]]=P$1, P$1,"rg:None")</f>
        <v>rg:None</v>
      </c>
      <c r="Q5" s="10" t="str">
        <f>IF(LEN(Table2[[#This Row],[!Length]]) &gt; 0, Table2[[#This Row],[!Length]], "rg:None")</f>
        <v>rg:None</v>
      </c>
      <c r="R5" s="10" t="str">
        <f>IF(LEN(Table2[[#This Row],[!Name]]) &gt; 0, Table2[[#This Row],[!Name]], "rg:None")</f>
        <v>plate</v>
      </c>
      <c r="S5" s="10" t="str">
        <f>IF(LEN(Table2[[#This Row],[!Description]]) &gt; 0, Table2[[#This Row],[!Description]], "rg:None")</f>
        <v>The ICBC Plate Number for the School Bus</v>
      </c>
      <c r="T5" s="10" t="str">
        <f>IF(LEN(Table2[[#This Row],[!FK]])&gt;0,Table2[[#This Row],[!FK]],"rg:None")</f>
        <v>rg:None</v>
      </c>
      <c r="U5" s="10" t="str">
        <f>IF(LEN(concatif2(A:A,Table2[[#This Row],[!Table]],G:G,"Y",D:D,",")) &gt; 0,"rg:[ { 'req' : '"&amp;concatif2(A:A,Table2[[#This Row],[!Table]],G:G,"Y",D:D,"' }, { 'req': '")&amp;"'} ]","rg:[]")</f>
        <v>rg:[ { 'req' : 'id'} ]</v>
      </c>
    </row>
    <row r="6" spans="1:21" x14ac:dyDescent="0.3">
      <c r="A6" s="3" t="s">
        <v>4</v>
      </c>
      <c r="B6" s="3" t="s">
        <v>10</v>
      </c>
      <c r="C6" s="3"/>
      <c r="D6" s="3" t="s">
        <v>15</v>
      </c>
      <c r="E6" s="3" t="s">
        <v>16</v>
      </c>
      <c r="F6" s="3" t="s">
        <v>7</v>
      </c>
      <c r="G6" s="4"/>
      <c r="H6" s="5" t="str">
        <f t="shared" si="0"/>
        <v>Defs</v>
      </c>
      <c r="I6" t="str">
        <f>IF(Table2[[#This Row],[!Type]]=I$1, I$1,"rg:None")</f>
        <v>rg:None</v>
      </c>
      <c r="J6" t="str">
        <f>IF(Table2[[#This Row],[!Type]]=J$1, J$1,"rg:None")</f>
        <v>rg:None</v>
      </c>
      <c r="K6" t="str">
        <f>IF(Table2[[#This Row],[!Type]]=K$1, K$1,"rg:None")</f>
        <v>rg:None</v>
      </c>
      <c r="L6" s="10" t="str">
        <f>IF(Table2[[#This Row],[!Type]]=L$1, L$1,"rg:None")</f>
        <v>rg:None</v>
      </c>
      <c r="M6" s="5" t="str">
        <f>IF(Table2[[#This Row],[!Type]]=M$1, M$1,"rg:None")</f>
        <v>rg:None</v>
      </c>
      <c r="N6" s="5" t="str">
        <f>IF(Table2[[#This Row],[!Type]]=N$1, N$1,"rg:None")</f>
        <v>rg:None</v>
      </c>
      <c r="O6" s="5" t="str">
        <f>IF(Table2[[#This Row],[!Type]]=O$1, O$1,"rg:None")</f>
        <v>string</v>
      </c>
      <c r="P6" s="5" t="str">
        <f>IF(Table2[[#This Row],[!Type]]=P$1, P$1,"rg:None")</f>
        <v>rg:None</v>
      </c>
      <c r="Q6" s="10" t="str">
        <f>IF(LEN(Table2[[#This Row],[!Length]]) &gt; 0, Table2[[#This Row],[!Length]], "rg:None")</f>
        <v>rg:None</v>
      </c>
      <c r="R6" s="10" t="str">
        <f>IF(LEN(Table2[[#This Row],[!Name]]) &gt; 0, Table2[[#This Row],[!Name]], "rg:None")</f>
        <v>VIN</v>
      </c>
      <c r="S6" s="10" t="str">
        <f>IF(LEN(Table2[[#This Row],[!Description]]) &gt; 0, Table2[[#This Row],[!Description]], "rg:None")</f>
        <v>The VIN for the School Bus</v>
      </c>
      <c r="T6" s="10" t="str">
        <f>IF(LEN(Table2[[#This Row],[!FK]])&gt;0,Table2[[#This Row],[!FK]],"rg:None")</f>
        <v>rg:None</v>
      </c>
      <c r="U6" s="10" t="str">
        <f>IF(LEN(concatif2(A:A,Table2[[#This Row],[!Table]],G:G,"Y",D:D,",")) &gt; 0,"rg:[ { 'req' : '"&amp;concatif2(A:A,Table2[[#This Row],[!Table]],G:G,"Y",D:D,"' }, { 'req': '")&amp;"'} ]","rg:[]")</f>
        <v>rg:[ { 'req' : 'id'} ]</v>
      </c>
    </row>
    <row r="7" spans="1:21" x14ac:dyDescent="0.3">
      <c r="A7" s="3" t="s">
        <v>4</v>
      </c>
      <c r="B7" s="3" t="s">
        <v>17</v>
      </c>
      <c r="C7" s="3"/>
      <c r="D7" s="3" t="s">
        <v>18</v>
      </c>
      <c r="E7" s="3" t="s">
        <v>7</v>
      </c>
      <c r="F7" s="3" t="s">
        <v>19</v>
      </c>
      <c r="G7" s="4"/>
      <c r="H7" s="5" t="str">
        <f t="shared" si="0"/>
        <v>Defs</v>
      </c>
      <c r="I7" t="str">
        <f>IF(Table2[[#This Row],[!Type]]=I$1, I$1,"rg:None")</f>
        <v>rg:None</v>
      </c>
      <c r="J7" t="str">
        <f>IF(Table2[[#This Row],[!Type]]=J$1, J$1,"rg:None")</f>
        <v>rg:None</v>
      </c>
      <c r="K7" t="str">
        <f>IF(Table2[[#This Row],[!Type]]=K$1, K$1,"rg:None")</f>
        <v>rg:None</v>
      </c>
      <c r="L7" s="10" t="str">
        <f>IF(Table2[[#This Row],[!Type]]=L$1, L$1,"rg:None")</f>
        <v>rg:None</v>
      </c>
      <c r="M7" s="5" t="str">
        <f>IF(Table2[[#This Row],[!Type]]=M$1, M$1,"rg:None")</f>
        <v>rg:None</v>
      </c>
      <c r="N7" s="5" t="str">
        <f>IF(Table2[[#This Row],[!Type]]=N$1, N$1,"rg:None")</f>
        <v>ref</v>
      </c>
      <c r="O7" s="5" t="str">
        <f>IF(Table2[[#This Row],[!Type]]=O$1, O$1,"rg:None")</f>
        <v>rg:None</v>
      </c>
      <c r="P7" s="5" t="str">
        <f>IF(Table2[[#This Row],[!Type]]=P$1, P$1,"rg:None")</f>
        <v>rg:None</v>
      </c>
      <c r="Q7" s="10" t="str">
        <f>IF(LEN(Table2[[#This Row],[!Length]]) &gt; 0, Table2[[#This Row],[!Length]], "rg:None")</f>
        <v>rg:None</v>
      </c>
      <c r="R7" s="10" t="str">
        <f>IF(LEN(Table2[[#This Row],[!Name]]) &gt; 0, Table2[[#This Row],[!Name]], "rg:None")</f>
        <v>schoolBusOwner</v>
      </c>
      <c r="S7" s="10" t="str">
        <f>IF(LEN(Table2[[#This Row],[!Description]]) &gt; 0, Table2[[#This Row],[!Description]], "rg:None")</f>
        <v>rg:None</v>
      </c>
      <c r="T7" s="10" t="str">
        <f>IF(LEN(Table2[[#This Row],[!FK]])&gt;0,Table2[[#This Row],[!FK]],"rg:None")</f>
        <v>SchoolBusOwner</v>
      </c>
      <c r="U7" s="10" t="str">
        <f>IF(LEN(concatif2(A:A,Table2[[#This Row],[!Table]],G:G,"Y",D:D,",")) &gt; 0,"rg:[ { 'req' : '"&amp;concatif2(A:A,Table2[[#This Row],[!Table]],G:G,"Y",D:D,"' }, { 'req': '")&amp;"'} ]","rg:[]")</f>
        <v>rg:[ { 'req' : 'id'} ]</v>
      </c>
    </row>
    <row r="8" spans="1:21" x14ac:dyDescent="0.3">
      <c r="A8" s="3" t="s">
        <v>4</v>
      </c>
      <c r="B8" s="3" t="s">
        <v>10</v>
      </c>
      <c r="C8" s="3"/>
      <c r="D8" s="3" t="s">
        <v>20</v>
      </c>
      <c r="E8" s="3" t="s">
        <v>21</v>
      </c>
      <c r="F8" s="3" t="s">
        <v>7</v>
      </c>
      <c r="G8" s="4"/>
      <c r="H8" s="5" t="str">
        <f t="shared" si="0"/>
        <v>Defs</v>
      </c>
      <c r="I8" t="str">
        <f>IF(Table2[[#This Row],[!Type]]=I$1, I$1,"rg:None")</f>
        <v>rg:None</v>
      </c>
      <c r="J8" t="str">
        <f>IF(Table2[[#This Row],[!Type]]=J$1, J$1,"rg:None")</f>
        <v>rg:None</v>
      </c>
      <c r="K8" t="str">
        <f>IF(Table2[[#This Row],[!Type]]=K$1, K$1,"rg:None")</f>
        <v>rg:None</v>
      </c>
      <c r="L8" s="10" t="str">
        <f>IF(Table2[[#This Row],[!Type]]=L$1, L$1,"rg:None")</f>
        <v>rg:None</v>
      </c>
      <c r="M8" s="5" t="str">
        <f>IF(Table2[[#This Row],[!Type]]=M$1, M$1,"rg:None")</f>
        <v>rg:None</v>
      </c>
      <c r="N8" s="5" t="str">
        <f>IF(Table2[[#This Row],[!Type]]=N$1, N$1,"rg:None")</f>
        <v>rg:None</v>
      </c>
      <c r="O8" s="5" t="str">
        <f>IF(Table2[[#This Row],[!Type]]=O$1, O$1,"rg:None")</f>
        <v>string</v>
      </c>
      <c r="P8" s="5" t="str">
        <f>IF(Table2[[#This Row],[!Type]]=P$1, P$1,"rg:None")</f>
        <v>rg:None</v>
      </c>
      <c r="Q8" s="10" t="str">
        <f>IF(LEN(Table2[[#This Row],[!Length]]) &gt; 0, Table2[[#This Row],[!Length]], "rg:None")</f>
        <v>rg:None</v>
      </c>
      <c r="R8" s="10" t="str">
        <f>IF(LEN(Table2[[#This Row],[!Name]]) &gt; 0, Table2[[#This Row],[!Name]], "rg:None")</f>
        <v>permitNumber</v>
      </c>
      <c r="S8" s="10" t="str">
        <f>IF(LEN(Table2[[#This Row],[!Description]]) &gt; 0, Table2[[#This Row],[!Description]], "rg:None")</f>
        <v>The (generated) permit number for the School Bus. This will be added by the Inspector before the School Bus Permit can be printed and the bus can go into service.</v>
      </c>
      <c r="T8" s="10" t="str">
        <f>IF(LEN(Table2[[#This Row],[!FK]])&gt;0,Table2[[#This Row],[!FK]],"rg:None")</f>
        <v>rg:None</v>
      </c>
      <c r="U8" s="10" t="str">
        <f>IF(LEN(concatif2(A:A,Table2[[#This Row],[!Table]],G:G,"Y",D:D,",")) &gt; 0,"rg:[ { 'req' : '"&amp;concatif2(A:A,Table2[[#This Row],[!Table]],G:G,"Y",D:D,"' }, { 'req': '")&amp;"'} ]","rg:[]")</f>
        <v>rg:[ { 'req' : 'id'} ]</v>
      </c>
    </row>
    <row r="9" spans="1:21" x14ac:dyDescent="0.3">
      <c r="A9" s="3" t="s">
        <v>4</v>
      </c>
      <c r="B9" s="3" t="s">
        <v>10</v>
      </c>
      <c r="C9" s="3"/>
      <c r="D9" s="3" t="s">
        <v>22</v>
      </c>
      <c r="E9" s="3" t="s">
        <v>23</v>
      </c>
      <c r="F9" s="3" t="s">
        <v>7</v>
      </c>
      <c r="G9" s="4"/>
      <c r="H9" s="5" t="str">
        <f t="shared" si="0"/>
        <v>Defs</v>
      </c>
      <c r="I9" t="str">
        <f>IF(Table2[[#This Row],[!Type]]=I$1, I$1,"rg:None")</f>
        <v>rg:None</v>
      </c>
      <c r="J9" t="str">
        <f>IF(Table2[[#This Row],[!Type]]=J$1, J$1,"rg:None")</f>
        <v>rg:None</v>
      </c>
      <c r="K9" t="str">
        <f>IF(Table2[[#This Row],[!Type]]=K$1, K$1,"rg:None")</f>
        <v>rg:None</v>
      </c>
      <c r="L9" s="10" t="str">
        <f>IF(Table2[[#This Row],[!Type]]=L$1, L$1,"rg:None")</f>
        <v>rg:None</v>
      </c>
      <c r="M9" s="5" t="str">
        <f>IF(Table2[[#This Row],[!Type]]=M$1, M$1,"rg:None")</f>
        <v>rg:None</v>
      </c>
      <c r="N9" s="5" t="str">
        <f>IF(Table2[[#This Row],[!Type]]=N$1, N$1,"rg:None")</f>
        <v>rg:None</v>
      </c>
      <c r="O9" s="5" t="str">
        <f>IF(Table2[[#This Row],[!Type]]=O$1, O$1,"rg:None")</f>
        <v>string</v>
      </c>
      <c r="P9" s="5" t="str">
        <f>IF(Table2[[#This Row],[!Type]]=P$1, P$1,"rg:None")</f>
        <v>rg:None</v>
      </c>
      <c r="Q9" s="10" t="str">
        <f>IF(LEN(Table2[[#This Row],[!Length]]) &gt; 0, Table2[[#This Row],[!Length]], "rg:None")</f>
        <v>rg:None</v>
      </c>
      <c r="R9" s="10" t="str">
        <f>IF(LEN(Table2[[#This Row],[!Name]]) &gt; 0, Table2[[#This Row],[!Name]], "rg:None")</f>
        <v>status</v>
      </c>
      <c r="S9" s="10" t="str">
        <f>IF(LEN(Table2[[#This Row],[!Description]]) &gt; 0, Table2[[#This Row],[!Description]], "rg:None")</f>
        <v>Enumerated type of Status - Inactive,  Active,  Archived</v>
      </c>
      <c r="T9" s="10" t="str">
        <f>IF(LEN(Table2[[#This Row],[!FK]])&gt;0,Table2[[#This Row],[!FK]],"rg:None")</f>
        <v>rg:None</v>
      </c>
      <c r="U9" s="10" t="str">
        <f>IF(LEN(concatif2(A:A,Table2[[#This Row],[!Table]],G:G,"Y",D:D,",")) &gt; 0,"rg:[ { 'req' : '"&amp;concatif2(A:A,Table2[[#This Row],[!Table]],G:G,"Y",D:D,"' }, { 'req': '")&amp;"'} ]","rg:[]")</f>
        <v>rg:[ { 'req' : 'id'} ]</v>
      </c>
    </row>
    <row r="10" spans="1:21" x14ac:dyDescent="0.3">
      <c r="A10" s="3" t="s">
        <v>4</v>
      </c>
      <c r="B10" s="3" t="s">
        <v>24</v>
      </c>
      <c r="C10" s="3"/>
      <c r="D10" s="3" t="s">
        <v>25</v>
      </c>
      <c r="E10" s="3" t="s">
        <v>7</v>
      </c>
      <c r="F10" s="3" t="s">
        <v>7</v>
      </c>
      <c r="G10" s="4"/>
      <c r="H10" s="5" t="str">
        <f t="shared" si="0"/>
        <v>Defs</v>
      </c>
      <c r="I10" t="str">
        <f>IF(Table2[[#This Row],[!Type]]=I$1, I$1,"rg:None")</f>
        <v>boolean</v>
      </c>
      <c r="J10" t="str">
        <f>IF(Table2[[#This Row],[!Type]]=J$1, J$1,"rg:None")</f>
        <v>rg:None</v>
      </c>
      <c r="K10" t="str">
        <f>IF(Table2[[#This Row],[!Type]]=K$1, K$1,"rg:None")</f>
        <v>rg:None</v>
      </c>
      <c r="L10" s="10" t="str">
        <f>IF(Table2[[#This Row],[!Type]]=L$1, L$1,"rg:None")</f>
        <v>rg:None</v>
      </c>
      <c r="M10" s="5" t="str">
        <f>IF(Table2[[#This Row],[!Type]]=M$1, M$1,"rg:None")</f>
        <v>rg:None</v>
      </c>
      <c r="N10" s="5" t="str">
        <f>IF(Table2[[#This Row],[!Type]]=N$1, N$1,"rg:None")</f>
        <v>rg:None</v>
      </c>
      <c r="O10" s="5" t="str">
        <f>IF(Table2[[#This Row],[!Type]]=O$1, O$1,"rg:None")</f>
        <v>rg:None</v>
      </c>
      <c r="P10" s="5" t="str">
        <f>IF(Table2[[#This Row],[!Type]]=P$1, P$1,"rg:None")</f>
        <v>rg:None</v>
      </c>
      <c r="Q10" s="10" t="str">
        <f>IF(LEN(Table2[[#This Row],[!Length]]) &gt; 0, Table2[[#This Row],[!Length]], "rg:None")</f>
        <v>rg:None</v>
      </c>
      <c r="R10" s="10" t="str">
        <f>IF(LEN(Table2[[#This Row],[!Name]]) &gt; 0, Table2[[#This Row],[!Name]], "rg:None")</f>
        <v>isOutOfProvince</v>
      </c>
      <c r="S10" s="10" t="str">
        <f>IF(LEN(Table2[[#This Row],[!Description]]) &gt; 0, Table2[[#This Row],[!Description]], "rg:None")</f>
        <v>rg:None</v>
      </c>
      <c r="T10" s="10" t="str">
        <f>IF(LEN(Table2[[#This Row],[!FK]])&gt;0,Table2[[#This Row],[!FK]],"rg:None")</f>
        <v>rg:None</v>
      </c>
      <c r="U10" s="10" t="str">
        <f>IF(LEN(concatif2(A:A,Table2[[#This Row],[!Table]],G:G,"Y",D:D,",")) &gt; 0,"rg:[ { 'req' : '"&amp;concatif2(A:A,Table2[[#This Row],[!Table]],G:G,"Y",D:D,"' }, { 'req': '")&amp;"'} ]","rg:[]")</f>
        <v>rg:[ { 'req' : 'id'} ]</v>
      </c>
    </row>
    <row r="11" spans="1:21" x14ac:dyDescent="0.3">
      <c r="A11" s="3" t="s">
        <v>4</v>
      </c>
      <c r="B11" s="3" t="s">
        <v>17</v>
      </c>
      <c r="C11" s="3"/>
      <c r="D11" s="17" t="s">
        <v>27</v>
      </c>
      <c r="E11" s="3" t="s">
        <v>7</v>
      </c>
      <c r="F11" s="3" t="s">
        <v>27</v>
      </c>
      <c r="G11" s="4"/>
      <c r="H11" s="5" t="str">
        <f t="shared" si="0"/>
        <v>Defs</v>
      </c>
      <c r="I11" t="str">
        <f>IF(Table2[[#This Row],[!Type]]=I$1, I$1,"rg:None")</f>
        <v>rg:None</v>
      </c>
      <c r="J11" t="str">
        <f>IF(Table2[[#This Row],[!Type]]=J$1, J$1,"rg:None")</f>
        <v>rg:None</v>
      </c>
      <c r="K11" t="str">
        <f>IF(Table2[[#This Row],[!Type]]=K$1, K$1,"rg:None")</f>
        <v>rg:None</v>
      </c>
      <c r="L11" s="10" t="str">
        <f>IF(Table2[[#This Row],[!Type]]=L$1, L$1,"rg:None")</f>
        <v>rg:None</v>
      </c>
      <c r="M11" s="5" t="str">
        <f>IF(Table2[[#This Row],[!Type]]=M$1, M$1,"rg:None")</f>
        <v>rg:None</v>
      </c>
      <c r="N11" s="5" t="str">
        <f>IF(Table2[[#This Row],[!Type]]=N$1, N$1,"rg:None")</f>
        <v>ref</v>
      </c>
      <c r="O11" s="5" t="str">
        <f>IF(Table2[[#This Row],[!Type]]=O$1, O$1,"rg:None")</f>
        <v>rg:None</v>
      </c>
      <c r="P11" s="5" t="str">
        <f>IF(Table2[[#This Row],[!Type]]=P$1, P$1,"rg:None")</f>
        <v>rg:None</v>
      </c>
      <c r="Q11" s="10" t="str">
        <f>IF(LEN(Table2[[#This Row],[!Length]]) &gt; 0, Table2[[#This Row],[!Length]], "rg:None")</f>
        <v>rg:None</v>
      </c>
      <c r="R11" s="10" t="str">
        <f>IF(LEN(Table2[[#This Row],[!Name]]) &gt; 0, Table2[[#This Row],[!Name]], "rg:None")</f>
        <v>ServiceArea</v>
      </c>
      <c r="S11" s="10" t="str">
        <f>IF(LEN(Table2[[#This Row],[!Description]]) &gt; 0, Table2[[#This Row],[!Description]], "rg:None")</f>
        <v>rg:None</v>
      </c>
      <c r="T11" s="10" t="str">
        <f>IF(LEN(Table2[[#This Row],[!FK]])&gt;0,Table2[[#This Row],[!FK]],"rg:None")</f>
        <v>ServiceArea</v>
      </c>
      <c r="U11" s="10" t="str">
        <f>IF(LEN(concatif2(A:A,Table2[[#This Row],[!Table]],G:G,"Y",D:D,",")) &gt; 0,"rg:[ { 'req' : '"&amp;concatif2(A:A,Table2[[#This Row],[!Table]],G:G,"Y",D:D,"' }, { 'req': '")&amp;"'} ]","rg:[]")</f>
        <v>rg:[ { 'req' : 'id'} ]</v>
      </c>
    </row>
    <row r="12" spans="1:21" x14ac:dyDescent="0.3">
      <c r="A12" s="3" t="s">
        <v>4</v>
      </c>
      <c r="B12" s="3" t="s">
        <v>10</v>
      </c>
      <c r="C12" s="3"/>
      <c r="D12" s="3" t="s">
        <v>28</v>
      </c>
      <c r="E12" s="3" t="s">
        <v>29</v>
      </c>
      <c r="F12" s="3" t="s">
        <v>7</v>
      </c>
      <c r="G12" s="4"/>
      <c r="H12" s="5" t="str">
        <f t="shared" si="0"/>
        <v>Defs</v>
      </c>
      <c r="I12" t="str">
        <f>IF(Table2[[#This Row],[!Type]]=I$1, I$1,"rg:None")</f>
        <v>rg:None</v>
      </c>
      <c r="J12" t="str">
        <f>IF(Table2[[#This Row],[!Type]]=J$1, J$1,"rg:None")</f>
        <v>rg:None</v>
      </c>
      <c r="K12" t="str">
        <f>IF(Table2[[#This Row],[!Type]]=K$1, K$1,"rg:None")</f>
        <v>rg:None</v>
      </c>
      <c r="L12" s="10" t="str">
        <f>IF(Table2[[#This Row],[!Type]]=L$1, L$1,"rg:None")</f>
        <v>rg:None</v>
      </c>
      <c r="M12" s="5" t="str">
        <f>IF(Table2[[#This Row],[!Type]]=M$1, M$1,"rg:None")</f>
        <v>rg:None</v>
      </c>
      <c r="N12" s="5" t="str">
        <f>IF(Table2[[#This Row],[!Type]]=N$1, N$1,"rg:None")</f>
        <v>rg:None</v>
      </c>
      <c r="O12" s="5" t="str">
        <f>IF(Table2[[#This Row],[!Type]]=O$1, O$1,"rg:None")</f>
        <v>string</v>
      </c>
      <c r="P12" s="5" t="str">
        <f>IF(Table2[[#This Row],[!Type]]=P$1, P$1,"rg:None")</f>
        <v>rg:None</v>
      </c>
      <c r="Q12" s="10" t="str">
        <f>IF(LEN(Table2[[#This Row],[!Length]]) &gt; 0, Table2[[#This Row],[!Length]], "rg:None")</f>
        <v>rg:None</v>
      </c>
      <c r="R12" s="10" t="str">
        <f>IF(LEN(Table2[[#This Row],[!Name]]) &gt; 0, Table2[[#This Row],[!Name]], "rg:None")</f>
        <v>homeTerminalAddr1</v>
      </c>
      <c r="S12" s="10" t="str">
        <f>IF(LEN(Table2[[#This Row],[!Description]]) &gt; 0, Table2[[#This Row],[!Description]], "rg:None")</f>
        <v>Address 1 of physical location of the School Bus.</v>
      </c>
      <c r="T12" s="10" t="str">
        <f>IF(LEN(Table2[[#This Row],[!FK]])&gt;0,Table2[[#This Row],[!FK]],"rg:None")</f>
        <v>rg:None</v>
      </c>
      <c r="U12" s="10" t="str">
        <f>IF(LEN(concatif2(A:A,Table2[[#This Row],[!Table]],G:G,"Y",D:D,",")) &gt; 0,"rg:[ { 'req' : '"&amp;concatif2(A:A,Table2[[#This Row],[!Table]],G:G,"Y",D:D,"' }, { 'req': '")&amp;"'} ]","rg:[]")</f>
        <v>rg:[ { 'req' : 'id'} ]</v>
      </c>
    </row>
    <row r="13" spans="1:21" x14ac:dyDescent="0.3">
      <c r="A13" s="3" t="s">
        <v>4</v>
      </c>
      <c r="B13" s="3" t="s">
        <v>10</v>
      </c>
      <c r="C13" s="3"/>
      <c r="D13" s="3" t="s">
        <v>30</v>
      </c>
      <c r="E13" s="3" t="s">
        <v>31</v>
      </c>
      <c r="F13" s="3" t="s">
        <v>7</v>
      </c>
      <c r="G13" s="4"/>
      <c r="H13" s="5" t="str">
        <f t="shared" si="0"/>
        <v>Defs</v>
      </c>
      <c r="I13" t="str">
        <f>IF(Table2[[#This Row],[!Type]]=I$1, I$1,"rg:None")</f>
        <v>rg:None</v>
      </c>
      <c r="J13" t="str">
        <f>IF(Table2[[#This Row],[!Type]]=J$1, J$1,"rg:None")</f>
        <v>rg:None</v>
      </c>
      <c r="K13" t="str">
        <f>IF(Table2[[#This Row],[!Type]]=K$1, K$1,"rg:None")</f>
        <v>rg:None</v>
      </c>
      <c r="L13" s="10" t="str">
        <f>IF(Table2[[#This Row],[!Type]]=L$1, L$1,"rg:None")</f>
        <v>rg:None</v>
      </c>
      <c r="M13" s="5" t="str">
        <f>IF(Table2[[#This Row],[!Type]]=M$1, M$1,"rg:None")</f>
        <v>rg:None</v>
      </c>
      <c r="N13" s="5" t="str">
        <f>IF(Table2[[#This Row],[!Type]]=N$1, N$1,"rg:None")</f>
        <v>rg:None</v>
      </c>
      <c r="O13" s="5" t="str">
        <f>IF(Table2[[#This Row],[!Type]]=O$1, O$1,"rg:None")</f>
        <v>string</v>
      </c>
      <c r="P13" s="5" t="str">
        <f>IF(Table2[[#This Row],[!Type]]=P$1, P$1,"rg:None")</f>
        <v>rg:None</v>
      </c>
      <c r="Q13" s="10" t="str">
        <f>IF(LEN(Table2[[#This Row],[!Length]]) &gt; 0, Table2[[#This Row],[!Length]], "rg:None")</f>
        <v>rg:None</v>
      </c>
      <c r="R13" s="10" t="str">
        <f>IF(LEN(Table2[[#This Row],[!Name]]) &gt; 0, Table2[[#This Row],[!Name]], "rg:None")</f>
        <v>homeTerminalAddr2</v>
      </c>
      <c r="S13" s="10" t="str">
        <f>IF(LEN(Table2[[#This Row],[!Description]]) &gt; 0, Table2[[#This Row],[!Description]], "rg:None")</f>
        <v>Address 2 of physical location of the School Bus.</v>
      </c>
      <c r="T13" s="10" t="str">
        <f>IF(LEN(Table2[[#This Row],[!FK]])&gt;0,Table2[[#This Row],[!FK]],"rg:None")</f>
        <v>rg:None</v>
      </c>
      <c r="U13" s="10" t="str">
        <f>IF(LEN(concatif2(A:A,Table2[[#This Row],[!Table]],G:G,"Y",D:D,",")) &gt; 0,"rg:[ { 'req' : '"&amp;concatif2(A:A,Table2[[#This Row],[!Table]],G:G,"Y",D:D,"' }, { 'req': '")&amp;"'} ]","rg:[]")</f>
        <v>rg:[ { 'req' : 'id'} ]</v>
      </c>
    </row>
    <row r="14" spans="1:21" x14ac:dyDescent="0.3">
      <c r="A14" s="3" t="s">
        <v>4</v>
      </c>
      <c r="B14" s="3" t="s">
        <v>17</v>
      </c>
      <c r="C14" s="3"/>
      <c r="D14" s="3" t="s">
        <v>32</v>
      </c>
      <c r="E14" s="3" t="s">
        <v>33</v>
      </c>
      <c r="F14" s="3" t="s">
        <v>34</v>
      </c>
      <c r="G14" s="4"/>
      <c r="H14" s="5" t="str">
        <f t="shared" si="0"/>
        <v>Defs</v>
      </c>
      <c r="I14" t="str">
        <f>IF(Table2[[#This Row],[!Type]]=I$1, I$1,"rg:None")</f>
        <v>rg:None</v>
      </c>
      <c r="J14" t="str">
        <f>IF(Table2[[#This Row],[!Type]]=J$1, J$1,"rg:None")</f>
        <v>rg:None</v>
      </c>
      <c r="K14" t="str">
        <f>IF(Table2[[#This Row],[!Type]]=K$1, K$1,"rg:None")</f>
        <v>rg:None</v>
      </c>
      <c r="L14" s="10" t="str">
        <f>IF(Table2[[#This Row],[!Type]]=L$1, L$1,"rg:None")</f>
        <v>rg:None</v>
      </c>
      <c r="M14" s="5" t="str">
        <f>IF(Table2[[#This Row],[!Type]]=M$1, M$1,"rg:None")</f>
        <v>rg:None</v>
      </c>
      <c r="N14" s="5" t="str">
        <f>IF(Table2[[#This Row],[!Type]]=N$1, N$1,"rg:None")</f>
        <v>ref</v>
      </c>
      <c r="O14" s="5" t="str">
        <f>IF(Table2[[#This Row],[!Type]]=O$1, O$1,"rg:None")</f>
        <v>rg:None</v>
      </c>
      <c r="P14" s="5" t="str">
        <f>IF(Table2[[#This Row],[!Type]]=P$1, P$1,"rg:None")</f>
        <v>rg:None</v>
      </c>
      <c r="Q14" s="10" t="str">
        <f>IF(LEN(Table2[[#This Row],[!Length]]) &gt; 0, Table2[[#This Row],[!Length]], "rg:None")</f>
        <v>rg:None</v>
      </c>
      <c r="R14" s="10" t="str">
        <f>IF(LEN(Table2[[#This Row],[!Name]]) &gt; 0, Table2[[#This Row],[!Name]], "rg:None")</f>
        <v>homeTerminalCity</v>
      </c>
      <c r="S14" s="10" t="str">
        <f>IF(LEN(Table2[[#This Row],[!Description]]) &gt; 0, Table2[[#This Row],[!Description]], "rg:None")</f>
        <v>City of physical location of the School Bus.</v>
      </c>
      <c r="T14" s="10" t="str">
        <f>IF(LEN(Table2[[#This Row],[!FK]])&gt;0,Table2[[#This Row],[!FK]],"rg:None")</f>
        <v>City</v>
      </c>
      <c r="U14" s="10" t="str">
        <f>IF(LEN(concatif2(A:A,Table2[[#This Row],[!Table]],G:G,"Y",D:D,",")) &gt; 0,"rg:[ { 'req' : '"&amp;concatif2(A:A,Table2[[#This Row],[!Table]],G:G,"Y",D:D,"' }, { 'req': '")&amp;"'} ]","rg:[]")</f>
        <v>rg:[ { 'req' : 'id'} ]</v>
      </c>
    </row>
    <row r="15" spans="1:21" x14ac:dyDescent="0.3">
      <c r="A15" s="3" t="s">
        <v>4</v>
      </c>
      <c r="B15" s="3" t="s">
        <v>10</v>
      </c>
      <c r="C15" s="3"/>
      <c r="D15" s="3" t="s">
        <v>35</v>
      </c>
      <c r="E15" s="3" t="s">
        <v>36</v>
      </c>
      <c r="F15" s="3" t="s">
        <v>7</v>
      </c>
      <c r="G15" s="4"/>
      <c r="H15" s="5" t="str">
        <f t="shared" si="0"/>
        <v>Defs</v>
      </c>
      <c r="I15" t="str">
        <f>IF(Table2[[#This Row],[!Type]]=I$1, I$1,"rg:None")</f>
        <v>rg:None</v>
      </c>
      <c r="J15" t="str">
        <f>IF(Table2[[#This Row],[!Type]]=J$1, J$1,"rg:None")</f>
        <v>rg:None</v>
      </c>
      <c r="K15" t="str">
        <f>IF(Table2[[#This Row],[!Type]]=K$1, K$1,"rg:None")</f>
        <v>rg:None</v>
      </c>
      <c r="L15" s="10" t="str">
        <f>IF(Table2[[#This Row],[!Type]]=L$1, L$1,"rg:None")</f>
        <v>rg:None</v>
      </c>
      <c r="M15" s="5" t="str">
        <f>IF(Table2[[#This Row],[!Type]]=M$1, M$1,"rg:None")</f>
        <v>rg:None</v>
      </c>
      <c r="N15" s="5" t="str">
        <f>IF(Table2[[#This Row],[!Type]]=N$1, N$1,"rg:None")</f>
        <v>rg:None</v>
      </c>
      <c r="O15" s="5" t="str">
        <f>IF(Table2[[#This Row],[!Type]]=O$1, O$1,"rg:None")</f>
        <v>string</v>
      </c>
      <c r="P15" s="5" t="str">
        <f>IF(Table2[[#This Row],[!Type]]=P$1, P$1,"rg:None")</f>
        <v>rg:None</v>
      </c>
      <c r="Q15" s="10" t="str">
        <f>IF(LEN(Table2[[#This Row],[!Length]]) &gt; 0, Table2[[#This Row],[!Length]], "rg:None")</f>
        <v>rg:None</v>
      </c>
      <c r="R15" s="10" t="str">
        <f>IF(LEN(Table2[[#This Row],[!Name]]) &gt; 0, Table2[[#This Row],[!Name]], "rg:None")</f>
        <v>homeTerminalProvince</v>
      </c>
      <c r="S15" s="10" t="str">
        <f>IF(LEN(Table2[[#This Row],[!Description]]) &gt; 0, Table2[[#This Row],[!Description]], "rg:None")</f>
        <v>Province of physical location of the School Bus - free form.</v>
      </c>
      <c r="T15" s="10" t="str">
        <f>IF(LEN(Table2[[#This Row],[!FK]])&gt;0,Table2[[#This Row],[!FK]],"rg:None")</f>
        <v>rg:None</v>
      </c>
      <c r="U15" s="10" t="str">
        <f>IF(LEN(concatif2(A:A,Table2[[#This Row],[!Table]],G:G,"Y",D:D,",")) &gt; 0,"rg:[ { 'req' : '"&amp;concatif2(A:A,Table2[[#This Row],[!Table]],G:G,"Y",D:D,"' }, { 'req': '")&amp;"'} ]","rg:[]")</f>
        <v>rg:[ { 'req' : 'id'} ]</v>
      </c>
    </row>
    <row r="16" spans="1:21" x14ac:dyDescent="0.3">
      <c r="A16" s="3" t="s">
        <v>4</v>
      </c>
      <c r="B16" s="3" t="s">
        <v>10</v>
      </c>
      <c r="C16" s="3"/>
      <c r="D16" s="3" t="s">
        <v>37</v>
      </c>
      <c r="E16" s="3" t="s">
        <v>38</v>
      </c>
      <c r="F16" s="3" t="s">
        <v>7</v>
      </c>
      <c r="G16" s="4"/>
      <c r="H16" s="5" t="str">
        <f t="shared" si="0"/>
        <v>Defs</v>
      </c>
      <c r="I16" t="str">
        <f>IF(Table2[[#This Row],[!Type]]=I$1, I$1,"rg:None")</f>
        <v>rg:None</v>
      </c>
      <c r="J16" t="str">
        <f>IF(Table2[[#This Row],[!Type]]=J$1, J$1,"rg:None")</f>
        <v>rg:None</v>
      </c>
      <c r="K16" t="str">
        <f>IF(Table2[[#This Row],[!Type]]=K$1, K$1,"rg:None")</f>
        <v>rg:None</v>
      </c>
      <c r="L16" s="10" t="str">
        <f>IF(Table2[[#This Row],[!Type]]=L$1, L$1,"rg:None")</f>
        <v>rg:None</v>
      </c>
      <c r="M16" s="5" t="str">
        <f>IF(Table2[[#This Row],[!Type]]=M$1, M$1,"rg:None")</f>
        <v>rg:None</v>
      </c>
      <c r="N16" s="5" t="str">
        <f>IF(Table2[[#This Row],[!Type]]=N$1, N$1,"rg:None")</f>
        <v>rg:None</v>
      </c>
      <c r="O16" s="5" t="str">
        <f>IF(Table2[[#This Row],[!Type]]=O$1, O$1,"rg:None")</f>
        <v>string</v>
      </c>
      <c r="P16" s="5" t="str">
        <f>IF(Table2[[#This Row],[!Type]]=P$1, P$1,"rg:None")</f>
        <v>rg:None</v>
      </c>
      <c r="Q16" s="10" t="str">
        <f>IF(LEN(Table2[[#This Row],[!Length]]) &gt; 0, Table2[[#This Row],[!Length]], "rg:None")</f>
        <v>rg:None</v>
      </c>
      <c r="R16" s="10" t="str">
        <f>IF(LEN(Table2[[#This Row],[!Name]]) &gt; 0, Table2[[#This Row],[!Name]], "rg:None")</f>
        <v>homeTerminalPostalCode</v>
      </c>
      <c r="S16" s="10" t="str">
        <f>IF(LEN(Table2[[#This Row],[!Description]]) &gt; 0, Table2[[#This Row],[!Description]], "rg:None")</f>
        <v>Postal Code of physical location of the School Bus.</v>
      </c>
      <c r="T16" s="10" t="str">
        <f>IF(LEN(Table2[[#This Row],[!FK]])&gt;0,Table2[[#This Row],[!FK]],"rg:None")</f>
        <v>rg:None</v>
      </c>
      <c r="U16" s="10" t="str">
        <f>IF(LEN(concatif2(A:A,Table2[[#This Row],[!Table]],G:G,"Y",D:D,",")) &gt; 0,"rg:[ { 'req' : '"&amp;concatif2(A:A,Table2[[#This Row],[!Table]],G:G,"Y",D:D,"' }, { 'req': '")&amp;"'} ]","rg:[]")</f>
        <v>rg:[ { 'req' : 'id'} ]</v>
      </c>
    </row>
    <row r="17" spans="1:21" x14ac:dyDescent="0.3">
      <c r="A17" s="3" t="s">
        <v>4</v>
      </c>
      <c r="B17" s="3" t="s">
        <v>10</v>
      </c>
      <c r="C17" s="3"/>
      <c r="D17" s="3" t="s">
        <v>39</v>
      </c>
      <c r="E17" s="3" t="s">
        <v>40</v>
      </c>
      <c r="F17" s="3" t="s">
        <v>7</v>
      </c>
      <c r="G17" s="4"/>
      <c r="H17" s="5" t="str">
        <f t="shared" si="0"/>
        <v>Defs</v>
      </c>
      <c r="I17" t="str">
        <f>IF(Table2[[#This Row],[!Type]]=I$1, I$1,"rg:None")</f>
        <v>rg:None</v>
      </c>
      <c r="J17" t="str">
        <f>IF(Table2[[#This Row],[!Type]]=J$1, J$1,"rg:None")</f>
        <v>rg:None</v>
      </c>
      <c r="K17" t="str">
        <f>IF(Table2[[#This Row],[!Type]]=K$1, K$1,"rg:None")</f>
        <v>rg:None</v>
      </c>
      <c r="L17" s="10" t="str">
        <f>IF(Table2[[#This Row],[!Type]]=L$1, L$1,"rg:None")</f>
        <v>rg:None</v>
      </c>
      <c r="M17" s="5" t="str">
        <f>IF(Table2[[#This Row],[!Type]]=M$1, M$1,"rg:None")</f>
        <v>rg:None</v>
      </c>
      <c r="N17" s="5" t="str">
        <f>IF(Table2[[#This Row],[!Type]]=N$1, N$1,"rg:None")</f>
        <v>rg:None</v>
      </c>
      <c r="O17" s="5" t="str">
        <f>IF(Table2[[#This Row],[!Type]]=O$1, O$1,"rg:None")</f>
        <v>string</v>
      </c>
      <c r="P17" s="5" t="str">
        <f>IF(Table2[[#This Row],[!Type]]=P$1, P$1,"rg:None")</f>
        <v>rg:None</v>
      </c>
      <c r="Q17" s="10" t="str">
        <f>IF(LEN(Table2[[#This Row],[!Length]]) &gt; 0, Table2[[#This Row],[!Length]], "rg:None")</f>
        <v>rg:None</v>
      </c>
      <c r="R17" s="10" t="str">
        <f>IF(LEN(Table2[[#This Row],[!Name]]) &gt; 0, Table2[[#This Row],[!Name]], "rg:None")</f>
        <v>homeTerminalComment</v>
      </c>
      <c r="S17" s="10" t="str">
        <f>IF(LEN(Table2[[#This Row],[!Description]]) &gt; 0, Table2[[#This Row],[!Description]], "rg:None")</f>
        <v>A comment about the physical location of the bus so that the Inspector can more easily find it for an inspection</v>
      </c>
      <c r="T17" s="10" t="str">
        <f>IF(LEN(Table2[[#This Row],[!FK]])&gt;0,Table2[[#This Row],[!FK]],"rg:None")</f>
        <v>rg:None</v>
      </c>
      <c r="U17" s="10" t="str">
        <f>IF(LEN(concatif2(A:A,Table2[[#This Row],[!Table]],G:G,"Y",D:D,",")) &gt; 0,"rg:[ { 'req' : '"&amp;concatif2(A:A,Table2[[#This Row],[!Table]],G:G,"Y",D:D,"' }, { 'req': '")&amp;"'} ]","rg:[]")</f>
        <v>rg:[ { 'req' : 'id'} ]</v>
      </c>
    </row>
    <row r="18" spans="1:21" x14ac:dyDescent="0.3">
      <c r="A18" s="3" t="s">
        <v>4</v>
      </c>
      <c r="B18" s="3" t="s">
        <v>10</v>
      </c>
      <c r="C18" s="3"/>
      <c r="D18" s="3" t="s">
        <v>41</v>
      </c>
      <c r="E18" s="3" t="s">
        <v>42</v>
      </c>
      <c r="F18" s="3" t="s">
        <v>7</v>
      </c>
      <c r="G18" s="4"/>
      <c r="H18" s="5" t="str">
        <f t="shared" si="0"/>
        <v>Defs</v>
      </c>
      <c r="I18" t="str">
        <f>IF(Table2[[#This Row],[!Type]]=I$1, I$1,"rg:None")</f>
        <v>rg:None</v>
      </c>
      <c r="J18" t="str">
        <f>IF(Table2[[#This Row],[!Type]]=J$1, J$1,"rg:None")</f>
        <v>rg:None</v>
      </c>
      <c r="K18" t="str">
        <f>IF(Table2[[#This Row],[!Type]]=K$1, K$1,"rg:None")</f>
        <v>rg:None</v>
      </c>
      <c r="L18" s="10" t="str">
        <f>IF(Table2[[#This Row],[!Type]]=L$1, L$1,"rg:None")</f>
        <v>rg:None</v>
      </c>
      <c r="M18" s="5" t="str">
        <f>IF(Table2[[#This Row],[!Type]]=M$1, M$1,"rg:None")</f>
        <v>rg:None</v>
      </c>
      <c r="N18" s="5" t="str">
        <f>IF(Table2[[#This Row],[!Type]]=N$1, N$1,"rg:None")</f>
        <v>rg:None</v>
      </c>
      <c r="O18" s="5" t="str">
        <f>IF(Table2[[#This Row],[!Type]]=O$1, O$1,"rg:None")</f>
        <v>string</v>
      </c>
      <c r="P18" s="5" t="str">
        <f>IF(Table2[[#This Row],[!Type]]=P$1, P$1,"rg:None")</f>
        <v>rg:None</v>
      </c>
      <c r="Q18" s="10" t="str">
        <f>IF(LEN(Table2[[#This Row],[!Length]]) &gt; 0, Table2[[#This Row],[!Length]], "rg:None")</f>
        <v>rg:None</v>
      </c>
      <c r="R18" s="10" t="str">
        <f>IF(LEN(Table2[[#This Row],[!Name]]) &gt; 0, Table2[[#This Row],[!Name]], "rg:None")</f>
        <v>restrictions</v>
      </c>
      <c r="S18" s="10" t="str">
        <f>IF(LEN(Table2[[#This Row],[!Description]]) &gt; 0, Table2[[#This Row],[!Description]], "rg:None")</f>
        <v>Text of any restrictions to be printed on the school bus permit.</v>
      </c>
      <c r="T18" s="10" t="str">
        <f>IF(LEN(Table2[[#This Row],[!FK]])&gt;0,Table2[[#This Row],[!FK]],"rg:None")</f>
        <v>rg:None</v>
      </c>
      <c r="U18" s="10" t="str">
        <f>IF(LEN(concatif2(A:A,Table2[[#This Row],[!Table]],G:G,"Y",D:D,",")) &gt; 0,"rg:[ { 'req' : '"&amp;concatif2(A:A,Table2[[#This Row],[!Table]],G:G,"Y",D:D,"' }, { 'req': '")&amp;"'} ]","rg:[]")</f>
        <v>rg:[ { 'req' : 'id'} ]</v>
      </c>
    </row>
    <row r="19" spans="1:21" x14ac:dyDescent="0.3">
      <c r="A19" s="3" t="s">
        <v>4</v>
      </c>
      <c r="B19" s="3" t="s">
        <v>43</v>
      </c>
      <c r="C19" s="3"/>
      <c r="D19" s="3" t="s">
        <v>44</v>
      </c>
      <c r="E19" s="3" t="s">
        <v>45</v>
      </c>
      <c r="F19" s="3" t="s">
        <v>7</v>
      </c>
      <c r="G19" s="4"/>
      <c r="H19" s="5" t="str">
        <f t="shared" si="0"/>
        <v>Defs</v>
      </c>
      <c r="I19" t="str">
        <f>IF(Table2[[#This Row],[!Type]]=I$1, I$1,"rg:None")</f>
        <v>rg:None</v>
      </c>
      <c r="J19" t="str">
        <f>IF(Table2[[#This Row],[!Type]]=J$1, J$1,"rg:None")</f>
        <v>datetime</v>
      </c>
      <c r="K19" t="str">
        <f>IF(Table2[[#This Row],[!Type]]=K$1, K$1,"rg:None")</f>
        <v>rg:None</v>
      </c>
      <c r="L19" s="10" t="str">
        <f>IF(Table2[[#This Row],[!Type]]=L$1, L$1,"rg:None")</f>
        <v>rg:None</v>
      </c>
      <c r="M19" s="5" t="str">
        <f>IF(Table2[[#This Row],[!Type]]=M$1, M$1,"rg:None")</f>
        <v>rg:None</v>
      </c>
      <c r="N19" s="5" t="str">
        <f>IF(Table2[[#This Row],[!Type]]=N$1, N$1,"rg:None")</f>
        <v>rg:None</v>
      </c>
      <c r="O19" s="5" t="str">
        <f>IF(Table2[[#This Row],[!Type]]=O$1, O$1,"rg:None")</f>
        <v>rg:None</v>
      </c>
      <c r="P19" s="5" t="str">
        <f>IF(Table2[[#This Row],[!Type]]=P$1, P$1,"rg:None")</f>
        <v>rg:None</v>
      </c>
      <c r="Q19" s="10" t="str">
        <f>IF(LEN(Table2[[#This Row],[!Length]]) &gt; 0, Table2[[#This Row],[!Length]], "rg:None")</f>
        <v>rg:None</v>
      </c>
      <c r="R19" s="10" t="str">
        <f>IF(LEN(Table2[[#This Row],[!Name]]) &gt; 0, Table2[[#This Row],[!Name]], "rg:None")</f>
        <v>nextInspectionDate</v>
      </c>
      <c r="S19" s="10" t="str">
        <f>IF(LEN(Table2[[#This Row],[!Description]]) &gt; 0, Table2[[#This Row],[!Description]], "rg:None")</f>
        <v>The next inspection date for this School Bus. Set at the time an inspection is set.</v>
      </c>
      <c r="T19" s="10" t="str">
        <f>IF(LEN(Table2[[#This Row],[!FK]])&gt;0,Table2[[#This Row],[!FK]],"rg:None")</f>
        <v>rg:None</v>
      </c>
      <c r="U19" s="10" t="str">
        <f>IF(LEN(concatif2(A:A,Table2[[#This Row],[!Table]],G:G,"Y",D:D,",")) &gt; 0,"rg:[ { 'req' : '"&amp;concatif2(A:A,Table2[[#This Row],[!Table]],G:G,"Y",D:D,"' }, { 'req': '")&amp;"'} ]","rg:[]")</f>
        <v>rg:[ { 'req' : 'id'} ]</v>
      </c>
    </row>
    <row r="20" spans="1:21" x14ac:dyDescent="0.3">
      <c r="A20" s="3" t="s">
        <v>4</v>
      </c>
      <c r="B20" s="3" t="s">
        <v>10</v>
      </c>
      <c r="C20" s="3"/>
      <c r="D20" s="3" t="s">
        <v>46</v>
      </c>
      <c r="E20" s="3" t="s">
        <v>47</v>
      </c>
      <c r="F20" s="3" t="s">
        <v>7</v>
      </c>
      <c r="G20" s="4"/>
      <c r="H20" s="5" t="str">
        <f t="shared" si="0"/>
        <v>Defs</v>
      </c>
      <c r="I20" t="str">
        <f>IF(Table2[[#This Row],[!Type]]=I$1, I$1,"rg:None")</f>
        <v>rg:None</v>
      </c>
      <c r="J20" t="str">
        <f>IF(Table2[[#This Row],[!Type]]=J$1, J$1,"rg:None")</f>
        <v>rg:None</v>
      </c>
      <c r="K20" t="str">
        <f>IF(Table2[[#This Row],[!Type]]=K$1, K$1,"rg:None")</f>
        <v>rg:None</v>
      </c>
      <c r="L20" s="10" t="str">
        <f>IF(Table2[[#This Row],[!Type]]=L$1, L$1,"rg:None")</f>
        <v>rg:None</v>
      </c>
      <c r="M20" s="5" t="str">
        <f>IF(Table2[[#This Row],[!Type]]=M$1, M$1,"rg:None")</f>
        <v>rg:None</v>
      </c>
      <c r="N20" s="5" t="str">
        <f>IF(Table2[[#This Row],[!Type]]=N$1, N$1,"rg:None")</f>
        <v>rg:None</v>
      </c>
      <c r="O20" s="5" t="str">
        <f>IF(Table2[[#This Row],[!Type]]=O$1, O$1,"rg:None")</f>
        <v>string</v>
      </c>
      <c r="P20" s="5" t="str">
        <f>IF(Table2[[#This Row],[!Type]]=P$1, P$1,"rg:None")</f>
        <v>rg:None</v>
      </c>
      <c r="Q20" s="10" t="str">
        <f>IF(LEN(Table2[[#This Row],[!Length]]) &gt; 0, Table2[[#This Row],[!Length]], "rg:None")</f>
        <v>rg:None</v>
      </c>
      <c r="R20" s="10" t="str">
        <f>IF(LEN(Table2[[#This Row],[!Name]]) &gt; 0, Table2[[#This Row],[!Name]], "rg:None")</f>
        <v>nextInspectionType</v>
      </c>
      <c r="S20" s="10" t="str">
        <f>IF(LEN(Table2[[#This Row],[!Description]]) &gt; 0, Table2[[#This Row],[!Description]], "rg:None")</f>
        <v>An enumerated type (by the UI) to indicate the type of the next inspection - Annual or Re-inspection based on the Pass/Fail status of the most recent inspection.</v>
      </c>
      <c r="T20" s="10" t="str">
        <f>IF(LEN(Table2[[#This Row],[!FK]])&gt;0,Table2[[#This Row],[!FK]],"rg:None")</f>
        <v>rg:None</v>
      </c>
      <c r="U20" s="10" t="str">
        <f>IF(LEN(concatif2(A:A,Table2[[#This Row],[!Table]],G:G,"Y",D:D,",")) &gt; 0,"rg:[ { 'req' : '"&amp;concatif2(A:A,Table2[[#This Row],[!Table]],G:G,"Y",D:D,"' }, { 'req': '")&amp;"'} ]","rg:[]")</f>
        <v>rg:[ { 'req' : 'id'} ]</v>
      </c>
    </row>
    <row r="21" spans="1:21" x14ac:dyDescent="0.3">
      <c r="A21" s="3" t="s">
        <v>4</v>
      </c>
      <c r="B21" s="3" t="s">
        <v>17</v>
      </c>
      <c r="C21" s="3"/>
      <c r="D21" s="3" t="s">
        <v>48</v>
      </c>
      <c r="E21" s="3" t="s">
        <v>49</v>
      </c>
      <c r="F21" s="3" t="s">
        <v>50</v>
      </c>
      <c r="G21" s="4"/>
      <c r="H21" s="5" t="str">
        <f t="shared" si="0"/>
        <v>Defs</v>
      </c>
      <c r="I21" t="str">
        <f>IF(Table2[[#This Row],[!Type]]=I$1, I$1,"rg:None")</f>
        <v>rg:None</v>
      </c>
      <c r="J21" t="str">
        <f>IF(Table2[[#This Row],[!Type]]=J$1, J$1,"rg:None")</f>
        <v>rg:None</v>
      </c>
      <c r="K21" t="str">
        <f>IF(Table2[[#This Row],[!Type]]=K$1, K$1,"rg:None")</f>
        <v>rg:None</v>
      </c>
      <c r="L21" s="10" t="str">
        <f>IF(Table2[[#This Row],[!Type]]=L$1, L$1,"rg:None")</f>
        <v>rg:None</v>
      </c>
      <c r="M21" s="5" t="str">
        <f>IF(Table2[[#This Row],[!Type]]=M$1, M$1,"rg:None")</f>
        <v>rg:None</v>
      </c>
      <c r="N21" s="5" t="str">
        <f>IF(Table2[[#This Row],[!Type]]=N$1, N$1,"rg:None")</f>
        <v>ref</v>
      </c>
      <c r="O21" s="5" t="str">
        <f>IF(Table2[[#This Row],[!Type]]=O$1, O$1,"rg:None")</f>
        <v>rg:None</v>
      </c>
      <c r="P21" s="5" t="str">
        <f>IF(Table2[[#This Row],[!Type]]=P$1, P$1,"rg:None")</f>
        <v>rg:None</v>
      </c>
      <c r="Q21" s="10" t="str">
        <f>IF(LEN(Table2[[#This Row],[!Length]]) &gt; 0, Table2[[#This Row],[!Length]], "rg:None")</f>
        <v>rg:None</v>
      </c>
      <c r="R21" s="10" t="str">
        <f>IF(LEN(Table2[[#This Row],[!Name]]) &gt; 0, Table2[[#This Row],[!Name]], "rg:None")</f>
        <v>schoolBusDistrict</v>
      </c>
      <c r="S21" s="10" t="str">
        <f>IF(LEN(Table2[[#This Row],[!Description]]) &gt; 0, Table2[[#This Row],[!Description]], "rg:None")</f>
        <v>The School District in which the School Bus operates. The school bus may or may not be associated with the School District itself - we just track where it is regardless.</v>
      </c>
      <c r="T21" s="10" t="str">
        <f>IF(LEN(Table2[[#This Row],[!FK]])&gt;0,Table2[[#This Row],[!FK]],"rg:None")</f>
        <v>SchoolDistrict</v>
      </c>
      <c r="U21" s="10" t="str">
        <f>IF(LEN(concatif2(A:A,Table2[[#This Row],[!Table]],G:G,"Y",D:D,",")) &gt; 0,"rg:[ { 'req' : '"&amp;concatif2(A:A,Table2[[#This Row],[!Table]],G:G,"Y",D:D,"' }, { 'req': '")&amp;"'} ]","rg:[]")</f>
        <v>rg:[ { 'req' : 'id'} ]</v>
      </c>
    </row>
    <row r="22" spans="1:21" x14ac:dyDescent="0.3">
      <c r="A22" s="3" t="s">
        <v>4</v>
      </c>
      <c r="B22" s="3" t="s">
        <v>24</v>
      </c>
      <c r="C22" s="3"/>
      <c r="D22" s="3" t="s">
        <v>51</v>
      </c>
      <c r="E22" s="3" t="s">
        <v>52</v>
      </c>
      <c r="F22" s="3" t="s">
        <v>7</v>
      </c>
      <c r="G22" s="4"/>
      <c r="H22" s="5" t="str">
        <f t="shared" si="0"/>
        <v>Defs</v>
      </c>
      <c r="I22" t="str">
        <f>IF(Table2[[#This Row],[!Type]]=I$1, I$1,"rg:None")</f>
        <v>boolean</v>
      </c>
      <c r="J22" t="str">
        <f>IF(Table2[[#This Row],[!Type]]=J$1, J$1,"rg:None")</f>
        <v>rg:None</v>
      </c>
      <c r="K22" t="str">
        <f>IF(Table2[[#This Row],[!Type]]=K$1, K$1,"rg:None")</f>
        <v>rg:None</v>
      </c>
      <c r="L22" s="10" t="str">
        <f>IF(Table2[[#This Row],[!Type]]=L$1, L$1,"rg:None")</f>
        <v>rg:None</v>
      </c>
      <c r="M22" s="5" t="str">
        <f>IF(Table2[[#This Row],[!Type]]=M$1, M$1,"rg:None")</f>
        <v>rg:None</v>
      </c>
      <c r="N22" s="5" t="str">
        <f>IF(Table2[[#This Row],[!Type]]=N$1, N$1,"rg:None")</f>
        <v>rg:None</v>
      </c>
      <c r="O22" s="5" t="str">
        <f>IF(Table2[[#This Row],[!Type]]=O$1, O$1,"rg:None")</f>
        <v>rg:None</v>
      </c>
      <c r="P22" s="5" t="str">
        <f>IF(Table2[[#This Row],[!Type]]=P$1, P$1,"rg:None")</f>
        <v>rg:None</v>
      </c>
      <c r="Q22" s="10" t="str">
        <f>IF(LEN(Table2[[#This Row],[!Length]]) &gt; 0, Table2[[#This Row],[!Length]], "rg:None")</f>
        <v>rg:None</v>
      </c>
      <c r="R22" s="10" t="str">
        <f>IF(LEN(Table2[[#This Row],[!Name]]) &gt; 0, Table2[[#This Row],[!Name]], "rg:None")</f>
        <v>isIndependentSchool</v>
      </c>
      <c r="S22" s="10" t="str">
        <f>IF(LEN(Table2[[#This Row],[!Description]]) &gt; 0, Table2[[#This Row],[!Description]], "rg:None")</f>
        <v>True if the School Bus is associated with an Independent School. If true,  the name of the Independent School should be in the companion field.</v>
      </c>
      <c r="T22" s="10" t="str">
        <f>IF(LEN(Table2[[#This Row],[!FK]])&gt;0,Table2[[#This Row],[!FK]],"rg:None")</f>
        <v>rg:None</v>
      </c>
      <c r="U22" s="10" t="str">
        <f>IF(LEN(concatif2(A:A,Table2[[#This Row],[!Table]],G:G,"Y",D:D,",")) &gt; 0,"rg:[ { 'req' : '"&amp;concatif2(A:A,Table2[[#This Row],[!Table]],G:G,"Y",D:D,"' }, { 'req': '")&amp;"'} ]","rg:[]")</f>
        <v>rg:[ { 'req' : 'id'} ]</v>
      </c>
    </row>
    <row r="23" spans="1:21" x14ac:dyDescent="0.3">
      <c r="A23" s="3" t="s">
        <v>4</v>
      </c>
      <c r="B23" s="3" t="s">
        <v>10</v>
      </c>
      <c r="C23" s="3"/>
      <c r="D23" s="3" t="s">
        <v>53</v>
      </c>
      <c r="E23" s="3" t="s">
        <v>54</v>
      </c>
      <c r="F23" s="3" t="s">
        <v>7</v>
      </c>
      <c r="G23" s="4"/>
      <c r="H23" s="5" t="str">
        <f t="shared" si="0"/>
        <v>Defs</v>
      </c>
      <c r="I23" t="str">
        <f>IF(Table2[[#This Row],[!Type]]=I$1, I$1,"rg:None")</f>
        <v>rg:None</v>
      </c>
      <c r="J23" t="str">
        <f>IF(Table2[[#This Row],[!Type]]=J$1, J$1,"rg:None")</f>
        <v>rg:None</v>
      </c>
      <c r="K23" t="str">
        <f>IF(Table2[[#This Row],[!Type]]=K$1, K$1,"rg:None")</f>
        <v>rg:None</v>
      </c>
      <c r="L23" s="10" t="str">
        <f>IF(Table2[[#This Row],[!Type]]=L$1, L$1,"rg:None")</f>
        <v>rg:None</v>
      </c>
      <c r="M23" s="5" t="str">
        <f>IF(Table2[[#This Row],[!Type]]=M$1, M$1,"rg:None")</f>
        <v>rg:None</v>
      </c>
      <c r="N23" s="5" t="str">
        <f>IF(Table2[[#This Row],[!Type]]=N$1, N$1,"rg:None")</f>
        <v>rg:None</v>
      </c>
      <c r="O23" s="5" t="str">
        <f>IF(Table2[[#This Row],[!Type]]=O$1, O$1,"rg:None")</f>
        <v>string</v>
      </c>
      <c r="P23" s="5" t="str">
        <f>IF(Table2[[#This Row],[!Type]]=P$1, P$1,"rg:None")</f>
        <v>rg:None</v>
      </c>
      <c r="Q23" s="10" t="str">
        <f>IF(LEN(Table2[[#This Row],[!Length]]) &gt; 0, Table2[[#This Row],[!Length]], "rg:None")</f>
        <v>rg:None</v>
      </c>
      <c r="R23" s="10" t="str">
        <f>IF(LEN(Table2[[#This Row],[!Name]]) &gt; 0, Table2[[#This Row],[!Name]], "rg:None")</f>
        <v>nameOfIndependentSchool</v>
      </c>
      <c r="S23" s="10" t="str">
        <f>IF(LEN(Table2[[#This Row],[!Description]]) &gt; 0, Table2[[#This Row],[!Description]], "rg:None")</f>
        <v>The name of the Independent School to which the School Bus is associated. Should be null if the companion isIndependentSchool is false.</v>
      </c>
      <c r="T23" s="10" t="str">
        <f>IF(LEN(Table2[[#This Row],[!FK]])&gt;0,Table2[[#This Row],[!FK]],"rg:None")</f>
        <v>rg:None</v>
      </c>
      <c r="U23" s="10" t="str">
        <f>IF(LEN(concatif2(A:A,Table2[[#This Row],[!Table]],G:G,"Y",D:D,",")) &gt; 0,"rg:[ { 'req' : '"&amp;concatif2(A:A,Table2[[#This Row],[!Table]],G:G,"Y",D:D,"' }, { 'req': '")&amp;"'} ]","rg:[]")</f>
        <v>rg:[ { 'req' : 'id'} ]</v>
      </c>
    </row>
    <row r="24" spans="1:21" x14ac:dyDescent="0.3">
      <c r="A24" s="3" t="s">
        <v>4</v>
      </c>
      <c r="B24" s="3" t="s">
        <v>10</v>
      </c>
      <c r="C24" s="3"/>
      <c r="D24" s="3" t="s">
        <v>55</v>
      </c>
      <c r="E24" s="3" t="s">
        <v>56</v>
      </c>
      <c r="F24" s="3" t="s">
        <v>7</v>
      </c>
      <c r="G24" s="4"/>
      <c r="H24" s="5" t="str">
        <f t="shared" si="0"/>
        <v>Defs</v>
      </c>
      <c r="I24" t="str">
        <f>IF(Table2[[#This Row],[!Type]]=I$1, I$1,"rg:None")</f>
        <v>rg:None</v>
      </c>
      <c r="J24" t="str">
        <f>IF(Table2[[#This Row],[!Type]]=J$1, J$1,"rg:None")</f>
        <v>rg:None</v>
      </c>
      <c r="K24" t="str">
        <f>IF(Table2[[#This Row],[!Type]]=K$1, K$1,"rg:None")</f>
        <v>rg:None</v>
      </c>
      <c r="L24" s="10" t="str">
        <f>IF(Table2[[#This Row],[!Type]]=L$1, L$1,"rg:None")</f>
        <v>rg:None</v>
      </c>
      <c r="M24" s="5" t="str">
        <f>IF(Table2[[#This Row],[!Type]]=M$1, M$1,"rg:None")</f>
        <v>rg:None</v>
      </c>
      <c r="N24" s="5" t="str">
        <f>IF(Table2[[#This Row],[!Type]]=N$1, N$1,"rg:None")</f>
        <v>rg:None</v>
      </c>
      <c r="O24" s="5" t="str">
        <f>IF(Table2[[#This Row],[!Type]]=O$1, O$1,"rg:None")</f>
        <v>string</v>
      </c>
      <c r="P24" s="5" t="str">
        <f>IF(Table2[[#This Row],[!Type]]=P$1, P$1,"rg:None")</f>
        <v>rg:None</v>
      </c>
      <c r="Q24" s="10" t="str">
        <f>IF(LEN(Table2[[#This Row],[!Length]]) &gt; 0, Table2[[#This Row],[!Length]], "rg:None")</f>
        <v>rg:None</v>
      </c>
      <c r="R24" s="10" t="str">
        <f>IF(LEN(Table2[[#This Row],[!Name]]) &gt; 0, Table2[[#This Row],[!Name]], "rg:None")</f>
        <v>schoolBusClass</v>
      </c>
      <c r="S24" s="10" t="str">
        <f>IF(LEN(Table2[[#This Row],[!Description]]) &gt; 0, Table2[[#This Row],[!Description]], "rg:None")</f>
        <v>The enumerated class of School Bus.</v>
      </c>
      <c r="T24" s="10" t="str">
        <f>IF(LEN(Table2[[#This Row],[!FK]])&gt;0,Table2[[#This Row],[!FK]],"rg:None")</f>
        <v>rg:None</v>
      </c>
      <c r="U24" s="10" t="str">
        <f>IF(LEN(concatif2(A:A,Table2[[#This Row],[!Table]],G:G,"Y",D:D,",")) &gt; 0,"rg:[ { 'req' : '"&amp;concatif2(A:A,Table2[[#This Row],[!Table]],G:G,"Y",D:D,"' }, { 'req': '")&amp;"'} ]","rg:[]")</f>
        <v>rg:[ { 'req' : 'id'} ]</v>
      </c>
    </row>
    <row r="25" spans="1:21" x14ac:dyDescent="0.3">
      <c r="A25" s="3" t="s">
        <v>4</v>
      </c>
      <c r="B25" s="3" t="s">
        <v>10</v>
      </c>
      <c r="C25" s="3"/>
      <c r="D25" s="3" t="s">
        <v>57</v>
      </c>
      <c r="E25" s="3" t="s">
        <v>58</v>
      </c>
      <c r="F25" s="3" t="s">
        <v>7</v>
      </c>
      <c r="G25" s="4"/>
      <c r="H25" s="5" t="str">
        <f t="shared" si="0"/>
        <v>Defs</v>
      </c>
      <c r="I25" t="str">
        <f>IF(Table2[[#This Row],[!Type]]=I$1, I$1,"rg:None")</f>
        <v>rg:None</v>
      </c>
      <c r="J25" t="str">
        <f>IF(Table2[[#This Row],[!Type]]=J$1, J$1,"rg:None")</f>
        <v>rg:None</v>
      </c>
      <c r="K25" t="str">
        <f>IF(Table2[[#This Row],[!Type]]=K$1, K$1,"rg:None")</f>
        <v>rg:None</v>
      </c>
      <c r="L25" s="10" t="str">
        <f>IF(Table2[[#This Row],[!Type]]=L$1, L$1,"rg:None")</f>
        <v>rg:None</v>
      </c>
      <c r="M25" s="5" t="str">
        <f>IF(Table2[[#This Row],[!Type]]=M$1, M$1,"rg:None")</f>
        <v>rg:None</v>
      </c>
      <c r="N25" s="5" t="str">
        <f>IF(Table2[[#This Row],[!Type]]=N$1, N$1,"rg:None")</f>
        <v>rg:None</v>
      </c>
      <c r="O25" s="5" t="str">
        <f>IF(Table2[[#This Row],[!Type]]=O$1, O$1,"rg:None")</f>
        <v>string</v>
      </c>
      <c r="P25" s="5" t="str">
        <f>IF(Table2[[#This Row],[!Type]]=P$1, P$1,"rg:None")</f>
        <v>rg:None</v>
      </c>
      <c r="Q25" s="10" t="str">
        <f>IF(LEN(Table2[[#This Row],[!Length]]) &gt; 0, Table2[[#This Row],[!Length]], "rg:None")</f>
        <v>rg:None</v>
      </c>
      <c r="R25" s="10" t="str">
        <f>IF(LEN(Table2[[#This Row],[!Name]]) &gt; 0, Table2[[#This Row],[!Name]], "rg:None")</f>
        <v>schoolBusBodyType</v>
      </c>
      <c r="S25" s="10" t="str">
        <f>IF(LEN(Table2[[#This Row],[!Description]]) &gt; 0, Table2[[#This Row],[!Description]], "rg:None")</f>
        <v>The enumerated body type of the School Bus.</v>
      </c>
      <c r="T25" s="10" t="str">
        <f>IF(LEN(Table2[[#This Row],[!FK]])&gt;0,Table2[[#This Row],[!FK]],"rg:None")</f>
        <v>rg:None</v>
      </c>
      <c r="U25" s="10" t="str">
        <f>IF(LEN(concatif2(A:A,Table2[[#This Row],[!Table]],G:G,"Y",D:D,",")) &gt; 0,"rg:[ { 'req' : '"&amp;concatif2(A:A,Table2[[#This Row],[!Table]],G:G,"Y",D:D,"' }, { 'req': '")&amp;"'} ]","rg:[]")</f>
        <v>rg:[ { 'req' : 'id'} ]</v>
      </c>
    </row>
    <row r="26" spans="1:21" x14ac:dyDescent="0.3">
      <c r="A26" s="3" t="s">
        <v>4</v>
      </c>
      <c r="B26" s="3" t="s">
        <v>10</v>
      </c>
      <c r="C26" s="3"/>
      <c r="D26" s="3" t="s">
        <v>59</v>
      </c>
      <c r="E26" s="3" t="s">
        <v>58</v>
      </c>
      <c r="F26" s="3" t="s">
        <v>7</v>
      </c>
      <c r="G26" s="4"/>
      <c r="H26" s="5" t="str">
        <f t="shared" si="0"/>
        <v>Defs</v>
      </c>
      <c r="I26" t="str">
        <f>IF(Table2[[#This Row],[!Type]]=I$1, I$1,"rg:None")</f>
        <v>rg:None</v>
      </c>
      <c r="J26" t="str">
        <f>IF(Table2[[#This Row],[!Type]]=J$1, J$1,"rg:None")</f>
        <v>rg:None</v>
      </c>
      <c r="K26" t="str">
        <f>IF(Table2[[#This Row],[!Type]]=K$1, K$1,"rg:None")</f>
        <v>rg:None</v>
      </c>
      <c r="L26" s="10" t="str">
        <f>IF(Table2[[#This Row],[!Type]]=L$1, L$1,"rg:None")</f>
        <v>rg:None</v>
      </c>
      <c r="M26" s="5" t="str">
        <f>IF(Table2[[#This Row],[!Type]]=M$1, M$1,"rg:None")</f>
        <v>rg:None</v>
      </c>
      <c r="N26" s="5" t="str">
        <f>IF(Table2[[#This Row],[!Type]]=N$1, N$1,"rg:None")</f>
        <v>rg:None</v>
      </c>
      <c r="O26" s="5" t="str">
        <f>IF(Table2[[#This Row],[!Type]]=O$1, O$1,"rg:None")</f>
        <v>string</v>
      </c>
      <c r="P26" s="5" t="str">
        <f>IF(Table2[[#This Row],[!Type]]=P$1, P$1,"rg:None")</f>
        <v>rg:None</v>
      </c>
      <c r="Q26" s="10" t="str">
        <f>IF(LEN(Table2[[#This Row],[!Length]]) &gt; 0, Table2[[#This Row],[!Length]], "rg:None")</f>
        <v>rg:None</v>
      </c>
      <c r="R26" s="10" t="str">
        <f>IF(LEN(Table2[[#This Row],[!Name]]) &gt; 0, Table2[[#This Row],[!Name]], "rg:None")</f>
        <v>schoolBusBodyTypeOther</v>
      </c>
      <c r="S26" s="10" t="str">
        <f>IF(LEN(Table2[[#This Row],[!Description]]) &gt; 0, Table2[[#This Row],[!Description]], "rg:None")</f>
        <v>The enumerated body type of the School Bus.</v>
      </c>
      <c r="T26" s="10" t="str">
        <f>IF(LEN(Table2[[#This Row],[!FK]])&gt;0,Table2[[#This Row],[!FK]],"rg:None")</f>
        <v>rg:None</v>
      </c>
      <c r="U26" s="10" t="str">
        <f>IF(LEN(concatif2(A:A,Table2[[#This Row],[!Table]],G:G,"Y",D:D,",")) &gt; 0,"rg:[ { 'req' : '"&amp;concatif2(A:A,Table2[[#This Row],[!Table]],G:G,"Y",D:D,"' }, { 'req': '")&amp;"'} ]","rg:[]")</f>
        <v>rg:[ { 'req' : 'id'} ]</v>
      </c>
    </row>
    <row r="27" spans="1:21" x14ac:dyDescent="0.3">
      <c r="A27" s="3" t="s">
        <v>4</v>
      </c>
      <c r="B27" s="3" t="s">
        <v>10</v>
      </c>
      <c r="C27" s="3"/>
      <c r="D27" s="3" t="s">
        <v>60</v>
      </c>
      <c r="E27" s="3" t="s">
        <v>61</v>
      </c>
      <c r="F27" s="3" t="s">
        <v>7</v>
      </c>
      <c r="G27" s="4"/>
      <c r="H27" s="5" t="str">
        <f t="shared" si="0"/>
        <v>Defs</v>
      </c>
      <c r="I27" t="str">
        <f>IF(Table2[[#This Row],[!Type]]=I$1, I$1,"rg:None")</f>
        <v>rg:None</v>
      </c>
      <c r="J27" t="str">
        <f>IF(Table2[[#This Row],[!Type]]=J$1, J$1,"rg:None")</f>
        <v>rg:None</v>
      </c>
      <c r="K27" t="str">
        <f>IF(Table2[[#This Row],[!Type]]=K$1, K$1,"rg:None")</f>
        <v>rg:None</v>
      </c>
      <c r="L27" s="10" t="str">
        <f>IF(Table2[[#This Row],[!Type]]=L$1, L$1,"rg:None")</f>
        <v>rg:None</v>
      </c>
      <c r="M27" s="5" t="str">
        <f>IF(Table2[[#This Row],[!Type]]=M$1, M$1,"rg:None")</f>
        <v>rg:None</v>
      </c>
      <c r="N27" s="5" t="str">
        <f>IF(Table2[[#This Row],[!Type]]=N$1, N$1,"rg:None")</f>
        <v>rg:None</v>
      </c>
      <c r="O27" s="5" t="str">
        <f>IF(Table2[[#This Row],[!Type]]=O$1, O$1,"rg:None")</f>
        <v>string</v>
      </c>
      <c r="P27" s="5" t="str">
        <f>IF(Table2[[#This Row],[!Type]]=P$1, P$1,"rg:None")</f>
        <v>rg:None</v>
      </c>
      <c r="Q27" s="10" t="str">
        <f>IF(LEN(Table2[[#This Row],[!Length]]) &gt; 0, Table2[[#This Row],[!Length]], "rg:None")</f>
        <v>rg:None</v>
      </c>
      <c r="R27" s="10" t="str">
        <f>IF(LEN(Table2[[#This Row],[!Name]]) &gt; 0, Table2[[#This Row],[!Name]], "rg:None")</f>
        <v>schoolBusUnitNumber</v>
      </c>
      <c r="S27" s="10" t="str">
        <f>IF(LEN(Table2[[#This Row],[!Description]]) &gt; 0, Table2[[#This Row],[!Description]], "rg:None")</f>
        <v>The unit number of the Bus as defined by the School Bus owner - freeform text.</v>
      </c>
      <c r="T27" s="10" t="str">
        <f>IF(LEN(Table2[[#This Row],[!FK]])&gt;0,Table2[[#This Row],[!FK]],"rg:None")</f>
        <v>rg:None</v>
      </c>
      <c r="U27" s="10" t="str">
        <f>IF(LEN(concatif2(A:A,Table2[[#This Row],[!Table]],G:G,"Y",D:D,",")) &gt; 0,"rg:[ { 'req' : '"&amp;concatif2(A:A,Table2[[#This Row],[!Table]],G:G,"Y",D:D,"' }, { 'req': '")&amp;"'} ]","rg:[]")</f>
        <v>rg:[ { 'req' : 'id'} ]</v>
      </c>
    </row>
    <row r="28" spans="1:21" x14ac:dyDescent="0.3">
      <c r="A28" s="3" t="s">
        <v>4</v>
      </c>
      <c r="B28" s="3" t="s">
        <v>62</v>
      </c>
      <c r="C28" s="3"/>
      <c r="D28" s="3" t="s">
        <v>63</v>
      </c>
      <c r="E28" s="3" t="s">
        <v>64</v>
      </c>
      <c r="F28" s="3" t="s">
        <v>7</v>
      </c>
      <c r="G28" s="4"/>
      <c r="H28" s="5" t="str">
        <f t="shared" si="0"/>
        <v>Defs</v>
      </c>
      <c r="I28" t="str">
        <f>IF(Table2[[#This Row],[!Type]]=I$1, I$1,"rg:None")</f>
        <v>rg:None</v>
      </c>
      <c r="J28" t="str">
        <f>IF(Table2[[#This Row],[!Type]]=J$1, J$1,"rg:None")</f>
        <v>rg:None</v>
      </c>
      <c r="K28" t="str">
        <f>IF(Table2[[#This Row],[!Type]]=K$1, K$1,"rg:None")</f>
        <v>rg:None</v>
      </c>
      <c r="L28" s="10" t="str">
        <f>IF(Table2[[#This Row],[!Type]]=L$1, L$1,"rg:None")</f>
        <v>integer</v>
      </c>
      <c r="M28" s="5" t="str">
        <f>IF(Table2[[#This Row],[!Type]]=M$1, M$1,"rg:None")</f>
        <v>rg:None</v>
      </c>
      <c r="N28" s="5" t="str">
        <f>IF(Table2[[#This Row],[!Type]]=N$1, N$1,"rg:None")</f>
        <v>rg:None</v>
      </c>
      <c r="O28" s="5" t="str">
        <f>IF(Table2[[#This Row],[!Type]]=O$1, O$1,"rg:None")</f>
        <v>rg:None</v>
      </c>
      <c r="P28" s="5" t="str">
        <f>IF(Table2[[#This Row],[!Type]]=P$1, P$1,"rg:None")</f>
        <v>rg:None</v>
      </c>
      <c r="Q28" s="10" t="str">
        <f>IF(LEN(Table2[[#This Row],[!Length]]) &gt; 0, Table2[[#This Row],[!Length]], "rg:None")</f>
        <v>rg:None</v>
      </c>
      <c r="R28" s="10" t="str">
        <f>IF(LEN(Table2[[#This Row],[!Name]]) &gt; 0, Table2[[#This Row],[!Name]], "rg:None")</f>
        <v>schoolBusSeatingCapacity</v>
      </c>
      <c r="S28" s="10" t="str">
        <f>IF(LEN(Table2[[#This Row],[!Description]]) &gt; 0, Table2[[#This Row],[!Description]], "rg:None")</f>
        <v>The maximum number of passengers in the bus based on the specific use of the bus. For example,  the same 2-per seat / 24-passenger model might have a seating capacity of 36 if the specific bus is to be used for small children,  3 per seat.</v>
      </c>
      <c r="T28" s="10" t="str">
        <f>IF(LEN(Table2[[#This Row],[!FK]])&gt;0,Table2[[#This Row],[!FK]],"rg:None")</f>
        <v>rg:None</v>
      </c>
      <c r="U28" s="10" t="str">
        <f>IF(LEN(concatif2(A:A,Table2[[#This Row],[!Table]],G:G,"Y",D:D,",")) &gt; 0,"rg:[ { 'req' : '"&amp;concatif2(A:A,Table2[[#This Row],[!Table]],G:G,"Y",D:D,"' }, { 'req': '")&amp;"'} ]","rg:[]")</f>
        <v>rg:[ { 'req' : 'id'} ]</v>
      </c>
    </row>
    <row r="29" spans="1:21" x14ac:dyDescent="0.3">
      <c r="A29" s="3" t="s">
        <v>4</v>
      </c>
      <c r="B29" s="3" t="s">
        <v>62</v>
      </c>
      <c r="C29" s="3"/>
      <c r="D29" s="3" t="s">
        <v>65</v>
      </c>
      <c r="E29" s="3" t="s">
        <v>66</v>
      </c>
      <c r="F29" s="3" t="s">
        <v>7</v>
      </c>
      <c r="G29" s="4"/>
      <c r="H29" s="5" t="str">
        <f t="shared" si="0"/>
        <v>Defs</v>
      </c>
      <c r="I29" t="str">
        <f>IF(Table2[[#This Row],[!Type]]=I$1, I$1,"rg:None")</f>
        <v>rg:None</v>
      </c>
      <c r="J29" t="str">
        <f>IF(Table2[[#This Row],[!Type]]=J$1, J$1,"rg:None")</f>
        <v>rg:None</v>
      </c>
      <c r="K29" t="str">
        <f>IF(Table2[[#This Row],[!Type]]=K$1, K$1,"rg:None")</f>
        <v>rg:None</v>
      </c>
      <c r="L29" s="10" t="str">
        <f>IF(Table2[[#This Row],[!Type]]=L$1, L$1,"rg:None")</f>
        <v>integer</v>
      </c>
      <c r="M29" s="5" t="str">
        <f>IF(Table2[[#This Row],[!Type]]=M$1, M$1,"rg:None")</f>
        <v>rg:None</v>
      </c>
      <c r="N29" s="5" t="str">
        <f>IF(Table2[[#This Row],[!Type]]=N$1, N$1,"rg:None")</f>
        <v>rg:None</v>
      </c>
      <c r="O29" s="5" t="str">
        <f>IF(Table2[[#This Row],[!Type]]=O$1, O$1,"rg:None")</f>
        <v>rg:None</v>
      </c>
      <c r="P29" s="5" t="str">
        <f>IF(Table2[[#This Row],[!Type]]=P$1, P$1,"rg:None")</f>
        <v>rg:None</v>
      </c>
      <c r="Q29" s="10" t="str">
        <f>IF(LEN(Table2[[#This Row],[!Length]]) &gt; 0, Table2[[#This Row],[!Length]], "rg:None")</f>
        <v>rg:None</v>
      </c>
      <c r="R29" s="10" t="str">
        <f>IF(LEN(Table2[[#This Row],[!Name]]) &gt; 0, Table2[[#This Row],[!Name]], "rg:None")</f>
        <v>mobilityAidCapacity</v>
      </c>
      <c r="S29" s="10" t="str">
        <f>IF(LEN(Table2[[#This Row],[!Description]]) &gt; 0, Table2[[#This Row],[!Description]], "rg:None")</f>
        <v>The number of mobility aid passenger seats in the bus.</v>
      </c>
      <c r="T29" s="10" t="str">
        <f>IF(LEN(Table2[[#This Row],[!FK]])&gt;0,Table2[[#This Row],[!FK]],"rg:None")</f>
        <v>rg:None</v>
      </c>
      <c r="U29" s="10" t="str">
        <f>IF(LEN(concatif2(A:A,Table2[[#This Row],[!Table]],G:G,"Y",D:D,",")) &gt; 0,"rg:[ { 'req' : '"&amp;concatif2(A:A,Table2[[#This Row],[!Table]],G:G,"Y",D:D,"' }, { 'req': '")&amp;"'} ]","rg:[]")</f>
        <v>rg:[ { 'req' : 'id'} ]</v>
      </c>
    </row>
    <row r="30" spans="1:21" x14ac:dyDescent="0.3">
      <c r="A30" s="3" t="s">
        <v>4</v>
      </c>
      <c r="B30" s="20" t="s">
        <v>17</v>
      </c>
      <c r="C30" s="3"/>
      <c r="D30" s="20" t="s">
        <v>134</v>
      </c>
      <c r="E30" s="21" t="s">
        <v>313</v>
      </c>
      <c r="F30" s="21" t="s">
        <v>0</v>
      </c>
      <c r="G30" s="19"/>
      <c r="H30" s="4" t="str">
        <f>IF(LEN(A30) &gt; 0,"Defs","-")</f>
        <v>Defs</v>
      </c>
      <c r="I30" s="16" t="str">
        <f>IF(Table2[[#This Row],[!Type]]=I$1, I$1,"rg:None")</f>
        <v>rg:None</v>
      </c>
      <c r="J30" s="16" t="str">
        <f>IF(Table2[[#This Row],[!Type]]=J$1, J$1,"rg:None")</f>
        <v>rg:None</v>
      </c>
      <c r="K30" s="16" t="str">
        <f>IF(Table2[[#This Row],[!Type]]=K$1, K$1,"rg:None")</f>
        <v>rg:None</v>
      </c>
      <c r="L30" s="16" t="str">
        <f>IF(Table2[[#This Row],[!Type]]=L$1, L$1,"rg:None")</f>
        <v>rg:None</v>
      </c>
      <c r="M30" s="4" t="str">
        <f>IF(Table2[[#This Row],[!Type]]=M$1, M$1,"rg:None")</f>
        <v>rg:None</v>
      </c>
      <c r="N30" s="4" t="str">
        <f>IF(Table2[[#This Row],[!Type]]=N$1, N$1,"rg:None")</f>
        <v>ref</v>
      </c>
      <c r="O30" s="4" t="str">
        <f>IF(Table2[[#This Row],[!Type]]=O$1, O$1,"rg:None")</f>
        <v>rg:None</v>
      </c>
      <c r="P30" s="4" t="str">
        <f>IF(Table2[[#This Row],[!Type]]=P$1, P$1,"rg:None")</f>
        <v>rg:None</v>
      </c>
      <c r="Q30" s="16" t="str">
        <f>IF(LEN(Table2[[#This Row],[!Length]]) &gt; 0, Table2[[#This Row],[!Length]], "rg:None")</f>
        <v>rg:None</v>
      </c>
      <c r="R30" s="16" t="str">
        <f>IF(LEN(Table2[[#This Row],[!Name]]) &gt; 0, Table2[[#This Row],[!Name]], "rg:None")</f>
        <v>inspector</v>
      </c>
      <c r="S30" s="16" t="str">
        <f>IF(LEN(Table2[[#This Row],[!Description]]) &gt; 0, Table2[[#This Row],[!Description]], "rg:None")</f>
        <v>The inspector assigned to this schoolbus</v>
      </c>
      <c r="T30" s="16" t="str">
        <f>IF(LEN(Table2[[#This Row],[!FK]])&gt;0,Table2[[#This Row],[!FK]],"rg:None")</f>
        <v>User</v>
      </c>
      <c r="U30" s="16" t="str">
        <f>IF(LEN(concatif2(A:A,Table2[[#This Row],[!Table]],G:G,"Y",D:D,",")) &gt; 0,"rg:[ { 'req' : '"&amp;concatif2(A:A,Table2[[#This Row],[!Table]],G:G,"Y",D:D,"' }, { 'req': '")&amp;"'} ]","rg:[]")</f>
        <v>rg:[ { 'req' : 'id'} ]</v>
      </c>
    </row>
    <row r="31" spans="1:21" x14ac:dyDescent="0.3">
      <c r="A31" s="3" t="s">
        <v>67</v>
      </c>
      <c r="B31" s="3" t="s">
        <v>5</v>
      </c>
      <c r="C31" s="3"/>
      <c r="D31" s="3" t="s">
        <v>67</v>
      </c>
      <c r="E31" s="3" t="s">
        <v>68</v>
      </c>
      <c r="F31" s="3" t="s">
        <v>7</v>
      </c>
      <c r="G31" s="4"/>
      <c r="H31" s="5" t="str">
        <f t="shared" si="0"/>
        <v>Defs</v>
      </c>
      <c r="I31" t="str">
        <f>IF(Table2[[#This Row],[!Type]]=I$1, I$1,"rg:None")</f>
        <v>rg:None</v>
      </c>
      <c r="J31" t="str">
        <f>IF(Table2[[#This Row],[!Type]]=J$1, J$1,"rg:None")</f>
        <v>rg:None</v>
      </c>
      <c r="K31" t="str">
        <f>IF(Table2[[#This Row],[!Type]]=K$1, K$1,"rg:None")</f>
        <v>rg:None</v>
      </c>
      <c r="L31" s="10" t="str">
        <f>IF(Table2[[#This Row],[!Type]]=L$1, L$1,"rg:None")</f>
        <v>rg:None</v>
      </c>
      <c r="M31" s="5" t="str">
        <f>IF(Table2[[#This Row],[!Type]]=M$1, M$1,"rg:None")</f>
        <v>rg:None</v>
      </c>
      <c r="N31" s="5" t="str">
        <f>IF(Table2[[#This Row],[!Type]]=N$1, N$1,"rg:None")</f>
        <v>rg:None</v>
      </c>
      <c r="O31" s="5" t="str">
        <f>IF(Table2[[#This Row],[!Type]]=O$1, O$1,"rg:None")</f>
        <v>rg:None</v>
      </c>
      <c r="P31" s="5" t="str">
        <f>IF(Table2[[#This Row],[!Type]]=P$1, P$1,"rg:None")</f>
        <v>table</v>
      </c>
      <c r="Q31" s="10" t="str">
        <f>IF(LEN(Table2[[#This Row],[!Length]]) &gt; 0, Table2[[#This Row],[!Length]], "rg:None")</f>
        <v>rg:None</v>
      </c>
      <c r="R31" s="10" t="str">
        <f>IF(LEN(Table2[[#This Row],[!Name]]) &gt; 0, Table2[[#This Row],[!Name]], "rg:None")</f>
        <v>SchoolBusNote</v>
      </c>
      <c r="S31" s="10" t="str">
        <f>IF(LEN(Table2[[#This Row],[!Description]]) &gt; 0, Table2[[#This Row],[!Description]], "rg:None")</f>
        <v>Notes entered by users about a specific School Bus.</v>
      </c>
      <c r="T31" s="10" t="str">
        <f>IF(LEN(Table2[[#This Row],[!FK]])&gt;0,Table2[[#This Row],[!FK]],"rg:None")</f>
        <v>rg:None</v>
      </c>
      <c r="U31" s="10" t="str">
        <f>IF(LEN(concatif2(A:A,Table2[[#This Row],[!Table]],G:G,"Y",D:D,",")) &gt; 0,"rg:[ { 'req' : '"&amp;concatif2(A:A,Table2[[#This Row],[!Table]],G:G,"Y",D:D,"' }, { 'req': '")&amp;"'} ]","rg:[]")</f>
        <v>rg:[ { 'req' : 'id'} ]</v>
      </c>
    </row>
    <row r="32" spans="1:21" x14ac:dyDescent="0.3">
      <c r="A32" s="3" t="s">
        <v>67</v>
      </c>
      <c r="B32" s="3" t="s">
        <v>8</v>
      </c>
      <c r="C32" s="3"/>
      <c r="D32" s="3" t="s">
        <v>8</v>
      </c>
      <c r="E32" s="3" t="s">
        <v>9</v>
      </c>
      <c r="F32" s="3" t="s">
        <v>7</v>
      </c>
      <c r="G32" s="4" t="s">
        <v>211</v>
      </c>
      <c r="H32" s="5" t="str">
        <f t="shared" si="0"/>
        <v>Defs</v>
      </c>
      <c r="I32" t="str">
        <f>IF(Table2[[#This Row],[!Type]]=I$1, I$1,"rg:None")</f>
        <v>rg:None</v>
      </c>
      <c r="J32" t="str">
        <f>IF(Table2[[#This Row],[!Type]]=J$1, J$1,"rg:None")</f>
        <v>rg:None</v>
      </c>
      <c r="K32" t="str">
        <f>IF(Table2[[#This Row],[!Type]]=K$1, K$1,"rg:None")</f>
        <v>id</v>
      </c>
      <c r="L32" s="10" t="str">
        <f>IF(Table2[[#This Row],[!Type]]=L$1, L$1,"rg:None")</f>
        <v>rg:None</v>
      </c>
      <c r="M32" s="5" t="str">
        <f>IF(Table2[[#This Row],[!Type]]=M$1, M$1,"rg:None")</f>
        <v>rg:None</v>
      </c>
      <c r="N32" s="5" t="str">
        <f>IF(Table2[[#This Row],[!Type]]=N$1, N$1,"rg:None")</f>
        <v>rg:None</v>
      </c>
      <c r="O32" s="5" t="str">
        <f>IF(Table2[[#This Row],[!Type]]=O$1, O$1,"rg:None")</f>
        <v>rg:None</v>
      </c>
      <c r="P32" s="5" t="str">
        <f>IF(Table2[[#This Row],[!Type]]=P$1, P$1,"rg:None")</f>
        <v>rg:None</v>
      </c>
      <c r="Q32" s="10" t="str">
        <f>IF(LEN(Table2[[#This Row],[!Length]]) &gt; 0, Table2[[#This Row],[!Length]], "rg:None")</f>
        <v>rg:None</v>
      </c>
      <c r="R32" s="10" t="str">
        <f>IF(LEN(Table2[[#This Row],[!Name]]) &gt; 0, Table2[[#This Row],[!Name]], "rg:None")</f>
        <v>id</v>
      </c>
      <c r="S32" s="10" t="str">
        <f>IF(LEN(Table2[[#This Row],[!Description]]) &gt; 0, Table2[[#This Row],[!Description]], "rg:None")</f>
        <v>Primary Key</v>
      </c>
      <c r="T32" s="10" t="str">
        <f>IF(LEN(Table2[[#This Row],[!FK]])&gt;0,Table2[[#This Row],[!FK]],"rg:None")</f>
        <v>rg:None</v>
      </c>
      <c r="U32" s="10" t="str">
        <f>IF(LEN(concatif2(A:A,Table2[[#This Row],[!Table]],G:G,"Y",D:D,",")) &gt; 0,"rg:[ { 'req' : '"&amp;concatif2(A:A,Table2[[#This Row],[!Table]],G:G,"Y",D:D,"' }, { 'req': '")&amp;"'} ]","rg:[]")</f>
        <v>rg:[ { 'req' : 'id'} ]</v>
      </c>
    </row>
    <row r="33" spans="1:21" x14ac:dyDescent="0.3">
      <c r="A33" s="3" t="s">
        <v>67</v>
      </c>
      <c r="B33" s="3" t="s">
        <v>10</v>
      </c>
      <c r="C33" s="3"/>
      <c r="D33" s="3" t="s">
        <v>69</v>
      </c>
      <c r="E33" s="3" t="s">
        <v>70</v>
      </c>
      <c r="F33" s="3" t="s">
        <v>7</v>
      </c>
      <c r="G33" s="4"/>
      <c r="H33" s="5" t="str">
        <f t="shared" si="0"/>
        <v>Defs</v>
      </c>
      <c r="I33" t="str">
        <f>IF(Table2[[#This Row],[!Type]]=I$1, I$1,"rg:None")</f>
        <v>rg:None</v>
      </c>
      <c r="J33" t="str">
        <f>IF(Table2[[#This Row],[!Type]]=J$1, J$1,"rg:None")</f>
        <v>rg:None</v>
      </c>
      <c r="K33" t="str">
        <f>IF(Table2[[#This Row],[!Type]]=K$1, K$1,"rg:None")</f>
        <v>rg:None</v>
      </c>
      <c r="L33" s="10" t="str">
        <f>IF(Table2[[#This Row],[!Type]]=L$1, L$1,"rg:None")</f>
        <v>rg:None</v>
      </c>
      <c r="M33" s="5" t="str">
        <f>IF(Table2[[#This Row],[!Type]]=M$1, M$1,"rg:None")</f>
        <v>rg:None</v>
      </c>
      <c r="N33" s="5" t="str">
        <f>IF(Table2[[#This Row],[!Type]]=N$1, N$1,"rg:None")</f>
        <v>rg:None</v>
      </c>
      <c r="O33" s="5" t="str">
        <f>IF(Table2[[#This Row],[!Type]]=O$1, O$1,"rg:None")</f>
        <v>string</v>
      </c>
      <c r="P33" s="5" t="str">
        <f>IF(Table2[[#This Row],[!Type]]=P$1, P$1,"rg:None")</f>
        <v>rg:None</v>
      </c>
      <c r="Q33" s="10" t="str">
        <f>IF(LEN(Table2[[#This Row],[!Length]]) &gt; 0, Table2[[#This Row],[!Length]], "rg:None")</f>
        <v>rg:None</v>
      </c>
      <c r="R33" s="10" t="str">
        <f>IF(LEN(Table2[[#This Row],[!Name]]) &gt; 0, Table2[[#This Row],[!Name]], "rg:None")</f>
        <v>note</v>
      </c>
      <c r="S33" s="10" t="str">
        <f>IF(LEN(Table2[[#This Row],[!Description]]) &gt; 0, Table2[[#This Row],[!Description]], "rg:None")</f>
        <v>The contents of the note.</v>
      </c>
      <c r="T33" s="10" t="str">
        <f>IF(LEN(Table2[[#This Row],[!FK]])&gt;0,Table2[[#This Row],[!FK]],"rg:None")</f>
        <v>rg:None</v>
      </c>
      <c r="U33" s="10" t="str">
        <f>IF(LEN(concatif2(A:A,Table2[[#This Row],[!Table]],G:G,"Y",D:D,",")) &gt; 0,"rg:[ { 'req' : '"&amp;concatif2(A:A,Table2[[#This Row],[!Table]],G:G,"Y",D:D,"' }, { 'req': '")&amp;"'} ]","rg:[]")</f>
        <v>rg:[ { 'req' : 'id'} ]</v>
      </c>
    </row>
    <row r="34" spans="1:21" x14ac:dyDescent="0.3">
      <c r="A34" s="3" t="s">
        <v>67</v>
      </c>
      <c r="B34" s="3" t="s">
        <v>24</v>
      </c>
      <c r="C34" s="3"/>
      <c r="D34" s="3" t="s">
        <v>71</v>
      </c>
      <c r="E34" s="3" t="s">
        <v>72</v>
      </c>
      <c r="F34" s="3" t="s">
        <v>7</v>
      </c>
      <c r="G34" s="4"/>
      <c r="H34" s="5" t="str">
        <f t="shared" si="0"/>
        <v>Defs</v>
      </c>
      <c r="I34" t="str">
        <f>IF(Table2[[#This Row],[!Type]]=I$1, I$1,"rg:None")</f>
        <v>boolean</v>
      </c>
      <c r="J34" t="str">
        <f>IF(Table2[[#This Row],[!Type]]=J$1, J$1,"rg:None")</f>
        <v>rg:None</v>
      </c>
      <c r="K34" t="str">
        <f>IF(Table2[[#This Row],[!Type]]=K$1, K$1,"rg:None")</f>
        <v>rg:None</v>
      </c>
      <c r="L34" s="10" t="str">
        <f>IF(Table2[[#This Row],[!Type]]=L$1, L$1,"rg:None")</f>
        <v>rg:None</v>
      </c>
      <c r="M34" s="5" t="str">
        <f>IF(Table2[[#This Row],[!Type]]=M$1, M$1,"rg:None")</f>
        <v>rg:None</v>
      </c>
      <c r="N34" s="5" t="str">
        <f>IF(Table2[[#This Row],[!Type]]=N$1, N$1,"rg:None")</f>
        <v>rg:None</v>
      </c>
      <c r="O34" s="5" t="str">
        <f>IF(Table2[[#This Row],[!Type]]=O$1, O$1,"rg:None")</f>
        <v>rg:None</v>
      </c>
      <c r="P34" s="5" t="str">
        <f>IF(Table2[[#This Row],[!Type]]=P$1, P$1,"rg:None")</f>
        <v>rg:None</v>
      </c>
      <c r="Q34" s="10" t="str">
        <f>IF(LEN(Table2[[#This Row],[!Length]]) &gt; 0, Table2[[#This Row],[!Length]], "rg:None")</f>
        <v>rg:None</v>
      </c>
      <c r="R34" s="10" t="str">
        <f>IF(LEN(Table2[[#This Row],[!Name]]) &gt; 0, Table2[[#This Row],[!Name]], "rg:None")</f>
        <v>isNoLongerRelevant</v>
      </c>
      <c r="S34" s="10" t="str">
        <f>IF(LEN(Table2[[#This Row],[!Description]]) &gt; 0, Table2[[#This Row],[!Description]], "rg:None")</f>
        <v>A user set flag that the note is no longer relevant. Allows the note to be retained for historical reasons,  but identified to the user as no longer relevant.</v>
      </c>
      <c r="T34" s="10" t="str">
        <f>IF(LEN(Table2[[#This Row],[!FK]])&gt;0,Table2[[#This Row],[!FK]],"rg:None")</f>
        <v>rg:None</v>
      </c>
      <c r="U34" s="10" t="str">
        <f>IF(LEN(concatif2(A:A,Table2[[#This Row],[!Table]],G:G,"Y",D:D,",")) &gt; 0,"rg:[ { 'req' : '"&amp;concatif2(A:A,Table2[[#This Row],[!Table]],G:G,"Y",D:D,"' }, { 'req': '")&amp;"'} ]","rg:[]")</f>
        <v>rg:[ { 'req' : 'id'} ]</v>
      </c>
    </row>
    <row r="35" spans="1:21" x14ac:dyDescent="0.3">
      <c r="A35" s="3" t="s">
        <v>67</v>
      </c>
      <c r="B35" s="3" t="s">
        <v>17</v>
      </c>
      <c r="C35" s="3"/>
      <c r="D35" s="3" t="s">
        <v>73</v>
      </c>
      <c r="E35" s="3" t="s">
        <v>7</v>
      </c>
      <c r="F35" s="3" t="s">
        <v>4</v>
      </c>
      <c r="G35" s="4"/>
      <c r="H35" s="5" t="str">
        <f t="shared" si="0"/>
        <v>Defs</v>
      </c>
      <c r="I35" t="str">
        <f>IF(Table2[[#This Row],[!Type]]=I$1, I$1,"rg:None")</f>
        <v>rg:None</v>
      </c>
      <c r="J35" t="str">
        <f>IF(Table2[[#This Row],[!Type]]=J$1, J$1,"rg:None")</f>
        <v>rg:None</v>
      </c>
      <c r="K35" t="str">
        <f>IF(Table2[[#This Row],[!Type]]=K$1, K$1,"rg:None")</f>
        <v>rg:None</v>
      </c>
      <c r="L35" s="10" t="str">
        <f>IF(Table2[[#This Row],[!Type]]=L$1, L$1,"rg:None")</f>
        <v>rg:None</v>
      </c>
      <c r="M35" s="5" t="str">
        <f>IF(Table2[[#This Row],[!Type]]=M$1, M$1,"rg:None")</f>
        <v>rg:None</v>
      </c>
      <c r="N35" s="5" t="str">
        <f>IF(Table2[[#This Row],[!Type]]=N$1, N$1,"rg:None")</f>
        <v>ref</v>
      </c>
      <c r="O35" s="5" t="str">
        <f>IF(Table2[[#This Row],[!Type]]=O$1, O$1,"rg:None")</f>
        <v>rg:None</v>
      </c>
      <c r="P35" s="5" t="str">
        <f>IF(Table2[[#This Row],[!Type]]=P$1, P$1,"rg:None")</f>
        <v>rg:None</v>
      </c>
      <c r="Q35" s="10" t="str">
        <f>IF(LEN(Table2[[#This Row],[!Length]]) &gt; 0, Table2[[#This Row],[!Length]], "rg:None")</f>
        <v>rg:None</v>
      </c>
      <c r="R35" s="10" t="str">
        <f>IF(LEN(Table2[[#This Row],[!Name]]) &gt; 0, Table2[[#This Row],[!Name]], "rg:None")</f>
        <v>schoolBus</v>
      </c>
      <c r="S35" s="10" t="str">
        <f>IF(LEN(Table2[[#This Row],[!Description]]) &gt; 0, Table2[[#This Row],[!Description]], "rg:None")</f>
        <v>rg:None</v>
      </c>
      <c r="T35" s="10" t="str">
        <f>IF(LEN(Table2[[#This Row],[!FK]])&gt;0,Table2[[#This Row],[!FK]],"rg:None")</f>
        <v>SchoolBus</v>
      </c>
      <c r="U35" s="10" t="str">
        <f>IF(LEN(concatif2(A:A,Table2[[#This Row],[!Table]],G:G,"Y",D:D,",")) &gt; 0,"rg:[ { 'req' : '"&amp;concatif2(A:A,Table2[[#This Row],[!Table]],G:G,"Y",D:D,"' }, { 'req': '")&amp;"'} ]","rg:[]")</f>
        <v>rg:[ { 'req' : 'id'} ]</v>
      </c>
    </row>
    <row r="36" spans="1:21" x14ac:dyDescent="0.3">
      <c r="A36" s="3" t="s">
        <v>74</v>
      </c>
      <c r="B36" s="3" t="s">
        <v>5</v>
      </c>
      <c r="C36" s="3"/>
      <c r="D36" s="3" t="s">
        <v>74</v>
      </c>
      <c r="E36" s="3" t="s">
        <v>75</v>
      </c>
      <c r="F36" s="3" t="s">
        <v>7</v>
      </c>
      <c r="G36" s="4"/>
      <c r="H36" s="5" t="str">
        <f t="shared" si="0"/>
        <v>Defs</v>
      </c>
      <c r="I36" t="str">
        <f>IF(Table2[[#This Row],[!Type]]=I$1, I$1,"rg:None")</f>
        <v>rg:None</v>
      </c>
      <c r="J36" t="str">
        <f>IF(Table2[[#This Row],[!Type]]=J$1, J$1,"rg:None")</f>
        <v>rg:None</v>
      </c>
      <c r="K36" t="str">
        <f>IF(Table2[[#This Row],[!Type]]=K$1, K$1,"rg:None")</f>
        <v>rg:None</v>
      </c>
      <c r="L36" s="10" t="str">
        <f>IF(Table2[[#This Row],[!Type]]=L$1, L$1,"rg:None")</f>
        <v>rg:None</v>
      </c>
      <c r="M36" s="5" t="str">
        <f>IF(Table2[[#This Row],[!Type]]=M$1, M$1,"rg:None")</f>
        <v>rg:None</v>
      </c>
      <c r="N36" s="5" t="str">
        <f>IF(Table2[[#This Row],[!Type]]=N$1, N$1,"rg:None")</f>
        <v>rg:None</v>
      </c>
      <c r="O36" s="5" t="str">
        <f>IF(Table2[[#This Row],[!Type]]=O$1, O$1,"rg:None")</f>
        <v>rg:None</v>
      </c>
      <c r="P36" s="5" t="str">
        <f>IF(Table2[[#This Row],[!Type]]=P$1, P$1,"rg:None")</f>
        <v>table</v>
      </c>
      <c r="Q36" s="10" t="str">
        <f>IF(LEN(Table2[[#This Row],[!Length]]) &gt; 0, Table2[[#This Row],[!Length]], "rg:None")</f>
        <v>rg:None</v>
      </c>
      <c r="R36" s="10" t="str">
        <f>IF(LEN(Table2[[#This Row],[!Name]]) &gt; 0, Table2[[#This Row],[!Name]], "rg:None")</f>
        <v>SchoolBusAttachment</v>
      </c>
      <c r="S36" s="10" t="str">
        <f>IF(LEN(Table2[[#This Row],[!Description]]) &gt; 0, Table2[[#This Row],[!Description]], "rg:None")</f>
        <v>Attachments uploaded by users about a specific School Bus. Attachments are stored in the file system, with rows in this table pointing to the file system location of the attachment.</v>
      </c>
      <c r="T36" s="10" t="str">
        <f>IF(LEN(Table2[[#This Row],[!FK]])&gt;0,Table2[[#This Row],[!FK]],"rg:None")</f>
        <v>rg:None</v>
      </c>
      <c r="U36" s="10" t="str">
        <f>IF(LEN(concatif2(A:A,Table2[[#This Row],[!Table]],G:G,"Y",D:D,",")) &gt; 0,"rg:[ { 'req' : '"&amp;concatif2(A:A,Table2[[#This Row],[!Table]],G:G,"Y",D:D,"' }, { 'req': '")&amp;"'} ]","rg:[]")</f>
        <v>rg:[ { 'req' : 'id'} ]</v>
      </c>
    </row>
    <row r="37" spans="1:21" x14ac:dyDescent="0.3">
      <c r="A37" s="3" t="s">
        <v>74</v>
      </c>
      <c r="B37" s="3" t="s">
        <v>8</v>
      </c>
      <c r="C37" s="3"/>
      <c r="D37" s="3" t="s">
        <v>8</v>
      </c>
      <c r="E37" s="3" t="s">
        <v>9</v>
      </c>
      <c r="F37" s="3" t="s">
        <v>7</v>
      </c>
      <c r="G37" s="4" t="s">
        <v>211</v>
      </c>
      <c r="H37" s="5" t="str">
        <f t="shared" si="0"/>
        <v>Defs</v>
      </c>
      <c r="I37" t="str">
        <f>IF(Table2[[#This Row],[!Type]]=I$1, I$1,"rg:None")</f>
        <v>rg:None</v>
      </c>
      <c r="J37" t="str">
        <f>IF(Table2[[#This Row],[!Type]]=J$1, J$1,"rg:None")</f>
        <v>rg:None</v>
      </c>
      <c r="K37" t="str">
        <f>IF(Table2[[#This Row],[!Type]]=K$1, K$1,"rg:None")</f>
        <v>id</v>
      </c>
      <c r="L37" s="10" t="str">
        <f>IF(Table2[[#This Row],[!Type]]=L$1, L$1,"rg:None")</f>
        <v>rg:None</v>
      </c>
      <c r="M37" s="5" t="str">
        <f>IF(Table2[[#This Row],[!Type]]=M$1, M$1,"rg:None")</f>
        <v>rg:None</v>
      </c>
      <c r="N37" s="5" t="str">
        <f>IF(Table2[[#This Row],[!Type]]=N$1, N$1,"rg:None")</f>
        <v>rg:None</v>
      </c>
      <c r="O37" s="5" t="str">
        <f>IF(Table2[[#This Row],[!Type]]=O$1, O$1,"rg:None")</f>
        <v>rg:None</v>
      </c>
      <c r="P37" s="5" t="str">
        <f>IF(Table2[[#This Row],[!Type]]=P$1, P$1,"rg:None")</f>
        <v>rg:None</v>
      </c>
      <c r="Q37" s="10" t="str">
        <f>IF(LEN(Table2[[#This Row],[!Length]]) &gt; 0, Table2[[#This Row],[!Length]], "rg:None")</f>
        <v>rg:None</v>
      </c>
      <c r="R37" s="10" t="str">
        <f>IF(LEN(Table2[[#This Row],[!Name]]) &gt; 0, Table2[[#This Row],[!Name]], "rg:None")</f>
        <v>id</v>
      </c>
      <c r="S37" s="10" t="str">
        <f>IF(LEN(Table2[[#This Row],[!Description]]) &gt; 0, Table2[[#This Row],[!Description]], "rg:None")</f>
        <v>Primary Key</v>
      </c>
      <c r="T37" s="10" t="str">
        <f>IF(LEN(Table2[[#This Row],[!FK]])&gt;0,Table2[[#This Row],[!FK]],"rg:None")</f>
        <v>rg:None</v>
      </c>
      <c r="U37" s="10" t="str">
        <f>IF(LEN(concatif2(A:A,Table2[[#This Row],[!Table]],G:G,"Y",D:D,",")) &gt; 0,"rg:[ { 'req' : '"&amp;concatif2(A:A,Table2[[#This Row],[!Table]],G:G,"Y",D:D,"' }, { 'req': '")&amp;"'} ]","rg:[]")</f>
        <v>rg:[ { 'req' : 'id'} ]</v>
      </c>
    </row>
    <row r="38" spans="1:21" x14ac:dyDescent="0.3">
      <c r="A38" s="3" t="s">
        <v>74</v>
      </c>
      <c r="B38" s="3" t="s">
        <v>10</v>
      </c>
      <c r="C38" s="3"/>
      <c r="D38" s="3" t="s">
        <v>76</v>
      </c>
      <c r="E38" s="3" t="s">
        <v>77</v>
      </c>
      <c r="F38" s="3" t="s">
        <v>7</v>
      </c>
      <c r="G38" s="4"/>
      <c r="H38" s="5" t="str">
        <f t="shared" si="0"/>
        <v>Defs</v>
      </c>
      <c r="I38" t="str">
        <f>IF(Table2[[#This Row],[!Type]]=I$1, I$1,"rg:None")</f>
        <v>rg:None</v>
      </c>
      <c r="J38" t="str">
        <f>IF(Table2[[#This Row],[!Type]]=J$1, J$1,"rg:None")</f>
        <v>rg:None</v>
      </c>
      <c r="K38" t="str">
        <f>IF(Table2[[#This Row],[!Type]]=K$1, K$1,"rg:None")</f>
        <v>rg:None</v>
      </c>
      <c r="L38" s="10" t="str">
        <f>IF(Table2[[#This Row],[!Type]]=L$1, L$1,"rg:None")</f>
        <v>rg:None</v>
      </c>
      <c r="M38" s="5" t="str">
        <f>IF(Table2[[#This Row],[!Type]]=M$1, M$1,"rg:None")</f>
        <v>rg:None</v>
      </c>
      <c r="N38" s="5" t="str">
        <f>IF(Table2[[#This Row],[!Type]]=N$1, N$1,"rg:None")</f>
        <v>rg:None</v>
      </c>
      <c r="O38" s="5" t="str">
        <f>IF(Table2[[#This Row],[!Type]]=O$1, O$1,"rg:None")</f>
        <v>string</v>
      </c>
      <c r="P38" s="5" t="str">
        <f>IF(Table2[[#This Row],[!Type]]=P$1, P$1,"rg:None")</f>
        <v>rg:None</v>
      </c>
      <c r="Q38" s="10" t="str">
        <f>IF(LEN(Table2[[#This Row],[!Length]]) &gt; 0, Table2[[#This Row],[!Length]], "rg:None")</f>
        <v>rg:None</v>
      </c>
      <c r="R38" s="10" t="str">
        <f>IF(LEN(Table2[[#This Row],[!Name]]) &gt; 0, Table2[[#This Row],[!Name]], "rg:None")</f>
        <v>internalFileName</v>
      </c>
      <c r="S38" s="10" t="str">
        <f>IF(LEN(Table2[[#This Row],[!Description]]) &gt; 0, Table2[[#This Row],[!Description]], "rg:None")</f>
        <v>The physical location of the attachment on the file system.</v>
      </c>
      <c r="T38" s="10" t="str">
        <f>IF(LEN(Table2[[#This Row],[!FK]])&gt;0,Table2[[#This Row],[!FK]],"rg:None")</f>
        <v>rg:None</v>
      </c>
      <c r="U38" s="10" t="str">
        <f>IF(LEN(concatif2(A:A,Table2[[#This Row],[!Table]],G:G,"Y",D:D,",")) &gt; 0,"rg:[ { 'req' : '"&amp;concatif2(A:A,Table2[[#This Row],[!Table]],G:G,"Y",D:D,"' }, { 'req': '")&amp;"'} ]","rg:[]")</f>
        <v>rg:[ { 'req' : 'id'} ]</v>
      </c>
    </row>
    <row r="39" spans="1:21" x14ac:dyDescent="0.3">
      <c r="A39" s="3" t="s">
        <v>74</v>
      </c>
      <c r="B39" s="3" t="s">
        <v>10</v>
      </c>
      <c r="C39" s="3"/>
      <c r="D39" s="3" t="s">
        <v>78</v>
      </c>
      <c r="E39" s="3" t="s">
        <v>79</v>
      </c>
      <c r="F39" s="3" t="s">
        <v>7</v>
      </c>
      <c r="G39" s="4"/>
      <c r="H39" s="5" t="str">
        <f t="shared" si="0"/>
        <v>Defs</v>
      </c>
      <c r="I39" t="str">
        <f>IF(Table2[[#This Row],[!Type]]=I$1, I$1,"rg:None")</f>
        <v>rg:None</v>
      </c>
      <c r="J39" t="str">
        <f>IF(Table2[[#This Row],[!Type]]=J$1, J$1,"rg:None")</f>
        <v>rg:None</v>
      </c>
      <c r="K39" t="str">
        <f>IF(Table2[[#This Row],[!Type]]=K$1, K$1,"rg:None")</f>
        <v>rg:None</v>
      </c>
      <c r="L39" s="10" t="str">
        <f>IF(Table2[[#This Row],[!Type]]=L$1, L$1,"rg:None")</f>
        <v>rg:None</v>
      </c>
      <c r="M39" s="5" t="str">
        <f>IF(Table2[[#This Row],[!Type]]=M$1, M$1,"rg:None")</f>
        <v>rg:None</v>
      </c>
      <c r="N39" s="5" t="str">
        <f>IF(Table2[[#This Row],[!Type]]=N$1, N$1,"rg:None")</f>
        <v>rg:None</v>
      </c>
      <c r="O39" s="5" t="str">
        <f>IF(Table2[[#This Row],[!Type]]=O$1, O$1,"rg:None")</f>
        <v>string</v>
      </c>
      <c r="P39" s="5" t="str">
        <f>IF(Table2[[#This Row],[!Type]]=P$1, P$1,"rg:None")</f>
        <v>rg:None</v>
      </c>
      <c r="Q39" s="10" t="str">
        <f>IF(LEN(Table2[[#This Row],[!Length]]) &gt; 0, Table2[[#This Row],[!Length]], "rg:None")</f>
        <v>rg:None</v>
      </c>
      <c r="R39" s="10" t="str">
        <f>IF(LEN(Table2[[#This Row],[!Name]]) &gt; 0, Table2[[#This Row],[!Name]], "rg:None")</f>
        <v>externalFileName</v>
      </c>
      <c r="S39" s="10" t="str">
        <f>IF(LEN(Table2[[#This Row],[!Description]]) &gt; 0, Table2[[#This Row],[!Description]], "rg:None")</f>
        <v>The name of the attachment as defined by the user in uploading the document.</v>
      </c>
      <c r="T39" s="10" t="str">
        <f>IF(LEN(Table2[[#This Row],[!FK]])&gt;0,Table2[[#This Row],[!FK]],"rg:None")</f>
        <v>rg:None</v>
      </c>
      <c r="U39" s="10" t="str">
        <f>IF(LEN(concatif2(A:A,Table2[[#This Row],[!Table]],G:G,"Y",D:D,",")) &gt; 0,"rg:[ { 'req' : '"&amp;concatif2(A:A,Table2[[#This Row],[!Table]],G:G,"Y",D:D,"' }, { 'req': '")&amp;"'} ]","rg:[]")</f>
        <v>rg:[ { 'req' : 'id'} ]</v>
      </c>
    </row>
    <row r="40" spans="1:21" x14ac:dyDescent="0.3">
      <c r="A40" s="3" t="s">
        <v>74</v>
      </c>
      <c r="B40" s="3" t="s">
        <v>10</v>
      </c>
      <c r="C40" s="3"/>
      <c r="D40" s="3" t="s">
        <v>80</v>
      </c>
      <c r="E40" s="3" t="s">
        <v>81</v>
      </c>
      <c r="F40" s="3" t="s">
        <v>7</v>
      </c>
      <c r="G40" s="4"/>
      <c r="H40" s="5" t="str">
        <f t="shared" si="0"/>
        <v>Defs</v>
      </c>
      <c r="I40" t="str">
        <f>IF(Table2[[#This Row],[!Type]]=I$1, I$1,"rg:None")</f>
        <v>rg:None</v>
      </c>
      <c r="J40" t="str">
        <f>IF(Table2[[#This Row],[!Type]]=J$1, J$1,"rg:None")</f>
        <v>rg:None</v>
      </c>
      <c r="K40" t="str">
        <f>IF(Table2[[#This Row],[!Type]]=K$1, K$1,"rg:None")</f>
        <v>rg:None</v>
      </c>
      <c r="L40" s="10" t="str">
        <f>IF(Table2[[#This Row],[!Type]]=L$1, L$1,"rg:None")</f>
        <v>rg:None</v>
      </c>
      <c r="M40" s="5" t="str">
        <f>IF(Table2[[#This Row],[!Type]]=M$1, M$1,"rg:None")</f>
        <v>rg:None</v>
      </c>
      <c r="N40" s="5" t="str">
        <f>IF(Table2[[#This Row],[!Type]]=N$1, N$1,"rg:None")</f>
        <v>rg:None</v>
      </c>
      <c r="O40" s="5" t="str">
        <f>IF(Table2[[#This Row],[!Type]]=O$1, O$1,"rg:None")</f>
        <v>string</v>
      </c>
      <c r="P40" s="5" t="str">
        <f>IF(Table2[[#This Row],[!Type]]=P$1, P$1,"rg:None")</f>
        <v>rg:None</v>
      </c>
      <c r="Q40" s="10" t="str">
        <f>IF(LEN(Table2[[#This Row],[!Length]]) &gt; 0, Table2[[#This Row],[!Length]], "rg:None")</f>
        <v>rg:None</v>
      </c>
      <c r="R40" s="10" t="str">
        <f>IF(LEN(Table2[[#This Row],[!Name]]) &gt; 0, Table2[[#This Row],[!Name]], "rg:None")</f>
        <v>description</v>
      </c>
      <c r="S40" s="10" t="str">
        <f>IF(LEN(Table2[[#This Row],[!Description]]) &gt; 0, Table2[[#This Row],[!Description]], "rg:None")</f>
        <v>A note about the attachment,  optionally maintained by the user.</v>
      </c>
      <c r="T40" s="10" t="str">
        <f>IF(LEN(Table2[[#This Row],[!FK]])&gt;0,Table2[[#This Row],[!FK]],"rg:None")</f>
        <v>rg:None</v>
      </c>
      <c r="U40" s="10" t="str">
        <f>IF(LEN(concatif2(A:A,Table2[[#This Row],[!Table]],G:G,"Y",D:D,",")) &gt; 0,"rg:[ { 'req' : '"&amp;concatif2(A:A,Table2[[#This Row],[!Table]],G:G,"Y",D:D,"' }, { 'req': '")&amp;"'} ]","rg:[]")</f>
        <v>rg:[ { 'req' : 'id'} ]</v>
      </c>
    </row>
    <row r="41" spans="1:21" x14ac:dyDescent="0.3">
      <c r="A41" s="3" t="s">
        <v>74</v>
      </c>
      <c r="B41" s="3" t="s">
        <v>17</v>
      </c>
      <c r="C41" s="3"/>
      <c r="D41" s="3" t="s">
        <v>73</v>
      </c>
      <c r="E41" s="3" t="s">
        <v>7</v>
      </c>
      <c r="F41" s="3" t="s">
        <v>4</v>
      </c>
      <c r="G41" s="4"/>
      <c r="H41" s="5" t="str">
        <f t="shared" si="0"/>
        <v>Defs</v>
      </c>
      <c r="I41" t="str">
        <f>IF(Table2[[#This Row],[!Type]]=I$1, I$1,"rg:None")</f>
        <v>rg:None</v>
      </c>
      <c r="J41" t="str">
        <f>IF(Table2[[#This Row],[!Type]]=J$1, J$1,"rg:None")</f>
        <v>rg:None</v>
      </c>
      <c r="K41" t="str">
        <f>IF(Table2[[#This Row],[!Type]]=K$1, K$1,"rg:None")</f>
        <v>rg:None</v>
      </c>
      <c r="L41" s="10" t="str">
        <f>IF(Table2[[#This Row],[!Type]]=L$1, L$1,"rg:None")</f>
        <v>rg:None</v>
      </c>
      <c r="M41" s="5" t="str">
        <f>IF(Table2[[#This Row],[!Type]]=M$1, M$1,"rg:None")</f>
        <v>rg:None</v>
      </c>
      <c r="N41" s="5" t="str">
        <f>IF(Table2[[#This Row],[!Type]]=N$1, N$1,"rg:None")</f>
        <v>ref</v>
      </c>
      <c r="O41" s="5" t="str">
        <f>IF(Table2[[#This Row],[!Type]]=O$1, O$1,"rg:None")</f>
        <v>rg:None</v>
      </c>
      <c r="P41" s="5" t="str">
        <f>IF(Table2[[#This Row],[!Type]]=P$1, P$1,"rg:None")</f>
        <v>rg:None</v>
      </c>
      <c r="Q41" s="10" t="str">
        <f>IF(LEN(Table2[[#This Row],[!Length]]) &gt; 0, Table2[[#This Row],[!Length]], "rg:None")</f>
        <v>rg:None</v>
      </c>
      <c r="R41" s="10" t="str">
        <f>IF(LEN(Table2[[#This Row],[!Name]]) &gt; 0, Table2[[#This Row],[!Name]], "rg:None")</f>
        <v>schoolBus</v>
      </c>
      <c r="S41" s="10" t="str">
        <f>IF(LEN(Table2[[#This Row],[!Description]]) &gt; 0, Table2[[#This Row],[!Description]], "rg:None")</f>
        <v>rg:None</v>
      </c>
      <c r="T41" s="10" t="str">
        <f>IF(LEN(Table2[[#This Row],[!FK]])&gt;0,Table2[[#This Row],[!FK]],"rg:None")</f>
        <v>SchoolBus</v>
      </c>
      <c r="U41" s="10" t="str">
        <f>IF(LEN(concatif2(A:A,Table2[[#This Row],[!Table]],G:G,"Y",D:D,",")) &gt; 0,"rg:[ { 'req' : '"&amp;concatif2(A:A,Table2[[#This Row],[!Table]],G:G,"Y",D:D,"' }, { 'req': '")&amp;"'} ]","rg:[]")</f>
        <v>rg:[ { 'req' : 'id'} ]</v>
      </c>
    </row>
    <row r="42" spans="1:21" x14ac:dyDescent="0.3">
      <c r="A42" s="3" t="s">
        <v>82</v>
      </c>
      <c r="B42" s="3" t="s">
        <v>5</v>
      </c>
      <c r="C42" s="3"/>
      <c r="D42" s="3" t="s">
        <v>82</v>
      </c>
      <c r="E42" s="3" t="s">
        <v>83</v>
      </c>
      <c r="F42" s="3" t="s">
        <v>7</v>
      </c>
      <c r="G42" s="4"/>
      <c r="H42" s="5" t="str">
        <f t="shared" si="0"/>
        <v>Defs</v>
      </c>
      <c r="I42" t="str">
        <f>IF(Table2[[#This Row],[!Type]]=I$1, I$1,"rg:None")</f>
        <v>rg:None</v>
      </c>
      <c r="J42" t="str">
        <f>IF(Table2[[#This Row],[!Type]]=J$1, J$1,"rg:None")</f>
        <v>rg:None</v>
      </c>
      <c r="K42" t="str">
        <f>IF(Table2[[#This Row],[!Type]]=K$1, K$1,"rg:None")</f>
        <v>rg:None</v>
      </c>
      <c r="L42" s="10" t="str">
        <f>IF(Table2[[#This Row],[!Type]]=L$1, L$1,"rg:None")</f>
        <v>rg:None</v>
      </c>
      <c r="M42" s="5" t="str">
        <f>IF(Table2[[#This Row],[!Type]]=M$1, M$1,"rg:None")</f>
        <v>rg:None</v>
      </c>
      <c r="N42" s="5" t="str">
        <f>IF(Table2[[#This Row],[!Type]]=N$1, N$1,"rg:None")</f>
        <v>rg:None</v>
      </c>
      <c r="O42" s="5" t="str">
        <f>IF(Table2[[#This Row],[!Type]]=O$1, O$1,"rg:None")</f>
        <v>rg:None</v>
      </c>
      <c r="P42" s="5" t="str">
        <f>IF(Table2[[#This Row],[!Type]]=P$1, P$1,"rg:None")</f>
        <v>table</v>
      </c>
      <c r="Q42" s="10" t="str">
        <f>IF(LEN(Table2[[#This Row],[!Length]]) &gt; 0, Table2[[#This Row],[!Length]], "rg:None")</f>
        <v>rg:None</v>
      </c>
      <c r="R42" s="10" t="str">
        <f>IF(LEN(Table2[[#This Row],[!Name]]) &gt; 0, Table2[[#This Row],[!Name]], "rg:None")</f>
        <v>SchoolBusHistory</v>
      </c>
      <c r="S42" s="10" t="str">
        <f>IF(LEN(Table2[[#This Row],[!Description]]) &gt; 0, Table2[[#This Row],[!Description]], "rg:None")</f>
        <v>The history of updates made to a School Bus. Exact format of the history TBD.</v>
      </c>
      <c r="T42" s="10" t="str">
        <f>IF(LEN(Table2[[#This Row],[!FK]])&gt;0,Table2[[#This Row],[!FK]],"rg:None")</f>
        <v>rg:None</v>
      </c>
      <c r="U42" s="10" t="str">
        <f>IF(LEN(concatif2(A:A,Table2[[#This Row],[!Table]],G:G,"Y",D:D,",")) &gt; 0,"rg:[ { 'req' : '"&amp;concatif2(A:A,Table2[[#This Row],[!Table]],G:G,"Y",D:D,"' }, { 'req': '")&amp;"'} ]","rg:[]")</f>
        <v>rg:[ { 'req' : 'id'} ]</v>
      </c>
    </row>
    <row r="43" spans="1:21" x14ac:dyDescent="0.3">
      <c r="A43" s="3" t="s">
        <v>82</v>
      </c>
      <c r="B43" s="3" t="s">
        <v>8</v>
      </c>
      <c r="C43" s="3"/>
      <c r="D43" s="3" t="s">
        <v>8</v>
      </c>
      <c r="E43" s="3" t="s">
        <v>9</v>
      </c>
      <c r="F43" s="3" t="s">
        <v>7</v>
      </c>
      <c r="G43" s="4" t="s">
        <v>211</v>
      </c>
      <c r="H43" s="5" t="str">
        <f t="shared" si="0"/>
        <v>Defs</v>
      </c>
      <c r="I43" t="str">
        <f>IF(Table2[[#This Row],[!Type]]=I$1, I$1,"rg:None")</f>
        <v>rg:None</v>
      </c>
      <c r="J43" t="str">
        <f>IF(Table2[[#This Row],[!Type]]=J$1, J$1,"rg:None")</f>
        <v>rg:None</v>
      </c>
      <c r="K43" t="str">
        <f>IF(Table2[[#This Row],[!Type]]=K$1, K$1,"rg:None")</f>
        <v>id</v>
      </c>
      <c r="L43" s="10" t="str">
        <f>IF(Table2[[#This Row],[!Type]]=L$1, L$1,"rg:None")</f>
        <v>rg:None</v>
      </c>
      <c r="M43" s="5" t="str">
        <f>IF(Table2[[#This Row],[!Type]]=M$1, M$1,"rg:None")</f>
        <v>rg:None</v>
      </c>
      <c r="N43" s="5" t="str">
        <f>IF(Table2[[#This Row],[!Type]]=N$1, N$1,"rg:None")</f>
        <v>rg:None</v>
      </c>
      <c r="O43" s="5" t="str">
        <f>IF(Table2[[#This Row],[!Type]]=O$1, O$1,"rg:None")</f>
        <v>rg:None</v>
      </c>
      <c r="P43" s="5" t="str">
        <f>IF(Table2[[#This Row],[!Type]]=P$1, P$1,"rg:None")</f>
        <v>rg:None</v>
      </c>
      <c r="Q43" s="10" t="str">
        <f>IF(LEN(Table2[[#This Row],[!Length]]) &gt; 0, Table2[[#This Row],[!Length]], "rg:None")</f>
        <v>rg:None</v>
      </c>
      <c r="R43" s="10" t="str">
        <f>IF(LEN(Table2[[#This Row],[!Name]]) &gt; 0, Table2[[#This Row],[!Name]], "rg:None")</f>
        <v>id</v>
      </c>
      <c r="S43" s="10" t="str">
        <f>IF(LEN(Table2[[#This Row],[!Description]]) &gt; 0, Table2[[#This Row],[!Description]], "rg:None")</f>
        <v>Primary Key</v>
      </c>
      <c r="T43" s="10" t="str">
        <f>IF(LEN(Table2[[#This Row],[!FK]])&gt;0,Table2[[#This Row],[!FK]],"rg:None")</f>
        <v>rg:None</v>
      </c>
      <c r="U43" s="10" t="str">
        <f>IF(LEN(concatif2(A:A,Table2[[#This Row],[!Table]],G:G,"Y",D:D,",")) &gt; 0,"rg:[ { 'req' : '"&amp;concatif2(A:A,Table2[[#This Row],[!Table]],G:G,"Y",D:D,"' }, { 'req': '")&amp;"'} ]","rg:[]")</f>
        <v>rg:[ { 'req' : 'id'} ]</v>
      </c>
    </row>
    <row r="44" spans="1:21" x14ac:dyDescent="0.3">
      <c r="A44" s="3" t="s">
        <v>82</v>
      </c>
      <c r="B44" s="3" t="s">
        <v>17</v>
      </c>
      <c r="C44" s="3"/>
      <c r="D44" s="3" t="s">
        <v>73</v>
      </c>
      <c r="E44" s="3" t="s">
        <v>7</v>
      </c>
      <c r="F44" s="3" t="s">
        <v>4</v>
      </c>
      <c r="G44" s="4"/>
      <c r="H44" s="5" t="str">
        <f t="shared" si="0"/>
        <v>Defs</v>
      </c>
      <c r="I44" t="str">
        <f>IF(Table2[[#This Row],[!Type]]=I$1, I$1,"rg:None")</f>
        <v>rg:None</v>
      </c>
      <c r="J44" t="str">
        <f>IF(Table2[[#This Row],[!Type]]=J$1, J$1,"rg:None")</f>
        <v>rg:None</v>
      </c>
      <c r="K44" t="str">
        <f>IF(Table2[[#This Row],[!Type]]=K$1, K$1,"rg:None")</f>
        <v>rg:None</v>
      </c>
      <c r="L44" s="10" t="str">
        <f>IF(Table2[[#This Row],[!Type]]=L$1, L$1,"rg:None")</f>
        <v>rg:None</v>
      </c>
      <c r="M44" s="5" t="str">
        <f>IF(Table2[[#This Row],[!Type]]=M$1, M$1,"rg:None")</f>
        <v>rg:None</v>
      </c>
      <c r="N44" s="5" t="str">
        <f>IF(Table2[[#This Row],[!Type]]=N$1, N$1,"rg:None")</f>
        <v>ref</v>
      </c>
      <c r="O44" s="5" t="str">
        <f>IF(Table2[[#This Row],[!Type]]=O$1, O$1,"rg:None")</f>
        <v>rg:None</v>
      </c>
      <c r="P44" s="5" t="str">
        <f>IF(Table2[[#This Row],[!Type]]=P$1, P$1,"rg:None")</f>
        <v>rg:None</v>
      </c>
      <c r="Q44" s="10" t="str">
        <f>IF(LEN(Table2[[#This Row],[!Length]]) &gt; 0, Table2[[#This Row],[!Length]], "rg:None")</f>
        <v>rg:None</v>
      </c>
      <c r="R44" s="10" t="str">
        <f>IF(LEN(Table2[[#This Row],[!Name]]) &gt; 0, Table2[[#This Row],[!Name]], "rg:None")</f>
        <v>schoolBus</v>
      </c>
      <c r="S44" s="10" t="str">
        <f>IF(LEN(Table2[[#This Row],[!Description]]) &gt; 0, Table2[[#This Row],[!Description]], "rg:None")</f>
        <v>rg:None</v>
      </c>
      <c r="T44" s="10" t="str">
        <f>IF(LEN(Table2[[#This Row],[!FK]])&gt;0,Table2[[#This Row],[!FK]],"rg:None")</f>
        <v>SchoolBus</v>
      </c>
      <c r="U44" s="10" t="str">
        <f>IF(LEN(concatif2(A:A,Table2[[#This Row],[!Table]],G:G,"Y",D:D,",")) &gt; 0,"rg:[ { 'req' : '"&amp;concatif2(A:A,Table2[[#This Row],[!Table]],G:G,"Y",D:D,"' }, { 'req': '")&amp;"'} ]","rg:[]")</f>
        <v>rg:[ { 'req' : 'id'} ]</v>
      </c>
    </row>
    <row r="45" spans="1:21" x14ac:dyDescent="0.3">
      <c r="A45" s="3" t="s">
        <v>19</v>
      </c>
      <c r="B45" s="3" t="s">
        <v>5</v>
      </c>
      <c r="C45" s="3"/>
      <c r="D45" s="3" t="s">
        <v>19</v>
      </c>
      <c r="E45" s="3" t="s">
        <v>7</v>
      </c>
      <c r="F45" s="3" t="s">
        <v>7</v>
      </c>
      <c r="G45" s="4"/>
      <c r="H45" s="5" t="str">
        <f t="shared" si="0"/>
        <v>Defs</v>
      </c>
      <c r="I45" t="str">
        <f>IF(Table2[[#This Row],[!Type]]=I$1, I$1,"rg:None")</f>
        <v>rg:None</v>
      </c>
      <c r="J45" t="str">
        <f>IF(Table2[[#This Row],[!Type]]=J$1, J$1,"rg:None")</f>
        <v>rg:None</v>
      </c>
      <c r="K45" t="str">
        <f>IF(Table2[[#This Row],[!Type]]=K$1, K$1,"rg:None")</f>
        <v>rg:None</v>
      </c>
      <c r="L45" s="10" t="str">
        <f>IF(Table2[[#This Row],[!Type]]=L$1, L$1,"rg:None")</f>
        <v>rg:None</v>
      </c>
      <c r="M45" s="5" t="str">
        <f>IF(Table2[[#This Row],[!Type]]=M$1, M$1,"rg:None")</f>
        <v>rg:None</v>
      </c>
      <c r="N45" s="5" t="str">
        <f>IF(Table2[[#This Row],[!Type]]=N$1, N$1,"rg:None")</f>
        <v>rg:None</v>
      </c>
      <c r="O45" s="5" t="str">
        <f>IF(Table2[[#This Row],[!Type]]=O$1, O$1,"rg:None")</f>
        <v>rg:None</v>
      </c>
      <c r="P45" s="5" t="str">
        <f>IF(Table2[[#This Row],[!Type]]=P$1, P$1,"rg:None")</f>
        <v>table</v>
      </c>
      <c r="Q45" s="10" t="str">
        <f>IF(LEN(Table2[[#This Row],[!Length]]) &gt; 0, Table2[[#This Row],[!Length]], "rg:None")</f>
        <v>rg:None</v>
      </c>
      <c r="R45" s="10" t="str">
        <f>IF(LEN(Table2[[#This Row],[!Name]]) &gt; 0, Table2[[#This Row],[!Name]], "rg:None")</f>
        <v>SchoolBusOwner</v>
      </c>
      <c r="S45" s="10" t="str">
        <f>IF(LEN(Table2[[#This Row],[!Description]]) &gt; 0, Table2[[#This Row],[!Description]], "rg:None")</f>
        <v>rg:None</v>
      </c>
      <c r="T45" s="10" t="str">
        <f>IF(LEN(Table2[[#This Row],[!FK]])&gt;0,Table2[[#This Row],[!FK]],"rg:None")</f>
        <v>rg:None</v>
      </c>
      <c r="U45" s="10" t="str">
        <f>IF(LEN(concatif2(A:A,Table2[[#This Row],[!Table]],G:G,"Y",D:D,",")) &gt; 0,"rg:[ { 'req' : '"&amp;concatif2(A:A,Table2[[#This Row],[!Table]],G:G,"Y",D:D,"' }, { 'req': '")&amp;"'} ]","rg:[]")</f>
        <v>rg:[ { 'req' : 'id'} ]</v>
      </c>
    </row>
    <row r="46" spans="1:21" x14ac:dyDescent="0.3">
      <c r="A46" s="3" t="s">
        <v>19</v>
      </c>
      <c r="B46" s="3" t="s">
        <v>8</v>
      </c>
      <c r="C46" s="3"/>
      <c r="D46" s="3" t="s">
        <v>8</v>
      </c>
      <c r="E46" s="3" t="s">
        <v>9</v>
      </c>
      <c r="F46" s="3" t="s">
        <v>7</v>
      </c>
      <c r="G46" s="4" t="s">
        <v>211</v>
      </c>
      <c r="H46" s="5" t="str">
        <f t="shared" si="0"/>
        <v>Defs</v>
      </c>
      <c r="I46" t="str">
        <f>IF(Table2[[#This Row],[!Type]]=I$1, I$1,"rg:None")</f>
        <v>rg:None</v>
      </c>
      <c r="J46" t="str">
        <f>IF(Table2[[#This Row],[!Type]]=J$1, J$1,"rg:None")</f>
        <v>rg:None</v>
      </c>
      <c r="K46" t="str">
        <f>IF(Table2[[#This Row],[!Type]]=K$1, K$1,"rg:None")</f>
        <v>id</v>
      </c>
      <c r="L46" s="10" t="str">
        <f>IF(Table2[[#This Row],[!Type]]=L$1, L$1,"rg:None")</f>
        <v>rg:None</v>
      </c>
      <c r="M46" s="5" t="str">
        <f>IF(Table2[[#This Row],[!Type]]=M$1, M$1,"rg:None")</f>
        <v>rg:None</v>
      </c>
      <c r="N46" s="5" t="str">
        <f>IF(Table2[[#This Row],[!Type]]=N$1, N$1,"rg:None")</f>
        <v>rg:None</v>
      </c>
      <c r="O46" s="5" t="str">
        <f>IF(Table2[[#This Row],[!Type]]=O$1, O$1,"rg:None")</f>
        <v>rg:None</v>
      </c>
      <c r="P46" s="5" t="str">
        <f>IF(Table2[[#This Row],[!Type]]=P$1, P$1,"rg:None")</f>
        <v>rg:None</v>
      </c>
      <c r="Q46" s="10" t="str">
        <f>IF(LEN(Table2[[#This Row],[!Length]]) &gt; 0, Table2[[#This Row],[!Length]], "rg:None")</f>
        <v>rg:None</v>
      </c>
      <c r="R46" s="10" t="str">
        <f>IF(LEN(Table2[[#This Row],[!Name]]) &gt; 0, Table2[[#This Row],[!Name]], "rg:None")</f>
        <v>id</v>
      </c>
      <c r="S46" s="10" t="str">
        <f>IF(LEN(Table2[[#This Row],[!Description]]) &gt; 0, Table2[[#This Row],[!Description]], "rg:None")</f>
        <v>Primary Key</v>
      </c>
      <c r="T46" s="10" t="str">
        <f>IF(LEN(Table2[[#This Row],[!FK]])&gt;0,Table2[[#This Row],[!FK]],"rg:None")</f>
        <v>rg:None</v>
      </c>
      <c r="U46" s="10" t="str">
        <f>IF(LEN(concatif2(A:A,Table2[[#This Row],[!Table]],G:G,"Y",D:D,",")) &gt; 0,"rg:[ { 'req' : '"&amp;concatif2(A:A,Table2[[#This Row],[!Table]],G:G,"Y",D:D,"' }, { 'req': '")&amp;"'} ]","rg:[]")</f>
        <v>rg:[ { 'req' : 'id'} ]</v>
      </c>
    </row>
    <row r="47" spans="1:21" x14ac:dyDescent="0.3">
      <c r="A47" s="3" t="s">
        <v>19</v>
      </c>
      <c r="B47" s="3" t="s">
        <v>10</v>
      </c>
      <c r="C47" s="3"/>
      <c r="D47" s="3" t="s">
        <v>84</v>
      </c>
      <c r="E47" s="3" t="s">
        <v>85</v>
      </c>
      <c r="F47" s="3" t="s">
        <v>7</v>
      </c>
      <c r="G47" s="4"/>
      <c r="H47" s="5" t="str">
        <f t="shared" si="0"/>
        <v>Defs</v>
      </c>
      <c r="I47" t="str">
        <f>IF(Table2[[#This Row],[!Type]]=I$1, I$1,"rg:None")</f>
        <v>rg:None</v>
      </c>
      <c r="J47" t="str">
        <f>IF(Table2[[#This Row],[!Type]]=J$1, J$1,"rg:None")</f>
        <v>rg:None</v>
      </c>
      <c r="K47" t="str">
        <f>IF(Table2[[#This Row],[!Type]]=K$1, K$1,"rg:None")</f>
        <v>rg:None</v>
      </c>
      <c r="L47" s="10" t="str">
        <f>IF(Table2[[#This Row],[!Type]]=L$1, L$1,"rg:None")</f>
        <v>rg:None</v>
      </c>
      <c r="M47" s="5" t="str">
        <f>IF(Table2[[#This Row],[!Type]]=M$1, M$1,"rg:None")</f>
        <v>rg:None</v>
      </c>
      <c r="N47" s="5" t="str">
        <f>IF(Table2[[#This Row],[!Type]]=N$1, N$1,"rg:None")</f>
        <v>rg:None</v>
      </c>
      <c r="O47" s="5" t="str">
        <f>IF(Table2[[#This Row],[!Type]]=O$1, O$1,"rg:None")</f>
        <v>string</v>
      </c>
      <c r="P47" s="5" t="str">
        <f>IF(Table2[[#This Row],[!Type]]=P$1, P$1,"rg:None")</f>
        <v>rg:None</v>
      </c>
      <c r="Q47" s="10" t="str">
        <f>IF(LEN(Table2[[#This Row],[!Length]]) &gt; 0, Table2[[#This Row],[!Length]], "rg:None")</f>
        <v>rg:None</v>
      </c>
      <c r="R47" s="10" t="str">
        <f>IF(LEN(Table2[[#This Row],[!Name]]) &gt; 0, Table2[[#This Row],[!Name]], "rg:None")</f>
        <v>name</v>
      </c>
      <c r="S47" s="10" t="str">
        <f>IF(LEN(Table2[[#This Row],[!Description]]) &gt; 0, Table2[[#This Row],[!Description]], "rg:None")</f>
        <v>The name of the School Bus owner as defined by the user/Inspector. Not tied to the ICBC or NSC names,  but whatever is most useful for the Inspectors.</v>
      </c>
      <c r="T47" s="10" t="str">
        <f>IF(LEN(Table2[[#This Row],[!FK]])&gt;0,Table2[[#This Row],[!FK]],"rg:None")</f>
        <v>rg:None</v>
      </c>
      <c r="U47" s="10" t="str">
        <f>IF(LEN(concatif2(A:A,Table2[[#This Row],[!Table]],G:G,"Y",D:D,",")) &gt; 0,"rg:[ { 'req' : '"&amp;concatif2(A:A,Table2[[#This Row],[!Table]],G:G,"Y",D:D,"' }, { 'req': '")&amp;"'} ]","rg:[]")</f>
        <v>rg:[ { 'req' : 'id'} ]</v>
      </c>
    </row>
    <row r="48" spans="1:21" x14ac:dyDescent="0.3">
      <c r="A48" s="3" t="s">
        <v>19</v>
      </c>
      <c r="B48" s="3" t="s">
        <v>10</v>
      </c>
      <c r="C48" s="3"/>
      <c r="D48" s="3" t="s">
        <v>22</v>
      </c>
      <c r="E48" s="3" t="s">
        <v>86</v>
      </c>
      <c r="F48" s="3" t="s">
        <v>7</v>
      </c>
      <c r="G48" s="4"/>
      <c r="H48" s="5" t="str">
        <f t="shared" si="0"/>
        <v>Defs</v>
      </c>
      <c r="I48" t="str">
        <f>IF(Table2[[#This Row],[!Type]]=I$1, I$1,"rg:None")</f>
        <v>rg:None</v>
      </c>
      <c r="J48" t="str">
        <f>IF(Table2[[#This Row],[!Type]]=J$1, J$1,"rg:None")</f>
        <v>rg:None</v>
      </c>
      <c r="K48" t="str">
        <f>IF(Table2[[#This Row],[!Type]]=K$1, K$1,"rg:None")</f>
        <v>rg:None</v>
      </c>
      <c r="L48" s="10" t="str">
        <f>IF(Table2[[#This Row],[!Type]]=L$1, L$1,"rg:None")</f>
        <v>rg:None</v>
      </c>
      <c r="M48" s="5" t="str">
        <f>IF(Table2[[#This Row],[!Type]]=M$1, M$1,"rg:None")</f>
        <v>rg:None</v>
      </c>
      <c r="N48" s="5" t="str">
        <f>IF(Table2[[#This Row],[!Type]]=N$1, N$1,"rg:None")</f>
        <v>rg:None</v>
      </c>
      <c r="O48" s="5" t="str">
        <f>IF(Table2[[#This Row],[!Type]]=O$1, O$1,"rg:None")</f>
        <v>string</v>
      </c>
      <c r="P48" s="5" t="str">
        <f>IF(Table2[[#This Row],[!Type]]=P$1, P$1,"rg:None")</f>
        <v>rg:None</v>
      </c>
      <c r="Q48" s="10" t="str">
        <f>IF(LEN(Table2[[#This Row],[!Length]]) &gt; 0, Table2[[#This Row],[!Length]], "rg:None")</f>
        <v>rg:None</v>
      </c>
      <c r="R48" s="10" t="str">
        <f>IF(LEN(Table2[[#This Row],[!Name]]) &gt; 0, Table2[[#This Row],[!Name]], "rg:None")</f>
        <v>status</v>
      </c>
      <c r="S48" s="10" t="str">
        <f>IF(LEN(Table2[[#This Row],[!Description]]) &gt; 0, Table2[[#This Row],[!Description]], "rg:None")</f>
        <v>Status of the School Bus owner - enumerated value Active,  Archived</v>
      </c>
      <c r="T48" s="10" t="str">
        <f>IF(LEN(Table2[[#This Row],[!FK]])&gt;0,Table2[[#This Row],[!FK]],"rg:None")</f>
        <v>rg:None</v>
      </c>
      <c r="U48" s="10" t="str">
        <f>IF(LEN(concatif2(A:A,Table2[[#This Row],[!Table]],G:G,"Y",D:D,",")) &gt; 0,"rg:[ { 'req' : '"&amp;concatif2(A:A,Table2[[#This Row],[!Table]],G:G,"Y",D:D,"' }, { 'req': '")&amp;"'} ]","rg:[]")</f>
        <v>rg:[ { 'req' : 'id'} ]</v>
      </c>
    </row>
    <row r="49" spans="1:21" x14ac:dyDescent="0.3">
      <c r="A49" s="3" t="s">
        <v>19</v>
      </c>
      <c r="B49" s="3" t="s">
        <v>43</v>
      </c>
      <c r="C49" s="3"/>
      <c r="D49" s="3" t="s">
        <v>87</v>
      </c>
      <c r="E49" s="3" t="s">
        <v>88</v>
      </c>
      <c r="F49" s="3" t="s">
        <v>7</v>
      </c>
      <c r="G49" s="4"/>
      <c r="H49" s="5" t="str">
        <f t="shared" si="0"/>
        <v>Defs</v>
      </c>
      <c r="I49" t="str">
        <f>IF(Table2[[#This Row],[!Type]]=I$1, I$1,"rg:None")</f>
        <v>rg:None</v>
      </c>
      <c r="J49" t="str">
        <f>IF(Table2[[#This Row],[!Type]]=J$1, J$1,"rg:None")</f>
        <v>datetime</v>
      </c>
      <c r="K49" t="str">
        <f>IF(Table2[[#This Row],[!Type]]=K$1, K$1,"rg:None")</f>
        <v>rg:None</v>
      </c>
      <c r="L49" s="10" t="str">
        <f>IF(Table2[[#This Row],[!Type]]=L$1, L$1,"rg:None")</f>
        <v>rg:None</v>
      </c>
      <c r="M49" s="5" t="str">
        <f>IF(Table2[[#This Row],[!Type]]=M$1, M$1,"rg:None")</f>
        <v>rg:None</v>
      </c>
      <c r="N49" s="5" t="str">
        <f>IF(Table2[[#This Row],[!Type]]=N$1, N$1,"rg:None")</f>
        <v>rg:None</v>
      </c>
      <c r="O49" s="5" t="str">
        <f>IF(Table2[[#This Row],[!Type]]=O$1, O$1,"rg:None")</f>
        <v>rg:None</v>
      </c>
      <c r="P49" s="5" t="str">
        <f>IF(Table2[[#This Row],[!Type]]=P$1, P$1,"rg:None")</f>
        <v>rg:None</v>
      </c>
      <c r="Q49" s="10" t="str">
        <f>IF(LEN(Table2[[#This Row],[!Length]]) &gt; 0, Table2[[#This Row],[!Length]], "rg:None")</f>
        <v>rg:None</v>
      </c>
      <c r="R49" s="10" t="str">
        <f>IF(LEN(Table2[[#This Row],[!Name]]) &gt; 0, Table2[[#This Row],[!Name]], "rg:None")</f>
        <v>dateCreated</v>
      </c>
      <c r="S49" s="10" t="str">
        <f>IF(LEN(Table2[[#This Row],[!Description]]) &gt; 0, Table2[[#This Row],[!Description]], "rg:None")</f>
        <v>The date-time of the creation of the record from the audit fields. Since this might be surfaced in the API,  adding it to the definition.</v>
      </c>
      <c r="T49" s="10" t="str">
        <f>IF(LEN(Table2[[#This Row],[!FK]])&gt;0,Table2[[#This Row],[!FK]],"rg:None")</f>
        <v>rg:None</v>
      </c>
      <c r="U49" s="10" t="str">
        <f>IF(LEN(concatif2(A:A,Table2[[#This Row],[!Table]],G:G,"Y",D:D,",")) &gt; 0,"rg:[ { 'req' : '"&amp;concatif2(A:A,Table2[[#This Row],[!Table]],G:G,"Y",D:D,"' }, { 'req': '")&amp;"'} ]","rg:[]")</f>
        <v>rg:[ { 'req' : 'id'} ]</v>
      </c>
    </row>
    <row r="50" spans="1:21" x14ac:dyDescent="0.3">
      <c r="A50" s="3" t="s">
        <v>19</v>
      </c>
      <c r="B50" s="3" t="s">
        <v>17</v>
      </c>
      <c r="C50" s="3"/>
      <c r="D50" s="3" t="s">
        <v>89</v>
      </c>
      <c r="E50" s="3" t="s">
        <v>90</v>
      </c>
      <c r="F50" s="3" t="s">
        <v>91</v>
      </c>
      <c r="G50" s="4"/>
      <c r="H50" s="5" t="str">
        <f t="shared" si="0"/>
        <v>Defs</v>
      </c>
      <c r="I50" t="str">
        <f>IF(Table2[[#This Row],[!Type]]=I$1, I$1,"rg:None")</f>
        <v>rg:None</v>
      </c>
      <c r="J50" t="str">
        <f>IF(Table2[[#This Row],[!Type]]=J$1, J$1,"rg:None")</f>
        <v>rg:None</v>
      </c>
      <c r="K50" t="str">
        <f>IF(Table2[[#This Row],[!Type]]=K$1, K$1,"rg:None")</f>
        <v>rg:None</v>
      </c>
      <c r="L50" s="10" t="str">
        <f>IF(Table2[[#This Row],[!Type]]=L$1, L$1,"rg:None")</f>
        <v>rg:None</v>
      </c>
      <c r="M50" s="5" t="str">
        <f>IF(Table2[[#This Row],[!Type]]=M$1, M$1,"rg:None")</f>
        <v>rg:None</v>
      </c>
      <c r="N50" s="5" t="str">
        <f>IF(Table2[[#This Row],[!Type]]=N$1, N$1,"rg:None")</f>
        <v>ref</v>
      </c>
      <c r="O50" s="5" t="str">
        <f>IF(Table2[[#This Row],[!Type]]=O$1, O$1,"rg:None")</f>
        <v>rg:None</v>
      </c>
      <c r="P50" s="5" t="str">
        <f>IF(Table2[[#This Row],[!Type]]=P$1, P$1,"rg:None")</f>
        <v>rg:None</v>
      </c>
      <c r="Q50" s="10" t="str">
        <f>IF(LEN(Table2[[#This Row],[!Length]]) &gt; 0, Table2[[#This Row],[!Length]], "rg:None")</f>
        <v>rg:None</v>
      </c>
      <c r="R50" s="10" t="str">
        <f>IF(LEN(Table2[[#This Row],[!Name]]) &gt; 0, Table2[[#This Row],[!Name]], "rg:None")</f>
        <v>primaryContact</v>
      </c>
      <c r="S50" s="10" t="str">
        <f>IF(LEN(Table2[[#This Row],[!Description]]) &gt; 0, Table2[[#This Row],[!Description]], "rg:None")</f>
        <v>Link to the designated Primary Contact for the Inspector to the School Bus Owner organization.</v>
      </c>
      <c r="T50" s="10" t="str">
        <f>IF(LEN(Table2[[#This Row],[!FK]])&gt;0,Table2[[#This Row],[!FK]],"rg:None")</f>
        <v>SchoolBusOwnerContact</v>
      </c>
      <c r="U50" s="10" t="str">
        <f>IF(LEN(concatif2(A:A,Table2[[#This Row],[!Table]],G:G,"Y",D:D,",")) &gt; 0,"rg:[ { 'req' : '"&amp;concatif2(A:A,Table2[[#This Row],[!Table]],G:G,"Y",D:D,"' }, { 'req': '")&amp;"'} ]","rg:[]")</f>
        <v>rg:[ { 'req' : 'id'} ]</v>
      </c>
    </row>
    <row r="51" spans="1:21" x14ac:dyDescent="0.3">
      <c r="A51" s="3" t="s">
        <v>19</v>
      </c>
      <c r="B51" s="3" t="s">
        <v>17</v>
      </c>
      <c r="C51" s="3"/>
      <c r="D51" s="3" t="s">
        <v>26</v>
      </c>
      <c r="E51" s="3" t="s">
        <v>92</v>
      </c>
      <c r="F51" s="3" t="s">
        <v>27</v>
      </c>
      <c r="G51" s="4"/>
      <c r="H51" s="5" t="str">
        <f t="shared" si="0"/>
        <v>Defs</v>
      </c>
      <c r="I51" t="str">
        <f>IF(Table2[[#This Row],[!Type]]=I$1, I$1,"rg:None")</f>
        <v>rg:None</v>
      </c>
      <c r="J51" t="str">
        <f>IF(Table2[[#This Row],[!Type]]=J$1, J$1,"rg:None")</f>
        <v>rg:None</v>
      </c>
      <c r="K51" t="str">
        <f>IF(Table2[[#This Row],[!Type]]=K$1, K$1,"rg:None")</f>
        <v>rg:None</v>
      </c>
      <c r="L51" s="10" t="str">
        <f>IF(Table2[[#This Row],[!Type]]=L$1, L$1,"rg:None")</f>
        <v>rg:None</v>
      </c>
      <c r="M51" s="5" t="str">
        <f>IF(Table2[[#This Row],[!Type]]=M$1, M$1,"rg:None")</f>
        <v>rg:None</v>
      </c>
      <c r="N51" s="5" t="str">
        <f>IF(Table2[[#This Row],[!Type]]=N$1, N$1,"rg:None")</f>
        <v>ref</v>
      </c>
      <c r="O51" s="5" t="str">
        <f>IF(Table2[[#This Row],[!Type]]=O$1, O$1,"rg:None")</f>
        <v>rg:None</v>
      </c>
      <c r="P51" s="5" t="str">
        <f>IF(Table2[[#This Row],[!Type]]=P$1, P$1,"rg:None")</f>
        <v>rg:None</v>
      </c>
      <c r="Q51" s="10" t="str">
        <f>IF(LEN(Table2[[#This Row],[!Length]]) &gt; 0, Table2[[#This Row],[!Length]], "rg:None")</f>
        <v>rg:None</v>
      </c>
      <c r="R51" s="10" t="str">
        <f>IF(LEN(Table2[[#This Row],[!Name]]) &gt; 0, Table2[[#This Row],[!Name]], "rg:None")</f>
        <v>serviceArea</v>
      </c>
      <c r="S51" s="10" t="str">
        <f>IF(LEN(Table2[[#This Row],[!Description]]) &gt; 0, Table2[[#This Row],[!Description]], "rg:None")</f>
        <v>The District to which this School Bus is affliated.</v>
      </c>
      <c r="T51" s="10" t="str">
        <f>IF(LEN(Table2[[#This Row],[!FK]])&gt;0,Table2[[#This Row],[!FK]],"rg:None")</f>
        <v>ServiceArea</v>
      </c>
      <c r="U51" s="10" t="str">
        <f>IF(LEN(concatif2(A:A,Table2[[#This Row],[!Table]],G:G,"Y",D:D,",")) &gt; 0,"rg:[ { 'req' : '"&amp;concatif2(A:A,Table2[[#This Row],[!Table]],G:G,"Y",D:D,"' }, { 'req': '")&amp;"'} ]","rg:[]")</f>
        <v>rg:[ { 'req' : 'id'} ]</v>
      </c>
    </row>
    <row r="52" spans="1:21" x14ac:dyDescent="0.3">
      <c r="A52" s="3" t="s">
        <v>19</v>
      </c>
      <c r="B52" s="3" t="s">
        <v>43</v>
      </c>
      <c r="C52" s="3"/>
      <c r="D52" s="3" t="s">
        <v>44</v>
      </c>
      <c r="E52" s="3" t="s">
        <v>93</v>
      </c>
      <c r="F52" s="3" t="s">
        <v>7</v>
      </c>
      <c r="G52" s="4"/>
      <c r="H52" s="5" t="str">
        <f t="shared" si="0"/>
        <v>Defs</v>
      </c>
      <c r="I52" t="str">
        <f>IF(Table2[[#This Row],[!Type]]=I$1, I$1,"rg:None")</f>
        <v>rg:None</v>
      </c>
      <c r="J52" t="str">
        <f>IF(Table2[[#This Row],[!Type]]=J$1, J$1,"rg:None")</f>
        <v>datetime</v>
      </c>
      <c r="K52" t="str">
        <f>IF(Table2[[#This Row],[!Type]]=K$1, K$1,"rg:None")</f>
        <v>rg:None</v>
      </c>
      <c r="L52" s="10" t="str">
        <f>IF(Table2[[#This Row],[!Type]]=L$1, L$1,"rg:None")</f>
        <v>rg:None</v>
      </c>
      <c r="M52" s="5" t="str">
        <f>IF(Table2[[#This Row],[!Type]]=M$1, M$1,"rg:None")</f>
        <v>rg:None</v>
      </c>
      <c r="N52" s="5" t="str">
        <f>IF(Table2[[#This Row],[!Type]]=N$1, N$1,"rg:None")</f>
        <v>rg:None</v>
      </c>
      <c r="O52" s="5" t="str">
        <f>IF(Table2[[#This Row],[!Type]]=O$1, O$1,"rg:None")</f>
        <v>rg:None</v>
      </c>
      <c r="P52" s="5" t="str">
        <f>IF(Table2[[#This Row],[!Type]]=P$1, P$1,"rg:None")</f>
        <v>rg:None</v>
      </c>
      <c r="Q52" s="10" t="str">
        <f>IF(LEN(Table2[[#This Row],[!Length]]) &gt; 0, Table2[[#This Row],[!Length]], "rg:None")</f>
        <v>rg:None</v>
      </c>
      <c r="R52" s="10" t="str">
        <f>IF(LEN(Table2[[#This Row],[!Name]]) &gt; 0, Table2[[#This Row],[!Name]], "rg:None")</f>
        <v>nextInspectionDate</v>
      </c>
      <c r="S52" s="10" t="str">
        <f>IF(LEN(Table2[[#This Row],[!Description]]) &gt; 0, Table2[[#This Row],[!Description]], "rg:None")</f>
        <v>The calculated next inspection date from across the School Buses associated with this School Bus Owner</v>
      </c>
      <c r="T52" s="10" t="str">
        <f>IF(LEN(Table2[[#This Row],[!FK]])&gt;0,Table2[[#This Row],[!FK]],"rg:None")</f>
        <v>rg:None</v>
      </c>
      <c r="U52" s="10" t="str">
        <f>IF(LEN(concatif2(A:A,Table2[[#This Row],[!Table]],G:G,"Y",D:D,",")) &gt; 0,"rg:[ { 'req' : '"&amp;concatif2(A:A,Table2[[#This Row],[!Table]],G:G,"Y",D:D,"' }, { 'req': '")&amp;"'} ]","rg:[]")</f>
        <v>rg:[ { 'req' : 'id'} ]</v>
      </c>
    </row>
    <row r="53" spans="1:21" x14ac:dyDescent="0.3">
      <c r="A53" s="3" t="s">
        <v>19</v>
      </c>
      <c r="B53" s="3" t="s">
        <v>62</v>
      </c>
      <c r="C53" s="3"/>
      <c r="D53" s="3" t="s">
        <v>94</v>
      </c>
      <c r="E53" s="3" t="s">
        <v>95</v>
      </c>
      <c r="F53" s="3" t="s">
        <v>7</v>
      </c>
      <c r="G53" s="4"/>
      <c r="H53" s="5" t="str">
        <f t="shared" si="0"/>
        <v>Defs</v>
      </c>
      <c r="I53" t="str">
        <f>IF(Table2[[#This Row],[!Type]]=I$1, I$1,"rg:None")</f>
        <v>rg:None</v>
      </c>
      <c r="J53" t="str">
        <f>IF(Table2[[#This Row],[!Type]]=J$1, J$1,"rg:None")</f>
        <v>rg:None</v>
      </c>
      <c r="K53" t="str">
        <f>IF(Table2[[#This Row],[!Type]]=K$1, K$1,"rg:None")</f>
        <v>rg:None</v>
      </c>
      <c r="L53" s="10" t="str">
        <f>IF(Table2[[#This Row],[!Type]]=L$1, L$1,"rg:None")</f>
        <v>integer</v>
      </c>
      <c r="M53" s="5" t="str">
        <f>IF(Table2[[#This Row],[!Type]]=M$1, M$1,"rg:None")</f>
        <v>rg:None</v>
      </c>
      <c r="N53" s="5" t="str">
        <f>IF(Table2[[#This Row],[!Type]]=N$1, N$1,"rg:None")</f>
        <v>rg:None</v>
      </c>
      <c r="O53" s="5" t="str">
        <f>IF(Table2[[#This Row],[!Type]]=O$1, O$1,"rg:None")</f>
        <v>rg:None</v>
      </c>
      <c r="P53" s="5" t="str">
        <f>IF(Table2[[#This Row],[!Type]]=P$1, P$1,"rg:None")</f>
        <v>rg:None</v>
      </c>
      <c r="Q53" s="10" t="str">
        <f>IF(LEN(Table2[[#This Row],[!Length]]) &gt; 0, Table2[[#This Row],[!Length]], "rg:None")</f>
        <v>rg:None</v>
      </c>
      <c r="R53" s="10" t="str">
        <f>IF(LEN(Table2[[#This Row],[!Name]]) &gt; 0, Table2[[#This Row],[!Name]], "rg:None")</f>
        <v>numberOfBuses</v>
      </c>
      <c r="S53" s="10" t="str">
        <f>IF(LEN(Table2[[#This Row],[!Description]]) &gt; 0, Table2[[#This Row],[!Description]], "rg:None")</f>
        <v>The calculated count of the number of School Buses associated with this School Bus Owner</v>
      </c>
      <c r="T53" s="10" t="str">
        <f>IF(LEN(Table2[[#This Row],[!FK]])&gt;0,Table2[[#This Row],[!FK]],"rg:None")</f>
        <v>rg:None</v>
      </c>
      <c r="U53" s="10" t="str">
        <f>IF(LEN(concatif2(A:A,Table2[[#This Row],[!Table]],G:G,"Y",D:D,",")) &gt; 0,"rg:[ { 'req' : '"&amp;concatif2(A:A,Table2[[#This Row],[!Table]],G:G,"Y",D:D,"' }, { 'req': '")&amp;"'} ]","rg:[]")</f>
        <v>rg:[ { 'req' : 'id'} ]</v>
      </c>
    </row>
    <row r="54" spans="1:21" x14ac:dyDescent="0.3">
      <c r="A54" s="3" t="s">
        <v>19</v>
      </c>
      <c r="B54" s="3" t="s">
        <v>107</v>
      </c>
      <c r="C54" s="3"/>
      <c r="D54" s="3" t="s">
        <v>96</v>
      </c>
      <c r="E54" s="3" t="s">
        <v>7</v>
      </c>
      <c r="F54" s="3" t="s">
        <v>91</v>
      </c>
      <c r="G54" s="4"/>
      <c r="H54" s="5" t="str">
        <f t="shared" si="0"/>
        <v>Defs</v>
      </c>
      <c r="I54" t="str">
        <f>IF(Table2[[#This Row],[!Type]]=I$1, I$1,"rg:None")</f>
        <v>rg:None</v>
      </c>
      <c r="J54" t="str">
        <f>IF(Table2[[#This Row],[!Type]]=J$1, J$1,"rg:None")</f>
        <v>rg:None</v>
      </c>
      <c r="K54" t="str">
        <f>IF(Table2[[#This Row],[!Type]]=K$1, K$1,"rg:None")</f>
        <v>rg:None</v>
      </c>
      <c r="L54" s="10" t="str">
        <f>IF(Table2[[#This Row],[!Type]]=L$1, L$1,"rg:None")</f>
        <v>rg:None</v>
      </c>
      <c r="M54" s="5" t="str">
        <f>IF(Table2[[#This Row],[!Type]]=M$1, M$1,"rg:None")</f>
        <v>links</v>
      </c>
      <c r="N54" s="5" t="str">
        <f>IF(Table2[[#This Row],[!Type]]=N$1, N$1,"rg:None")</f>
        <v>rg:None</v>
      </c>
      <c r="O54" s="5" t="str">
        <f>IF(Table2[[#This Row],[!Type]]=O$1, O$1,"rg:None")</f>
        <v>rg:None</v>
      </c>
      <c r="P54" s="5" t="str">
        <f>IF(Table2[[#This Row],[!Type]]=P$1, P$1,"rg:None")</f>
        <v>rg:None</v>
      </c>
      <c r="Q54" s="10" t="str">
        <f>IF(LEN(Table2[[#This Row],[!Length]]) &gt; 0, Table2[[#This Row],[!Length]], "rg:None")</f>
        <v>rg:None</v>
      </c>
      <c r="R54" s="10" t="str">
        <f>IF(LEN(Table2[[#This Row],[!Name]]) &gt; 0, Table2[[#This Row],[!Name]], "rg:None")</f>
        <v>contacts</v>
      </c>
      <c r="S54" s="10" t="str">
        <f>IF(LEN(Table2[[#This Row],[!Description]]) &gt; 0, Table2[[#This Row],[!Description]], "rg:None")</f>
        <v>rg:None</v>
      </c>
      <c r="T54" s="10" t="str">
        <f>IF(LEN(Table2[[#This Row],[!FK]])&gt;0,Table2[[#This Row],[!FK]],"rg:None")</f>
        <v>SchoolBusOwnerContact</v>
      </c>
      <c r="U54" s="10" t="str">
        <f>IF(LEN(concatif2(A:A,Table2[[#This Row],[!Table]],G:G,"Y",D:D,",")) &gt; 0,"rg:[ { 'req' : '"&amp;concatif2(A:A,Table2[[#This Row],[!Table]],G:G,"Y",D:D,"' }, { 'req': '")&amp;"'} ]","rg:[]")</f>
        <v>rg:[ { 'req' : 'id'} ]</v>
      </c>
    </row>
    <row r="55" spans="1:21" x14ac:dyDescent="0.3">
      <c r="A55" s="3" t="s">
        <v>97</v>
      </c>
      <c r="B55" s="3" t="s">
        <v>5</v>
      </c>
      <c r="C55" s="3"/>
      <c r="D55" s="3" t="s">
        <v>97</v>
      </c>
      <c r="E55" s="3" t="s">
        <v>7</v>
      </c>
      <c r="F55" s="3" t="s">
        <v>7</v>
      </c>
      <c r="G55" s="4"/>
      <c r="H55" s="5" t="str">
        <f t="shared" si="0"/>
        <v>Defs</v>
      </c>
      <c r="I55" t="str">
        <f>IF(Table2[[#This Row],[!Type]]=I$1, I$1,"rg:None")</f>
        <v>rg:None</v>
      </c>
      <c r="J55" t="str">
        <f>IF(Table2[[#This Row],[!Type]]=J$1, J$1,"rg:None")</f>
        <v>rg:None</v>
      </c>
      <c r="K55" t="str">
        <f>IF(Table2[[#This Row],[!Type]]=K$1, K$1,"rg:None")</f>
        <v>rg:None</v>
      </c>
      <c r="L55" s="10" t="str">
        <f>IF(Table2[[#This Row],[!Type]]=L$1, L$1,"rg:None")</f>
        <v>rg:None</v>
      </c>
      <c r="M55" s="5" t="str">
        <f>IF(Table2[[#This Row],[!Type]]=M$1, M$1,"rg:None")</f>
        <v>rg:None</v>
      </c>
      <c r="N55" s="5" t="str">
        <f>IF(Table2[[#This Row],[!Type]]=N$1, N$1,"rg:None")</f>
        <v>rg:None</v>
      </c>
      <c r="O55" s="5" t="str">
        <f>IF(Table2[[#This Row],[!Type]]=O$1, O$1,"rg:None")</f>
        <v>rg:None</v>
      </c>
      <c r="P55" s="5" t="str">
        <f>IF(Table2[[#This Row],[!Type]]=P$1, P$1,"rg:None")</f>
        <v>table</v>
      </c>
      <c r="Q55" s="10" t="str">
        <f>IF(LEN(Table2[[#This Row],[!Length]]) &gt; 0, Table2[[#This Row],[!Length]], "rg:None")</f>
        <v>rg:None</v>
      </c>
      <c r="R55" s="10" t="str">
        <f>IF(LEN(Table2[[#This Row],[!Name]]) &gt; 0, Table2[[#This Row],[!Name]], "rg:None")</f>
        <v>SchoolBusOwnerAttachment</v>
      </c>
      <c r="S55" s="10" t="str">
        <f>IF(LEN(Table2[[#This Row],[!Description]]) &gt; 0, Table2[[#This Row],[!Description]], "rg:None")</f>
        <v>rg:None</v>
      </c>
      <c r="T55" s="10" t="str">
        <f>IF(LEN(Table2[[#This Row],[!FK]])&gt;0,Table2[[#This Row],[!FK]],"rg:None")</f>
        <v>rg:None</v>
      </c>
      <c r="U55" s="10" t="str">
        <f>IF(LEN(concatif2(A:A,Table2[[#This Row],[!Table]],G:G,"Y",D:D,",")) &gt; 0,"rg:[ { 'req' : '"&amp;concatif2(A:A,Table2[[#This Row],[!Table]],G:G,"Y",D:D,"' }, { 'req': '")&amp;"'} ]","rg:[]")</f>
        <v>rg:[ { 'req' : 'id'} ]</v>
      </c>
    </row>
    <row r="56" spans="1:21" x14ac:dyDescent="0.3">
      <c r="A56" s="3" t="s">
        <v>97</v>
      </c>
      <c r="B56" s="3" t="s">
        <v>8</v>
      </c>
      <c r="C56" s="3"/>
      <c r="D56" s="3" t="s">
        <v>8</v>
      </c>
      <c r="E56" s="3" t="s">
        <v>9</v>
      </c>
      <c r="F56" s="3" t="s">
        <v>7</v>
      </c>
      <c r="G56" s="4" t="s">
        <v>211</v>
      </c>
      <c r="H56" s="5" t="str">
        <f t="shared" si="0"/>
        <v>Defs</v>
      </c>
      <c r="I56" t="str">
        <f>IF(Table2[[#This Row],[!Type]]=I$1, I$1,"rg:None")</f>
        <v>rg:None</v>
      </c>
      <c r="J56" t="str">
        <f>IF(Table2[[#This Row],[!Type]]=J$1, J$1,"rg:None")</f>
        <v>rg:None</v>
      </c>
      <c r="K56" t="str">
        <f>IF(Table2[[#This Row],[!Type]]=K$1, K$1,"rg:None")</f>
        <v>id</v>
      </c>
      <c r="L56" s="10" t="str">
        <f>IF(Table2[[#This Row],[!Type]]=L$1, L$1,"rg:None")</f>
        <v>rg:None</v>
      </c>
      <c r="M56" s="5" t="str">
        <f>IF(Table2[[#This Row],[!Type]]=M$1, M$1,"rg:None")</f>
        <v>rg:None</v>
      </c>
      <c r="N56" s="5" t="str">
        <f>IF(Table2[[#This Row],[!Type]]=N$1, N$1,"rg:None")</f>
        <v>rg:None</v>
      </c>
      <c r="O56" s="5" t="str">
        <f>IF(Table2[[#This Row],[!Type]]=O$1, O$1,"rg:None")</f>
        <v>rg:None</v>
      </c>
      <c r="P56" s="5" t="str">
        <f>IF(Table2[[#This Row],[!Type]]=P$1, P$1,"rg:None")</f>
        <v>rg:None</v>
      </c>
      <c r="Q56" s="10" t="str">
        <f>IF(LEN(Table2[[#This Row],[!Length]]) &gt; 0, Table2[[#This Row],[!Length]], "rg:None")</f>
        <v>rg:None</v>
      </c>
      <c r="R56" s="10" t="str">
        <f>IF(LEN(Table2[[#This Row],[!Name]]) &gt; 0, Table2[[#This Row],[!Name]], "rg:None")</f>
        <v>id</v>
      </c>
      <c r="S56" s="10" t="str">
        <f>IF(LEN(Table2[[#This Row],[!Description]]) &gt; 0, Table2[[#This Row],[!Description]], "rg:None")</f>
        <v>Primary Key</v>
      </c>
      <c r="T56" s="10" t="str">
        <f>IF(LEN(Table2[[#This Row],[!FK]])&gt;0,Table2[[#This Row],[!FK]],"rg:None")</f>
        <v>rg:None</v>
      </c>
      <c r="U56" s="10" t="str">
        <f>IF(LEN(concatif2(A:A,Table2[[#This Row],[!Table]],G:G,"Y",D:D,",")) &gt; 0,"rg:[ { 'req' : '"&amp;concatif2(A:A,Table2[[#This Row],[!Table]],G:G,"Y",D:D,"' }, { 'req': '")&amp;"'} ]","rg:[]")</f>
        <v>rg:[ { 'req' : 'id'} ]</v>
      </c>
    </row>
    <row r="57" spans="1:21" x14ac:dyDescent="0.3">
      <c r="A57" s="3" t="s">
        <v>97</v>
      </c>
      <c r="B57" s="3" t="s">
        <v>17</v>
      </c>
      <c r="C57" s="3"/>
      <c r="D57" s="3" t="s">
        <v>18</v>
      </c>
      <c r="E57" s="3" t="s">
        <v>7</v>
      </c>
      <c r="F57" s="3" t="s">
        <v>19</v>
      </c>
      <c r="G57" s="4"/>
      <c r="H57" s="5" t="str">
        <f t="shared" si="0"/>
        <v>Defs</v>
      </c>
      <c r="I57" t="str">
        <f>IF(Table2[[#This Row],[!Type]]=I$1, I$1,"rg:None")</f>
        <v>rg:None</v>
      </c>
      <c r="J57" t="str">
        <f>IF(Table2[[#This Row],[!Type]]=J$1, J$1,"rg:None")</f>
        <v>rg:None</v>
      </c>
      <c r="K57" t="str">
        <f>IF(Table2[[#This Row],[!Type]]=K$1, K$1,"rg:None")</f>
        <v>rg:None</v>
      </c>
      <c r="L57" s="10" t="str">
        <f>IF(Table2[[#This Row],[!Type]]=L$1, L$1,"rg:None")</f>
        <v>rg:None</v>
      </c>
      <c r="M57" s="5" t="str">
        <f>IF(Table2[[#This Row],[!Type]]=M$1, M$1,"rg:None")</f>
        <v>rg:None</v>
      </c>
      <c r="N57" s="5" t="str">
        <f>IF(Table2[[#This Row],[!Type]]=N$1, N$1,"rg:None")</f>
        <v>ref</v>
      </c>
      <c r="O57" s="5" t="str">
        <f>IF(Table2[[#This Row],[!Type]]=O$1, O$1,"rg:None")</f>
        <v>rg:None</v>
      </c>
      <c r="P57" s="5" t="str">
        <f>IF(Table2[[#This Row],[!Type]]=P$1, P$1,"rg:None")</f>
        <v>rg:None</v>
      </c>
      <c r="Q57" s="10" t="str">
        <f>IF(LEN(Table2[[#This Row],[!Length]]) &gt; 0, Table2[[#This Row],[!Length]], "rg:None")</f>
        <v>rg:None</v>
      </c>
      <c r="R57" s="10" t="str">
        <f>IF(LEN(Table2[[#This Row],[!Name]]) &gt; 0, Table2[[#This Row],[!Name]], "rg:None")</f>
        <v>schoolBusOwner</v>
      </c>
      <c r="S57" s="10" t="str">
        <f>IF(LEN(Table2[[#This Row],[!Description]]) &gt; 0, Table2[[#This Row],[!Description]], "rg:None")</f>
        <v>rg:None</v>
      </c>
      <c r="T57" s="10" t="str">
        <f>IF(LEN(Table2[[#This Row],[!FK]])&gt;0,Table2[[#This Row],[!FK]],"rg:None")</f>
        <v>SchoolBusOwner</v>
      </c>
      <c r="U57" s="10" t="str">
        <f>IF(LEN(concatif2(A:A,Table2[[#This Row],[!Table]],G:G,"Y",D:D,",")) &gt; 0,"rg:[ { 'req' : '"&amp;concatif2(A:A,Table2[[#This Row],[!Table]],G:G,"Y",D:D,"' }, { 'req': '")&amp;"'} ]","rg:[]")</f>
        <v>rg:[ { 'req' : 'id'} ]</v>
      </c>
    </row>
    <row r="58" spans="1:21" x14ac:dyDescent="0.3">
      <c r="A58" s="3" t="s">
        <v>97</v>
      </c>
      <c r="B58" s="3" t="s">
        <v>10</v>
      </c>
      <c r="C58" s="3"/>
      <c r="D58" s="3" t="s">
        <v>76</v>
      </c>
      <c r="E58" s="3" t="s">
        <v>77</v>
      </c>
      <c r="F58" s="3" t="s">
        <v>7</v>
      </c>
      <c r="G58" s="4"/>
      <c r="H58" s="5" t="str">
        <f t="shared" si="0"/>
        <v>Defs</v>
      </c>
      <c r="I58" t="str">
        <f>IF(Table2[[#This Row],[!Type]]=I$1, I$1,"rg:None")</f>
        <v>rg:None</v>
      </c>
      <c r="J58" t="str">
        <f>IF(Table2[[#This Row],[!Type]]=J$1, J$1,"rg:None")</f>
        <v>rg:None</v>
      </c>
      <c r="K58" t="str">
        <f>IF(Table2[[#This Row],[!Type]]=K$1, K$1,"rg:None")</f>
        <v>rg:None</v>
      </c>
      <c r="L58" s="10" t="str">
        <f>IF(Table2[[#This Row],[!Type]]=L$1, L$1,"rg:None")</f>
        <v>rg:None</v>
      </c>
      <c r="M58" s="5" t="str">
        <f>IF(Table2[[#This Row],[!Type]]=M$1, M$1,"rg:None")</f>
        <v>rg:None</v>
      </c>
      <c r="N58" s="5" t="str">
        <f>IF(Table2[[#This Row],[!Type]]=N$1, N$1,"rg:None")</f>
        <v>rg:None</v>
      </c>
      <c r="O58" s="5" t="str">
        <f>IF(Table2[[#This Row],[!Type]]=O$1, O$1,"rg:None")</f>
        <v>string</v>
      </c>
      <c r="P58" s="5" t="str">
        <f>IF(Table2[[#This Row],[!Type]]=P$1, P$1,"rg:None")</f>
        <v>rg:None</v>
      </c>
      <c r="Q58" s="10" t="str">
        <f>IF(LEN(Table2[[#This Row],[!Length]]) &gt; 0, Table2[[#This Row],[!Length]], "rg:None")</f>
        <v>rg:None</v>
      </c>
      <c r="R58" s="10" t="str">
        <f>IF(LEN(Table2[[#This Row],[!Name]]) &gt; 0, Table2[[#This Row],[!Name]], "rg:None")</f>
        <v>internalFileName</v>
      </c>
      <c r="S58" s="10" t="str">
        <f>IF(LEN(Table2[[#This Row],[!Description]]) &gt; 0, Table2[[#This Row],[!Description]], "rg:None")</f>
        <v>The physical location of the attachment on the file system.</v>
      </c>
      <c r="T58" s="10" t="str">
        <f>IF(LEN(Table2[[#This Row],[!FK]])&gt;0,Table2[[#This Row],[!FK]],"rg:None")</f>
        <v>rg:None</v>
      </c>
      <c r="U58" s="10" t="str">
        <f>IF(LEN(concatif2(A:A,Table2[[#This Row],[!Table]],G:G,"Y",D:D,",")) &gt; 0,"rg:[ { 'req' : '"&amp;concatif2(A:A,Table2[[#This Row],[!Table]],G:G,"Y",D:D,"' }, { 'req': '")&amp;"'} ]","rg:[]")</f>
        <v>rg:[ { 'req' : 'id'} ]</v>
      </c>
    </row>
    <row r="59" spans="1:21" x14ac:dyDescent="0.3">
      <c r="A59" s="3" t="s">
        <v>97</v>
      </c>
      <c r="B59" s="3" t="s">
        <v>10</v>
      </c>
      <c r="C59" s="3"/>
      <c r="D59" s="3" t="s">
        <v>78</v>
      </c>
      <c r="E59" s="3" t="s">
        <v>79</v>
      </c>
      <c r="F59" s="3" t="s">
        <v>7</v>
      </c>
      <c r="G59" s="4"/>
      <c r="H59" s="5" t="str">
        <f t="shared" si="0"/>
        <v>Defs</v>
      </c>
      <c r="I59" t="str">
        <f>IF(Table2[[#This Row],[!Type]]=I$1, I$1,"rg:None")</f>
        <v>rg:None</v>
      </c>
      <c r="J59" t="str">
        <f>IF(Table2[[#This Row],[!Type]]=J$1, J$1,"rg:None")</f>
        <v>rg:None</v>
      </c>
      <c r="K59" t="str">
        <f>IF(Table2[[#This Row],[!Type]]=K$1, K$1,"rg:None")</f>
        <v>rg:None</v>
      </c>
      <c r="L59" s="10" t="str">
        <f>IF(Table2[[#This Row],[!Type]]=L$1, L$1,"rg:None")</f>
        <v>rg:None</v>
      </c>
      <c r="M59" s="5" t="str">
        <f>IF(Table2[[#This Row],[!Type]]=M$1, M$1,"rg:None")</f>
        <v>rg:None</v>
      </c>
      <c r="N59" s="5" t="str">
        <f>IF(Table2[[#This Row],[!Type]]=N$1, N$1,"rg:None")</f>
        <v>rg:None</v>
      </c>
      <c r="O59" s="5" t="str">
        <f>IF(Table2[[#This Row],[!Type]]=O$1, O$1,"rg:None")</f>
        <v>string</v>
      </c>
      <c r="P59" s="5" t="str">
        <f>IF(Table2[[#This Row],[!Type]]=P$1, P$1,"rg:None")</f>
        <v>rg:None</v>
      </c>
      <c r="Q59" s="10" t="str">
        <f>IF(LEN(Table2[[#This Row],[!Length]]) &gt; 0, Table2[[#This Row],[!Length]], "rg:None")</f>
        <v>rg:None</v>
      </c>
      <c r="R59" s="10" t="str">
        <f>IF(LEN(Table2[[#This Row],[!Name]]) &gt; 0, Table2[[#This Row],[!Name]], "rg:None")</f>
        <v>externalFileName</v>
      </c>
      <c r="S59" s="10" t="str">
        <f>IF(LEN(Table2[[#This Row],[!Description]]) &gt; 0, Table2[[#This Row],[!Description]], "rg:None")</f>
        <v>The name of the attachment as defined by the user in uploading the document.</v>
      </c>
      <c r="T59" s="10" t="str">
        <f>IF(LEN(Table2[[#This Row],[!FK]])&gt;0,Table2[[#This Row],[!FK]],"rg:None")</f>
        <v>rg:None</v>
      </c>
      <c r="U59" s="10" t="str">
        <f>IF(LEN(concatif2(A:A,Table2[[#This Row],[!Table]],G:G,"Y",D:D,",")) &gt; 0,"rg:[ { 'req' : '"&amp;concatif2(A:A,Table2[[#This Row],[!Table]],G:G,"Y",D:D,"' }, { 'req': '")&amp;"'} ]","rg:[]")</f>
        <v>rg:[ { 'req' : 'id'} ]</v>
      </c>
    </row>
    <row r="60" spans="1:21" x14ac:dyDescent="0.3">
      <c r="A60" s="3" t="s">
        <v>97</v>
      </c>
      <c r="B60" s="3" t="s">
        <v>10</v>
      </c>
      <c r="C60" s="3"/>
      <c r="D60" s="3" t="s">
        <v>80</v>
      </c>
      <c r="E60" s="3" t="s">
        <v>81</v>
      </c>
      <c r="F60" s="3" t="s">
        <v>7</v>
      </c>
      <c r="G60" s="4"/>
      <c r="H60" s="5" t="str">
        <f t="shared" si="0"/>
        <v>Defs</v>
      </c>
      <c r="I60" t="str">
        <f>IF(Table2[[#This Row],[!Type]]=I$1, I$1,"rg:None")</f>
        <v>rg:None</v>
      </c>
      <c r="J60" t="str">
        <f>IF(Table2[[#This Row],[!Type]]=J$1, J$1,"rg:None")</f>
        <v>rg:None</v>
      </c>
      <c r="K60" t="str">
        <f>IF(Table2[[#This Row],[!Type]]=K$1, K$1,"rg:None")</f>
        <v>rg:None</v>
      </c>
      <c r="L60" s="10" t="str">
        <f>IF(Table2[[#This Row],[!Type]]=L$1, L$1,"rg:None")</f>
        <v>rg:None</v>
      </c>
      <c r="M60" s="5" t="str">
        <f>IF(Table2[[#This Row],[!Type]]=M$1, M$1,"rg:None")</f>
        <v>rg:None</v>
      </c>
      <c r="N60" s="5" t="str">
        <f>IF(Table2[[#This Row],[!Type]]=N$1, N$1,"rg:None")</f>
        <v>rg:None</v>
      </c>
      <c r="O60" s="5" t="str">
        <f>IF(Table2[[#This Row],[!Type]]=O$1, O$1,"rg:None")</f>
        <v>string</v>
      </c>
      <c r="P60" s="5" t="str">
        <f>IF(Table2[[#This Row],[!Type]]=P$1, P$1,"rg:None")</f>
        <v>rg:None</v>
      </c>
      <c r="Q60" s="10" t="str">
        <f>IF(LEN(Table2[[#This Row],[!Length]]) &gt; 0, Table2[[#This Row],[!Length]], "rg:None")</f>
        <v>rg:None</v>
      </c>
      <c r="R60" s="10" t="str">
        <f>IF(LEN(Table2[[#This Row],[!Name]]) &gt; 0, Table2[[#This Row],[!Name]], "rg:None")</f>
        <v>description</v>
      </c>
      <c r="S60" s="10" t="str">
        <f>IF(LEN(Table2[[#This Row],[!Description]]) &gt; 0, Table2[[#This Row],[!Description]], "rg:None")</f>
        <v>A note about the attachment,  optionally maintained by the user.</v>
      </c>
      <c r="T60" s="10" t="str">
        <f>IF(LEN(Table2[[#This Row],[!FK]])&gt;0,Table2[[#This Row],[!FK]],"rg:None")</f>
        <v>rg:None</v>
      </c>
      <c r="U60" s="10" t="str">
        <f>IF(LEN(concatif2(A:A,Table2[[#This Row],[!Table]],G:G,"Y",D:D,",")) &gt; 0,"rg:[ { 'req' : '"&amp;concatif2(A:A,Table2[[#This Row],[!Table]],G:G,"Y",D:D,"' }, { 'req': '")&amp;"'} ]","rg:[]")</f>
        <v>rg:[ { 'req' : 'id'} ]</v>
      </c>
    </row>
    <row r="61" spans="1:21" x14ac:dyDescent="0.3">
      <c r="A61" s="3" t="s">
        <v>98</v>
      </c>
      <c r="B61" s="3" t="s">
        <v>5</v>
      </c>
      <c r="C61" s="3"/>
      <c r="D61" s="3" t="s">
        <v>98</v>
      </c>
      <c r="E61" s="3" t="s">
        <v>7</v>
      </c>
      <c r="F61" s="3" t="s">
        <v>7</v>
      </c>
      <c r="G61" s="4"/>
      <c r="H61" s="5" t="str">
        <f t="shared" si="0"/>
        <v>Defs</v>
      </c>
      <c r="I61" t="str">
        <f>IF(Table2[[#This Row],[!Type]]=I$1, I$1,"rg:None")</f>
        <v>rg:None</v>
      </c>
      <c r="J61" t="str">
        <f>IF(Table2[[#This Row],[!Type]]=J$1, J$1,"rg:None")</f>
        <v>rg:None</v>
      </c>
      <c r="K61" t="str">
        <f>IF(Table2[[#This Row],[!Type]]=K$1, K$1,"rg:None")</f>
        <v>rg:None</v>
      </c>
      <c r="L61" s="10" t="str">
        <f>IF(Table2[[#This Row],[!Type]]=L$1, L$1,"rg:None")</f>
        <v>rg:None</v>
      </c>
      <c r="M61" s="5" t="str">
        <f>IF(Table2[[#This Row],[!Type]]=M$1, M$1,"rg:None")</f>
        <v>rg:None</v>
      </c>
      <c r="N61" s="5" t="str">
        <f>IF(Table2[[#This Row],[!Type]]=N$1, N$1,"rg:None")</f>
        <v>rg:None</v>
      </c>
      <c r="O61" s="5" t="str">
        <f>IF(Table2[[#This Row],[!Type]]=O$1, O$1,"rg:None")</f>
        <v>rg:None</v>
      </c>
      <c r="P61" s="5" t="str">
        <f>IF(Table2[[#This Row],[!Type]]=P$1, P$1,"rg:None")</f>
        <v>table</v>
      </c>
      <c r="Q61" s="10" t="str">
        <f>IF(LEN(Table2[[#This Row],[!Length]]) &gt; 0, Table2[[#This Row],[!Length]], "rg:None")</f>
        <v>rg:None</v>
      </c>
      <c r="R61" s="10" t="str">
        <f>IF(LEN(Table2[[#This Row],[!Name]]) &gt; 0, Table2[[#This Row],[!Name]], "rg:None")</f>
        <v>SchoolBusOwnerNote</v>
      </c>
      <c r="S61" s="10" t="str">
        <f>IF(LEN(Table2[[#This Row],[!Description]]) &gt; 0, Table2[[#This Row],[!Description]], "rg:None")</f>
        <v>rg:None</v>
      </c>
      <c r="T61" s="10" t="str">
        <f>IF(LEN(Table2[[#This Row],[!FK]])&gt;0,Table2[[#This Row],[!FK]],"rg:None")</f>
        <v>rg:None</v>
      </c>
      <c r="U61" s="10" t="str">
        <f>IF(LEN(concatif2(A:A,Table2[[#This Row],[!Table]],G:G,"Y",D:D,",")) &gt; 0,"rg:[ { 'req' : '"&amp;concatif2(A:A,Table2[[#This Row],[!Table]],G:G,"Y",D:D,"' }, { 'req': '")&amp;"'} ]","rg:[]")</f>
        <v>rg:[ { 'req' : 'id'} ]</v>
      </c>
    </row>
    <row r="62" spans="1:21" x14ac:dyDescent="0.3">
      <c r="A62" s="3" t="s">
        <v>98</v>
      </c>
      <c r="B62" s="3" t="s">
        <v>8</v>
      </c>
      <c r="C62" s="3"/>
      <c r="D62" s="3" t="s">
        <v>8</v>
      </c>
      <c r="E62" s="3" t="s">
        <v>9</v>
      </c>
      <c r="F62" s="3" t="s">
        <v>7</v>
      </c>
      <c r="G62" s="4" t="s">
        <v>211</v>
      </c>
      <c r="H62" s="5" t="str">
        <f t="shared" si="0"/>
        <v>Defs</v>
      </c>
      <c r="I62" t="str">
        <f>IF(Table2[[#This Row],[!Type]]=I$1, I$1,"rg:None")</f>
        <v>rg:None</v>
      </c>
      <c r="J62" t="str">
        <f>IF(Table2[[#This Row],[!Type]]=J$1, J$1,"rg:None")</f>
        <v>rg:None</v>
      </c>
      <c r="K62" t="str">
        <f>IF(Table2[[#This Row],[!Type]]=K$1, K$1,"rg:None")</f>
        <v>id</v>
      </c>
      <c r="L62" s="10" t="str">
        <f>IF(Table2[[#This Row],[!Type]]=L$1, L$1,"rg:None")</f>
        <v>rg:None</v>
      </c>
      <c r="M62" s="5" t="str">
        <f>IF(Table2[[#This Row],[!Type]]=M$1, M$1,"rg:None")</f>
        <v>rg:None</v>
      </c>
      <c r="N62" s="5" t="str">
        <f>IF(Table2[[#This Row],[!Type]]=N$1, N$1,"rg:None")</f>
        <v>rg:None</v>
      </c>
      <c r="O62" s="5" t="str">
        <f>IF(Table2[[#This Row],[!Type]]=O$1, O$1,"rg:None")</f>
        <v>rg:None</v>
      </c>
      <c r="P62" s="5" t="str">
        <f>IF(Table2[[#This Row],[!Type]]=P$1, P$1,"rg:None")</f>
        <v>rg:None</v>
      </c>
      <c r="Q62" s="10" t="str">
        <f>IF(LEN(Table2[[#This Row],[!Length]]) &gt; 0, Table2[[#This Row],[!Length]], "rg:None")</f>
        <v>rg:None</v>
      </c>
      <c r="R62" s="10" t="str">
        <f>IF(LEN(Table2[[#This Row],[!Name]]) &gt; 0, Table2[[#This Row],[!Name]], "rg:None")</f>
        <v>id</v>
      </c>
      <c r="S62" s="10" t="str">
        <f>IF(LEN(Table2[[#This Row],[!Description]]) &gt; 0, Table2[[#This Row],[!Description]], "rg:None")</f>
        <v>Primary Key</v>
      </c>
      <c r="T62" s="10" t="str">
        <f>IF(LEN(Table2[[#This Row],[!FK]])&gt;0,Table2[[#This Row],[!FK]],"rg:None")</f>
        <v>rg:None</v>
      </c>
      <c r="U62" s="10" t="str">
        <f>IF(LEN(concatif2(A:A,Table2[[#This Row],[!Table]],G:G,"Y",D:D,",")) &gt; 0,"rg:[ { 'req' : '"&amp;concatif2(A:A,Table2[[#This Row],[!Table]],G:G,"Y",D:D,"' }, { 'req': '")&amp;"'} ]","rg:[]")</f>
        <v>rg:[ { 'req' : 'id'} ]</v>
      </c>
    </row>
    <row r="63" spans="1:21" x14ac:dyDescent="0.3">
      <c r="A63" s="3" t="s">
        <v>98</v>
      </c>
      <c r="B63" s="3" t="s">
        <v>24</v>
      </c>
      <c r="C63" s="3"/>
      <c r="D63" s="3" t="s">
        <v>71</v>
      </c>
      <c r="E63" s="3" t="s">
        <v>72</v>
      </c>
      <c r="F63" s="3" t="s">
        <v>7</v>
      </c>
      <c r="G63" s="4"/>
      <c r="H63" s="5" t="str">
        <f t="shared" si="0"/>
        <v>Defs</v>
      </c>
      <c r="I63" t="str">
        <f>IF(Table2[[#This Row],[!Type]]=I$1, I$1,"rg:None")</f>
        <v>boolean</v>
      </c>
      <c r="J63" t="str">
        <f>IF(Table2[[#This Row],[!Type]]=J$1, J$1,"rg:None")</f>
        <v>rg:None</v>
      </c>
      <c r="K63" t="str">
        <f>IF(Table2[[#This Row],[!Type]]=K$1, K$1,"rg:None")</f>
        <v>rg:None</v>
      </c>
      <c r="L63" s="10" t="str">
        <f>IF(Table2[[#This Row],[!Type]]=L$1, L$1,"rg:None")</f>
        <v>rg:None</v>
      </c>
      <c r="M63" s="5" t="str">
        <f>IF(Table2[[#This Row],[!Type]]=M$1, M$1,"rg:None")</f>
        <v>rg:None</v>
      </c>
      <c r="N63" s="5" t="str">
        <f>IF(Table2[[#This Row],[!Type]]=N$1, N$1,"rg:None")</f>
        <v>rg:None</v>
      </c>
      <c r="O63" s="5" t="str">
        <f>IF(Table2[[#This Row],[!Type]]=O$1, O$1,"rg:None")</f>
        <v>rg:None</v>
      </c>
      <c r="P63" s="5" t="str">
        <f>IF(Table2[[#This Row],[!Type]]=P$1, P$1,"rg:None")</f>
        <v>rg:None</v>
      </c>
      <c r="Q63" s="10" t="str">
        <f>IF(LEN(Table2[[#This Row],[!Length]]) &gt; 0, Table2[[#This Row],[!Length]], "rg:None")</f>
        <v>rg:None</v>
      </c>
      <c r="R63" s="10" t="str">
        <f>IF(LEN(Table2[[#This Row],[!Name]]) &gt; 0, Table2[[#This Row],[!Name]], "rg:None")</f>
        <v>isNoLongerRelevant</v>
      </c>
      <c r="S63" s="10" t="str">
        <f>IF(LEN(Table2[[#This Row],[!Description]]) &gt; 0, Table2[[#This Row],[!Description]], "rg:None")</f>
        <v>A user set flag that the note is no longer relevant. Allows the note to be retained for historical reasons,  but identified to the user as no longer relevant.</v>
      </c>
      <c r="T63" s="10" t="str">
        <f>IF(LEN(Table2[[#This Row],[!FK]])&gt;0,Table2[[#This Row],[!FK]],"rg:None")</f>
        <v>rg:None</v>
      </c>
      <c r="U63" s="10" t="str">
        <f>IF(LEN(concatif2(A:A,Table2[[#This Row],[!Table]],G:G,"Y",D:D,",")) &gt; 0,"rg:[ { 'req' : '"&amp;concatif2(A:A,Table2[[#This Row],[!Table]],G:G,"Y",D:D,"' }, { 'req': '")&amp;"'} ]","rg:[]")</f>
        <v>rg:[ { 'req' : 'id'} ]</v>
      </c>
    </row>
    <row r="64" spans="1:21" x14ac:dyDescent="0.3">
      <c r="A64" s="3" t="s">
        <v>98</v>
      </c>
      <c r="B64" s="3" t="s">
        <v>10</v>
      </c>
      <c r="C64" s="3"/>
      <c r="D64" s="3" t="s">
        <v>69</v>
      </c>
      <c r="E64" s="3" t="s">
        <v>70</v>
      </c>
      <c r="F64" s="3" t="s">
        <v>7</v>
      </c>
      <c r="G64" s="4"/>
      <c r="H64" s="5" t="str">
        <f t="shared" si="0"/>
        <v>Defs</v>
      </c>
      <c r="I64" t="str">
        <f>IF(Table2[[#This Row],[!Type]]=I$1, I$1,"rg:None")</f>
        <v>rg:None</v>
      </c>
      <c r="J64" t="str">
        <f>IF(Table2[[#This Row],[!Type]]=J$1, J$1,"rg:None")</f>
        <v>rg:None</v>
      </c>
      <c r="K64" t="str">
        <f>IF(Table2[[#This Row],[!Type]]=K$1, K$1,"rg:None")</f>
        <v>rg:None</v>
      </c>
      <c r="L64" s="10" t="str">
        <f>IF(Table2[[#This Row],[!Type]]=L$1, L$1,"rg:None")</f>
        <v>rg:None</v>
      </c>
      <c r="M64" s="5" t="str">
        <f>IF(Table2[[#This Row],[!Type]]=M$1, M$1,"rg:None")</f>
        <v>rg:None</v>
      </c>
      <c r="N64" s="5" t="str">
        <f>IF(Table2[[#This Row],[!Type]]=N$1, N$1,"rg:None")</f>
        <v>rg:None</v>
      </c>
      <c r="O64" s="5" t="str">
        <f>IF(Table2[[#This Row],[!Type]]=O$1, O$1,"rg:None")</f>
        <v>string</v>
      </c>
      <c r="P64" s="5" t="str">
        <f>IF(Table2[[#This Row],[!Type]]=P$1, P$1,"rg:None")</f>
        <v>rg:None</v>
      </c>
      <c r="Q64" s="10" t="str">
        <f>IF(LEN(Table2[[#This Row],[!Length]]) &gt; 0, Table2[[#This Row],[!Length]], "rg:None")</f>
        <v>rg:None</v>
      </c>
      <c r="R64" s="10" t="str">
        <f>IF(LEN(Table2[[#This Row],[!Name]]) &gt; 0, Table2[[#This Row],[!Name]], "rg:None")</f>
        <v>note</v>
      </c>
      <c r="S64" s="10" t="str">
        <f>IF(LEN(Table2[[#This Row],[!Description]]) &gt; 0, Table2[[#This Row],[!Description]], "rg:None")</f>
        <v>The contents of the note.</v>
      </c>
      <c r="T64" s="10" t="str">
        <f>IF(LEN(Table2[[#This Row],[!FK]])&gt;0,Table2[[#This Row],[!FK]],"rg:None")</f>
        <v>rg:None</v>
      </c>
      <c r="U64" s="10" t="str">
        <f>IF(LEN(concatif2(A:A,Table2[[#This Row],[!Table]],G:G,"Y",D:D,",")) &gt; 0,"rg:[ { 'req' : '"&amp;concatif2(A:A,Table2[[#This Row],[!Table]],G:G,"Y",D:D,"' }, { 'req': '")&amp;"'} ]","rg:[]")</f>
        <v>rg:[ { 'req' : 'id'} ]</v>
      </c>
    </row>
    <row r="65" spans="1:21" x14ac:dyDescent="0.3">
      <c r="A65" s="3" t="s">
        <v>98</v>
      </c>
      <c r="B65" s="3" t="s">
        <v>17</v>
      </c>
      <c r="C65" s="3"/>
      <c r="D65" s="3" t="s">
        <v>18</v>
      </c>
      <c r="E65" s="3" t="s">
        <v>7</v>
      </c>
      <c r="F65" s="3" t="s">
        <v>19</v>
      </c>
      <c r="G65" s="4"/>
      <c r="H65" s="5" t="str">
        <f t="shared" si="0"/>
        <v>Defs</v>
      </c>
      <c r="I65" t="str">
        <f>IF(Table2[[#This Row],[!Type]]=I$1, I$1,"rg:None")</f>
        <v>rg:None</v>
      </c>
      <c r="J65" t="str">
        <f>IF(Table2[[#This Row],[!Type]]=J$1, J$1,"rg:None")</f>
        <v>rg:None</v>
      </c>
      <c r="K65" t="str">
        <f>IF(Table2[[#This Row],[!Type]]=K$1, K$1,"rg:None")</f>
        <v>rg:None</v>
      </c>
      <c r="L65" s="10" t="str">
        <f>IF(Table2[[#This Row],[!Type]]=L$1, L$1,"rg:None")</f>
        <v>rg:None</v>
      </c>
      <c r="M65" s="5" t="str">
        <f>IF(Table2[[#This Row],[!Type]]=M$1, M$1,"rg:None")</f>
        <v>rg:None</v>
      </c>
      <c r="N65" s="5" t="str">
        <f>IF(Table2[[#This Row],[!Type]]=N$1, N$1,"rg:None")</f>
        <v>ref</v>
      </c>
      <c r="O65" s="5" t="str">
        <f>IF(Table2[[#This Row],[!Type]]=O$1, O$1,"rg:None")</f>
        <v>rg:None</v>
      </c>
      <c r="P65" s="5" t="str">
        <f>IF(Table2[[#This Row],[!Type]]=P$1, P$1,"rg:None")</f>
        <v>rg:None</v>
      </c>
      <c r="Q65" s="10" t="str">
        <f>IF(LEN(Table2[[#This Row],[!Length]]) &gt; 0, Table2[[#This Row],[!Length]], "rg:None")</f>
        <v>rg:None</v>
      </c>
      <c r="R65" s="10" t="str">
        <f>IF(LEN(Table2[[#This Row],[!Name]]) &gt; 0, Table2[[#This Row],[!Name]], "rg:None")</f>
        <v>schoolBusOwner</v>
      </c>
      <c r="S65" s="10" t="str">
        <f>IF(LEN(Table2[[#This Row],[!Description]]) &gt; 0, Table2[[#This Row],[!Description]], "rg:None")</f>
        <v>rg:None</v>
      </c>
      <c r="T65" s="10" t="str">
        <f>IF(LEN(Table2[[#This Row],[!FK]])&gt;0,Table2[[#This Row],[!FK]],"rg:None")</f>
        <v>SchoolBusOwner</v>
      </c>
      <c r="U65" s="10" t="str">
        <f>IF(LEN(concatif2(A:A,Table2[[#This Row],[!Table]],G:G,"Y",D:D,",")) &gt; 0,"rg:[ { 'req' : '"&amp;concatif2(A:A,Table2[[#This Row],[!Table]],G:G,"Y",D:D,"' }, { 'req': '")&amp;"'} ]","rg:[]")</f>
        <v>rg:[ { 'req' : 'id'} ]</v>
      </c>
    </row>
    <row r="66" spans="1:21" x14ac:dyDescent="0.3">
      <c r="A66" s="3" t="s">
        <v>91</v>
      </c>
      <c r="B66" s="3" t="s">
        <v>5</v>
      </c>
      <c r="C66" s="3"/>
      <c r="D66" s="3" t="s">
        <v>91</v>
      </c>
      <c r="E66" s="3" t="s">
        <v>7</v>
      </c>
      <c r="F66" s="3" t="s">
        <v>7</v>
      </c>
      <c r="G66" s="4"/>
      <c r="H66" s="5" t="str">
        <f t="shared" si="0"/>
        <v>Defs</v>
      </c>
      <c r="I66" t="str">
        <f>IF(Table2[[#This Row],[!Type]]=I$1, I$1,"rg:None")</f>
        <v>rg:None</v>
      </c>
      <c r="J66" t="str">
        <f>IF(Table2[[#This Row],[!Type]]=J$1, J$1,"rg:None")</f>
        <v>rg:None</v>
      </c>
      <c r="K66" t="str">
        <f>IF(Table2[[#This Row],[!Type]]=K$1, K$1,"rg:None")</f>
        <v>rg:None</v>
      </c>
      <c r="L66" s="10" t="str">
        <f>IF(Table2[[#This Row],[!Type]]=L$1, L$1,"rg:None")</f>
        <v>rg:None</v>
      </c>
      <c r="M66" s="5" t="str">
        <f>IF(Table2[[#This Row],[!Type]]=M$1, M$1,"rg:None")</f>
        <v>rg:None</v>
      </c>
      <c r="N66" s="5" t="str">
        <f>IF(Table2[[#This Row],[!Type]]=N$1, N$1,"rg:None")</f>
        <v>rg:None</v>
      </c>
      <c r="O66" s="5" t="str">
        <f>IF(Table2[[#This Row],[!Type]]=O$1, O$1,"rg:None")</f>
        <v>rg:None</v>
      </c>
      <c r="P66" s="5" t="str">
        <f>IF(Table2[[#This Row],[!Type]]=P$1, P$1,"rg:None")</f>
        <v>table</v>
      </c>
      <c r="Q66" s="10" t="str">
        <f>IF(LEN(Table2[[#This Row],[!Length]]) &gt; 0, Table2[[#This Row],[!Length]], "rg:None")</f>
        <v>rg:None</v>
      </c>
      <c r="R66" s="10" t="str">
        <f>IF(LEN(Table2[[#This Row],[!Name]]) &gt; 0, Table2[[#This Row],[!Name]], "rg:None")</f>
        <v>SchoolBusOwnerContact</v>
      </c>
      <c r="S66" s="10" t="str">
        <f>IF(LEN(Table2[[#This Row],[!Description]]) &gt; 0, Table2[[#This Row],[!Description]], "rg:None")</f>
        <v>rg:None</v>
      </c>
      <c r="T66" s="10" t="str">
        <f>IF(LEN(Table2[[#This Row],[!FK]])&gt;0,Table2[[#This Row],[!FK]],"rg:None")</f>
        <v>rg:None</v>
      </c>
      <c r="U66" s="10" t="str">
        <f>IF(LEN(concatif2(A:A,Table2[[#This Row],[!Table]],G:G,"Y",D:D,",")) &gt; 0,"rg:[ { 'req' : '"&amp;concatif2(A:A,Table2[[#This Row],[!Table]],G:G,"Y",D:D,"' }, { 'req': '")&amp;"'} ]","rg:[]")</f>
        <v>rg:[ { 'req' : 'id'} ]</v>
      </c>
    </row>
    <row r="67" spans="1:21" x14ac:dyDescent="0.3">
      <c r="A67" s="3" t="s">
        <v>91</v>
      </c>
      <c r="B67" s="3" t="s">
        <v>8</v>
      </c>
      <c r="C67" s="3"/>
      <c r="D67" s="3" t="s">
        <v>8</v>
      </c>
      <c r="E67" s="3" t="s">
        <v>9</v>
      </c>
      <c r="F67" s="3" t="s">
        <v>7</v>
      </c>
      <c r="G67" s="4" t="s">
        <v>211</v>
      </c>
      <c r="H67" s="5" t="str">
        <f t="shared" ref="H67:H130" si="1">IF(LEN(A67) &gt; 0,"Defs","-")</f>
        <v>Defs</v>
      </c>
      <c r="I67" t="str">
        <f>IF(Table2[[#This Row],[!Type]]=I$1, I$1,"rg:None")</f>
        <v>rg:None</v>
      </c>
      <c r="J67" t="str">
        <f>IF(Table2[[#This Row],[!Type]]=J$1, J$1,"rg:None")</f>
        <v>rg:None</v>
      </c>
      <c r="K67" t="str">
        <f>IF(Table2[[#This Row],[!Type]]=K$1, K$1,"rg:None")</f>
        <v>id</v>
      </c>
      <c r="L67" s="10" t="str">
        <f>IF(Table2[[#This Row],[!Type]]=L$1, L$1,"rg:None")</f>
        <v>rg:None</v>
      </c>
      <c r="M67" s="5" t="str">
        <f>IF(Table2[[#This Row],[!Type]]=M$1, M$1,"rg:None")</f>
        <v>rg:None</v>
      </c>
      <c r="N67" s="5" t="str">
        <f>IF(Table2[[#This Row],[!Type]]=N$1, N$1,"rg:None")</f>
        <v>rg:None</v>
      </c>
      <c r="O67" s="5" t="str">
        <f>IF(Table2[[#This Row],[!Type]]=O$1, O$1,"rg:None")</f>
        <v>rg:None</v>
      </c>
      <c r="P67" s="5" t="str">
        <f>IF(Table2[[#This Row],[!Type]]=P$1, P$1,"rg:None")</f>
        <v>rg:None</v>
      </c>
      <c r="Q67" s="10" t="str">
        <f>IF(LEN(Table2[[#This Row],[!Length]]) &gt; 0, Table2[[#This Row],[!Length]], "rg:None")</f>
        <v>rg:None</v>
      </c>
      <c r="R67" s="10" t="str">
        <f>IF(LEN(Table2[[#This Row],[!Name]]) &gt; 0, Table2[[#This Row],[!Name]], "rg:None")</f>
        <v>id</v>
      </c>
      <c r="S67" s="10" t="str">
        <f>IF(LEN(Table2[[#This Row],[!Description]]) &gt; 0, Table2[[#This Row],[!Description]], "rg:None")</f>
        <v>Primary Key</v>
      </c>
      <c r="T67" s="10" t="str">
        <f>IF(LEN(Table2[[#This Row],[!FK]])&gt;0,Table2[[#This Row],[!FK]],"rg:None")</f>
        <v>rg:None</v>
      </c>
      <c r="U67" s="10" t="str">
        <f>IF(LEN(concatif2(A:A,Table2[[#This Row],[!Table]],G:G,"Y",D:D,",")) &gt; 0,"rg:[ { 'req' : '"&amp;concatif2(A:A,Table2[[#This Row],[!Table]],G:G,"Y",D:D,"' }, { 'req': '")&amp;"'} ]","rg:[]")</f>
        <v>rg:[ { 'req' : 'id'} ]</v>
      </c>
    </row>
    <row r="68" spans="1:21" x14ac:dyDescent="0.3">
      <c r="A68" s="3" t="s">
        <v>91</v>
      </c>
      <c r="B68" s="3" t="s">
        <v>10</v>
      </c>
      <c r="C68" s="3"/>
      <c r="D68" s="3" t="s">
        <v>99</v>
      </c>
      <c r="E68" s="3" t="s">
        <v>100</v>
      </c>
      <c r="F68" s="3" t="s">
        <v>7</v>
      </c>
      <c r="G68" s="4"/>
      <c r="H68" s="5" t="str">
        <f t="shared" si="1"/>
        <v>Defs</v>
      </c>
      <c r="I68" t="str">
        <f>IF(Table2[[#This Row],[!Type]]=I$1, I$1,"rg:None")</f>
        <v>rg:None</v>
      </c>
      <c r="J68" t="str">
        <f>IF(Table2[[#This Row],[!Type]]=J$1, J$1,"rg:None")</f>
        <v>rg:None</v>
      </c>
      <c r="K68" t="str">
        <f>IF(Table2[[#This Row],[!Type]]=K$1, K$1,"rg:None")</f>
        <v>rg:None</v>
      </c>
      <c r="L68" s="10" t="str">
        <f>IF(Table2[[#This Row],[!Type]]=L$1, L$1,"rg:None")</f>
        <v>rg:None</v>
      </c>
      <c r="M68" s="5" t="str">
        <f>IF(Table2[[#This Row],[!Type]]=M$1, M$1,"rg:None")</f>
        <v>rg:None</v>
      </c>
      <c r="N68" s="5" t="str">
        <f>IF(Table2[[#This Row],[!Type]]=N$1, N$1,"rg:None")</f>
        <v>rg:None</v>
      </c>
      <c r="O68" s="5" t="str">
        <f>IF(Table2[[#This Row],[!Type]]=O$1, O$1,"rg:None")</f>
        <v>string</v>
      </c>
      <c r="P68" s="5" t="str">
        <f>IF(Table2[[#This Row],[!Type]]=P$1, P$1,"rg:None")</f>
        <v>rg:None</v>
      </c>
      <c r="Q68" s="10" t="str">
        <f>IF(LEN(Table2[[#This Row],[!Length]]) &gt; 0, Table2[[#This Row],[!Length]], "rg:None")</f>
        <v>rg:None</v>
      </c>
      <c r="R68" s="10" t="str">
        <f>IF(LEN(Table2[[#This Row],[!Name]]) &gt; 0, Table2[[#This Row],[!Name]], "rg:None")</f>
        <v>givenName</v>
      </c>
      <c r="S68" s="10" t="str">
        <f>IF(LEN(Table2[[#This Row],[!Description]]) &gt; 0, Table2[[#This Row],[!Description]], "rg:None")</f>
        <v>The given name of the contact.</v>
      </c>
      <c r="T68" s="10" t="str">
        <f>IF(LEN(Table2[[#This Row],[!FK]])&gt;0,Table2[[#This Row],[!FK]],"rg:None")</f>
        <v>rg:None</v>
      </c>
      <c r="U68" s="10" t="str">
        <f>IF(LEN(concatif2(A:A,Table2[[#This Row],[!Table]],G:G,"Y",D:D,",")) &gt; 0,"rg:[ { 'req' : '"&amp;concatif2(A:A,Table2[[#This Row],[!Table]],G:G,"Y",D:D,"' }, { 'req': '")&amp;"'} ]","rg:[]")</f>
        <v>rg:[ { 'req' : 'id'} ]</v>
      </c>
    </row>
    <row r="69" spans="1:21" x14ac:dyDescent="0.3">
      <c r="A69" s="3" t="s">
        <v>91</v>
      </c>
      <c r="B69" s="3" t="s">
        <v>10</v>
      </c>
      <c r="C69" s="3"/>
      <c r="D69" s="3" t="s">
        <v>101</v>
      </c>
      <c r="E69" s="3" t="s">
        <v>102</v>
      </c>
      <c r="F69" s="3" t="s">
        <v>7</v>
      </c>
      <c r="G69" s="4"/>
      <c r="H69" s="5" t="str">
        <f t="shared" si="1"/>
        <v>Defs</v>
      </c>
      <c r="I69" t="str">
        <f>IF(Table2[[#This Row],[!Type]]=I$1, I$1,"rg:None")</f>
        <v>rg:None</v>
      </c>
      <c r="J69" t="str">
        <f>IF(Table2[[#This Row],[!Type]]=J$1, J$1,"rg:None")</f>
        <v>rg:None</v>
      </c>
      <c r="K69" t="str">
        <f>IF(Table2[[#This Row],[!Type]]=K$1, K$1,"rg:None")</f>
        <v>rg:None</v>
      </c>
      <c r="L69" s="10" t="str">
        <f>IF(Table2[[#This Row],[!Type]]=L$1, L$1,"rg:None")</f>
        <v>rg:None</v>
      </c>
      <c r="M69" s="5" t="str">
        <f>IF(Table2[[#This Row],[!Type]]=M$1, M$1,"rg:None")</f>
        <v>rg:None</v>
      </c>
      <c r="N69" s="5" t="str">
        <f>IF(Table2[[#This Row],[!Type]]=N$1, N$1,"rg:None")</f>
        <v>rg:None</v>
      </c>
      <c r="O69" s="5" t="str">
        <f>IF(Table2[[#This Row],[!Type]]=O$1, O$1,"rg:None")</f>
        <v>string</v>
      </c>
      <c r="P69" s="5" t="str">
        <f>IF(Table2[[#This Row],[!Type]]=P$1, P$1,"rg:None")</f>
        <v>rg:None</v>
      </c>
      <c r="Q69" s="10" t="str">
        <f>IF(LEN(Table2[[#This Row],[!Length]]) &gt; 0, Table2[[#This Row],[!Length]], "rg:None")</f>
        <v>rg:None</v>
      </c>
      <c r="R69" s="10" t="str">
        <f>IF(LEN(Table2[[#This Row],[!Name]]) &gt; 0, Table2[[#This Row],[!Name]], "rg:None")</f>
        <v>surname</v>
      </c>
      <c r="S69" s="10" t="str">
        <f>IF(LEN(Table2[[#This Row],[!Description]]) &gt; 0, Table2[[#This Row],[!Description]], "rg:None")</f>
        <v>The surname of the contact.</v>
      </c>
      <c r="T69" s="10" t="str">
        <f>IF(LEN(Table2[[#This Row],[!FK]])&gt;0,Table2[[#This Row],[!FK]],"rg:None")</f>
        <v>rg:None</v>
      </c>
      <c r="U69" s="10" t="str">
        <f>IF(LEN(concatif2(A:A,Table2[[#This Row],[!Table]],G:G,"Y",D:D,",")) &gt; 0,"rg:[ { 'req' : '"&amp;concatif2(A:A,Table2[[#This Row],[!Table]],G:G,"Y",D:D,"' }, { 'req': '")&amp;"'} ]","rg:[]")</f>
        <v>rg:[ { 'req' : 'id'} ]</v>
      </c>
    </row>
    <row r="70" spans="1:21" x14ac:dyDescent="0.3">
      <c r="A70" s="3" t="s">
        <v>91</v>
      </c>
      <c r="B70" s="3" t="s">
        <v>10</v>
      </c>
      <c r="C70" s="3"/>
      <c r="D70" s="3" t="s">
        <v>103</v>
      </c>
      <c r="E70" s="3" t="s">
        <v>104</v>
      </c>
      <c r="F70" s="3" t="s">
        <v>7</v>
      </c>
      <c r="G70" s="4"/>
      <c r="H70" s="5" t="str">
        <f t="shared" si="1"/>
        <v>Defs</v>
      </c>
      <c r="I70" t="str">
        <f>IF(Table2[[#This Row],[!Type]]=I$1, I$1,"rg:None")</f>
        <v>rg:None</v>
      </c>
      <c r="J70" t="str">
        <f>IF(Table2[[#This Row],[!Type]]=J$1, J$1,"rg:None")</f>
        <v>rg:None</v>
      </c>
      <c r="K70" t="str">
        <f>IF(Table2[[#This Row],[!Type]]=K$1, K$1,"rg:None")</f>
        <v>rg:None</v>
      </c>
      <c r="L70" s="10" t="str">
        <f>IF(Table2[[#This Row],[!Type]]=L$1, L$1,"rg:None")</f>
        <v>rg:None</v>
      </c>
      <c r="M70" s="5" t="str">
        <f>IF(Table2[[#This Row],[!Type]]=M$1, M$1,"rg:None")</f>
        <v>rg:None</v>
      </c>
      <c r="N70" s="5" t="str">
        <f>IF(Table2[[#This Row],[!Type]]=N$1, N$1,"rg:None")</f>
        <v>rg:None</v>
      </c>
      <c r="O70" s="5" t="str">
        <f>IF(Table2[[#This Row],[!Type]]=O$1, O$1,"rg:None")</f>
        <v>string</v>
      </c>
      <c r="P70" s="5" t="str">
        <f>IF(Table2[[#This Row],[!Type]]=P$1, P$1,"rg:None")</f>
        <v>rg:None</v>
      </c>
      <c r="Q70" s="10" t="str">
        <f>IF(LEN(Table2[[#This Row],[!Length]]) &gt; 0, Table2[[#This Row],[!Length]], "rg:None")</f>
        <v>rg:None</v>
      </c>
      <c r="R70" s="10" t="str">
        <f>IF(LEN(Table2[[#This Row],[!Name]]) &gt; 0, Table2[[#This Row],[!Name]], "rg:None")</f>
        <v>role</v>
      </c>
      <c r="S70" s="10" t="str">
        <f>IF(LEN(Table2[[#This Row],[!Description]]) &gt; 0, Table2[[#This Row],[!Description]], "rg:None")</f>
        <v>The role of the contact. UI controlled as to whether it is free form or selected from an enumerated list.</v>
      </c>
      <c r="T70" s="10" t="str">
        <f>IF(LEN(Table2[[#This Row],[!FK]])&gt;0,Table2[[#This Row],[!FK]],"rg:None")</f>
        <v>rg:None</v>
      </c>
      <c r="U70" s="10" t="str">
        <f>IF(LEN(concatif2(A:A,Table2[[#This Row],[!Table]],G:G,"Y",D:D,",")) &gt; 0,"rg:[ { 'req' : '"&amp;concatif2(A:A,Table2[[#This Row],[!Table]],G:G,"Y",D:D,"' }, { 'req': '")&amp;"'} ]","rg:[]")</f>
        <v>rg:[ { 'req' : 'id'} ]</v>
      </c>
    </row>
    <row r="71" spans="1:21" x14ac:dyDescent="0.3">
      <c r="A71" s="3" t="s">
        <v>91</v>
      </c>
      <c r="B71" s="3" t="s">
        <v>10</v>
      </c>
      <c r="C71" s="3"/>
      <c r="D71" s="3" t="s">
        <v>105</v>
      </c>
      <c r="E71" s="3" t="s">
        <v>106</v>
      </c>
      <c r="F71" s="3" t="s">
        <v>7</v>
      </c>
      <c r="G71" s="4"/>
      <c r="H71" s="5" t="str">
        <f t="shared" si="1"/>
        <v>Defs</v>
      </c>
      <c r="I71" t="str">
        <f>IF(Table2[[#This Row],[!Type]]=I$1, I$1,"rg:None")</f>
        <v>rg:None</v>
      </c>
      <c r="J71" t="str">
        <f>IF(Table2[[#This Row],[!Type]]=J$1, J$1,"rg:None")</f>
        <v>rg:None</v>
      </c>
      <c r="K71" t="str">
        <f>IF(Table2[[#This Row],[!Type]]=K$1, K$1,"rg:None")</f>
        <v>rg:None</v>
      </c>
      <c r="L71" s="10" t="str">
        <f>IF(Table2[[#This Row],[!Type]]=L$1, L$1,"rg:None")</f>
        <v>rg:None</v>
      </c>
      <c r="M71" s="5" t="str">
        <f>IF(Table2[[#This Row],[!Type]]=M$1, M$1,"rg:None")</f>
        <v>rg:None</v>
      </c>
      <c r="N71" s="5" t="str">
        <f>IF(Table2[[#This Row],[!Type]]=N$1, N$1,"rg:None")</f>
        <v>rg:None</v>
      </c>
      <c r="O71" s="5" t="str">
        <f>IF(Table2[[#This Row],[!Type]]=O$1, O$1,"rg:None")</f>
        <v>string</v>
      </c>
      <c r="P71" s="5" t="str">
        <f>IF(Table2[[#This Row],[!Type]]=P$1, P$1,"rg:None")</f>
        <v>rg:None</v>
      </c>
      <c r="Q71" s="10" t="str">
        <f>IF(LEN(Table2[[#This Row],[!Length]]) &gt; 0, Table2[[#This Row],[!Length]], "rg:None")</f>
        <v>rg:None</v>
      </c>
      <c r="R71" s="10" t="str">
        <f>IF(LEN(Table2[[#This Row],[!Name]]) &gt; 0, Table2[[#This Row],[!Name]], "rg:None")</f>
        <v>notes</v>
      </c>
      <c r="S71" s="10" t="str">
        <f>IF(LEN(Table2[[#This Row],[!Description]]) &gt; 0, Table2[[#This Row],[!Description]], "rg:None")</f>
        <v>Notes about the contact.</v>
      </c>
      <c r="T71" s="10" t="str">
        <f>IF(LEN(Table2[[#This Row],[!FK]])&gt;0,Table2[[#This Row],[!FK]],"rg:None")</f>
        <v>rg:None</v>
      </c>
      <c r="U71" s="10" t="str">
        <f>IF(LEN(concatif2(A:A,Table2[[#This Row],[!Table]],G:G,"Y",D:D,",")) &gt; 0,"rg:[ { 'req' : '"&amp;concatif2(A:A,Table2[[#This Row],[!Table]],G:G,"Y",D:D,"' }, { 'req': '")&amp;"'} ]","rg:[]")</f>
        <v>rg:[ { 'req' : 'id'} ]</v>
      </c>
    </row>
    <row r="72" spans="1:21" x14ac:dyDescent="0.3">
      <c r="A72" s="3" t="s">
        <v>91</v>
      </c>
      <c r="B72" s="3" t="s">
        <v>107</v>
      </c>
      <c r="C72" s="3"/>
      <c r="D72" s="3" t="s">
        <v>108</v>
      </c>
      <c r="E72" s="3" t="s">
        <v>7</v>
      </c>
      <c r="F72" s="3" t="s">
        <v>110</v>
      </c>
      <c r="G72" s="4"/>
      <c r="H72" s="5" t="str">
        <f t="shared" si="1"/>
        <v>Defs</v>
      </c>
      <c r="I72" t="str">
        <f>IF(Table2[[#This Row],[!Type]]=I$1, I$1,"rg:None")</f>
        <v>rg:None</v>
      </c>
      <c r="J72" t="str">
        <f>IF(Table2[[#This Row],[!Type]]=J$1, J$1,"rg:None")</f>
        <v>rg:None</v>
      </c>
      <c r="K72" t="str">
        <f>IF(Table2[[#This Row],[!Type]]=K$1, K$1,"rg:None")</f>
        <v>rg:None</v>
      </c>
      <c r="L72" s="10" t="str">
        <f>IF(Table2[[#This Row],[!Type]]=L$1, L$1,"rg:None")</f>
        <v>rg:None</v>
      </c>
      <c r="M72" s="5" t="str">
        <f>IF(Table2[[#This Row],[!Type]]=M$1, M$1,"rg:None")</f>
        <v>links</v>
      </c>
      <c r="N72" s="5" t="str">
        <f>IF(Table2[[#This Row],[!Type]]=N$1, N$1,"rg:None")</f>
        <v>rg:None</v>
      </c>
      <c r="O72" s="5" t="str">
        <f>IF(Table2[[#This Row],[!Type]]=O$1, O$1,"rg:None")</f>
        <v>rg:None</v>
      </c>
      <c r="P72" s="5" t="str">
        <f>IF(Table2[[#This Row],[!Type]]=P$1, P$1,"rg:None")</f>
        <v>rg:None</v>
      </c>
      <c r="Q72" s="10" t="str">
        <f>IF(LEN(Table2[[#This Row],[!Length]]) &gt; 0, Table2[[#This Row],[!Length]], "rg:None")</f>
        <v>rg:None</v>
      </c>
      <c r="R72" s="10" t="str">
        <f>IF(LEN(Table2[[#This Row],[!Name]]) &gt; 0, Table2[[#This Row],[!Name]], "rg:None")</f>
        <v>schoolBusOwnerContactPhones</v>
      </c>
      <c r="S72" s="10" t="str">
        <f>IF(LEN(Table2[[#This Row],[!Description]]) &gt; 0, Table2[[#This Row],[!Description]], "rg:None")</f>
        <v>rg:None</v>
      </c>
      <c r="T72" s="10" t="str">
        <f>IF(LEN(Table2[[#This Row],[!FK]])&gt;0,Table2[[#This Row],[!FK]],"rg:None")</f>
        <v>SchoolBusOwnerContactPhone</v>
      </c>
      <c r="U72" s="10" t="str">
        <f>IF(LEN(concatif2(A:A,Table2[[#This Row],[!Table]],G:G,"Y",D:D,",")) &gt; 0,"rg:[ { 'req' : '"&amp;concatif2(A:A,Table2[[#This Row],[!Table]],G:G,"Y",D:D,"' }, { 'req': '")&amp;"'} ]","rg:[]")</f>
        <v>rg:[ { 'req' : 'id'} ]</v>
      </c>
    </row>
    <row r="73" spans="1:21" x14ac:dyDescent="0.3">
      <c r="A73" s="3" t="s">
        <v>91</v>
      </c>
      <c r="B73" s="3" t="s">
        <v>107</v>
      </c>
      <c r="C73" s="3"/>
      <c r="D73" s="3" t="s">
        <v>109</v>
      </c>
      <c r="E73" s="3" t="s">
        <v>7</v>
      </c>
      <c r="F73" s="3" t="s">
        <v>115</v>
      </c>
      <c r="G73" s="4"/>
      <c r="H73" s="5" t="str">
        <f t="shared" si="1"/>
        <v>Defs</v>
      </c>
      <c r="I73" t="str">
        <f>IF(Table2[[#This Row],[!Type]]=I$1, I$1,"rg:None")</f>
        <v>rg:None</v>
      </c>
      <c r="J73" t="str">
        <f>IF(Table2[[#This Row],[!Type]]=J$1, J$1,"rg:None")</f>
        <v>rg:None</v>
      </c>
      <c r="K73" t="str">
        <f>IF(Table2[[#This Row],[!Type]]=K$1, K$1,"rg:None")</f>
        <v>rg:None</v>
      </c>
      <c r="L73" s="10" t="str">
        <f>IF(Table2[[#This Row],[!Type]]=L$1, L$1,"rg:None")</f>
        <v>rg:None</v>
      </c>
      <c r="M73" s="5" t="str">
        <f>IF(Table2[[#This Row],[!Type]]=M$1, M$1,"rg:None")</f>
        <v>links</v>
      </c>
      <c r="N73" s="5" t="str">
        <f>IF(Table2[[#This Row],[!Type]]=N$1, N$1,"rg:None")</f>
        <v>rg:None</v>
      </c>
      <c r="O73" s="5" t="str">
        <f>IF(Table2[[#This Row],[!Type]]=O$1, O$1,"rg:None")</f>
        <v>rg:None</v>
      </c>
      <c r="P73" s="5" t="str">
        <f>IF(Table2[[#This Row],[!Type]]=P$1, P$1,"rg:None")</f>
        <v>rg:None</v>
      </c>
      <c r="Q73" s="10" t="str">
        <f>IF(LEN(Table2[[#This Row],[!Length]]) &gt; 0, Table2[[#This Row],[!Length]], "rg:None")</f>
        <v>rg:None</v>
      </c>
      <c r="R73" s="10" t="str">
        <f>IF(LEN(Table2[[#This Row],[!Name]]) &gt; 0, Table2[[#This Row],[!Name]], "rg:None")</f>
        <v>schoolBusOwnerContactAddresses</v>
      </c>
      <c r="S73" s="10" t="str">
        <f>IF(LEN(Table2[[#This Row],[!Description]]) &gt; 0, Table2[[#This Row],[!Description]], "rg:None")</f>
        <v>rg:None</v>
      </c>
      <c r="T73" s="10" t="str">
        <f>IF(LEN(Table2[[#This Row],[!FK]])&gt;0,Table2[[#This Row],[!FK]],"rg:None")</f>
        <v>SchoolBusOwnerContactAddress</v>
      </c>
      <c r="U73" s="10" t="str">
        <f>IF(LEN(concatif2(A:A,Table2[[#This Row],[!Table]],G:G,"Y",D:D,",")) &gt; 0,"rg:[ { 'req' : '"&amp;concatif2(A:A,Table2[[#This Row],[!Table]],G:G,"Y",D:D,"' }, { 'req': '")&amp;"'} ]","rg:[]")</f>
        <v>rg:[ { 'req' : 'id'} ]</v>
      </c>
    </row>
    <row r="74" spans="1:21" x14ac:dyDescent="0.3">
      <c r="A74" s="3" t="s">
        <v>110</v>
      </c>
      <c r="B74" s="3" t="s">
        <v>5</v>
      </c>
      <c r="C74" s="3"/>
      <c r="D74" s="3" t="s">
        <v>110</v>
      </c>
      <c r="E74" s="3" t="s">
        <v>7</v>
      </c>
      <c r="F74" s="3" t="s">
        <v>7</v>
      </c>
      <c r="G74" s="4"/>
      <c r="H74" s="5" t="str">
        <f t="shared" si="1"/>
        <v>Defs</v>
      </c>
      <c r="I74" t="str">
        <f>IF(Table2[[#This Row],[!Type]]=I$1, I$1,"rg:None")</f>
        <v>rg:None</v>
      </c>
      <c r="J74" t="str">
        <f>IF(Table2[[#This Row],[!Type]]=J$1, J$1,"rg:None")</f>
        <v>rg:None</v>
      </c>
      <c r="K74" t="str">
        <f>IF(Table2[[#This Row],[!Type]]=K$1, K$1,"rg:None")</f>
        <v>rg:None</v>
      </c>
      <c r="L74" s="10" t="str">
        <f>IF(Table2[[#This Row],[!Type]]=L$1, L$1,"rg:None")</f>
        <v>rg:None</v>
      </c>
      <c r="M74" s="5" t="str">
        <f>IF(Table2[[#This Row],[!Type]]=M$1, M$1,"rg:None")</f>
        <v>rg:None</v>
      </c>
      <c r="N74" s="5" t="str">
        <f>IF(Table2[[#This Row],[!Type]]=N$1, N$1,"rg:None")</f>
        <v>rg:None</v>
      </c>
      <c r="O74" s="5" t="str">
        <f>IF(Table2[[#This Row],[!Type]]=O$1, O$1,"rg:None")</f>
        <v>rg:None</v>
      </c>
      <c r="P74" s="5" t="str">
        <f>IF(Table2[[#This Row],[!Type]]=P$1, P$1,"rg:None")</f>
        <v>table</v>
      </c>
      <c r="Q74" s="10" t="str">
        <f>IF(LEN(Table2[[#This Row],[!Length]]) &gt; 0, Table2[[#This Row],[!Length]], "rg:None")</f>
        <v>rg:None</v>
      </c>
      <c r="R74" s="10" t="str">
        <f>IF(LEN(Table2[[#This Row],[!Name]]) &gt; 0, Table2[[#This Row],[!Name]], "rg:None")</f>
        <v>SchoolBusOwnerContactPhone</v>
      </c>
      <c r="S74" s="10" t="str">
        <f>IF(LEN(Table2[[#This Row],[!Description]]) &gt; 0, Table2[[#This Row],[!Description]], "rg:None")</f>
        <v>rg:None</v>
      </c>
      <c r="T74" s="10" t="str">
        <f>IF(LEN(Table2[[#This Row],[!FK]])&gt;0,Table2[[#This Row],[!FK]],"rg:None")</f>
        <v>rg:None</v>
      </c>
      <c r="U74" s="10" t="str">
        <f>IF(LEN(concatif2(A:A,Table2[[#This Row],[!Table]],G:G,"Y",D:D,",")) &gt; 0,"rg:[ { 'req' : '"&amp;concatif2(A:A,Table2[[#This Row],[!Table]],G:G,"Y",D:D,"' }, { 'req': '")&amp;"'} ]","rg:[]")</f>
        <v>rg:[ { 'req' : 'id'} ]</v>
      </c>
    </row>
    <row r="75" spans="1:21" x14ac:dyDescent="0.3">
      <c r="A75" s="3" t="s">
        <v>110</v>
      </c>
      <c r="B75" s="3" t="s">
        <v>8</v>
      </c>
      <c r="C75" s="3"/>
      <c r="D75" s="3" t="s">
        <v>8</v>
      </c>
      <c r="E75" s="3" t="s">
        <v>9</v>
      </c>
      <c r="F75" s="3" t="s">
        <v>7</v>
      </c>
      <c r="G75" s="4" t="s">
        <v>211</v>
      </c>
      <c r="H75" s="5" t="str">
        <f t="shared" si="1"/>
        <v>Defs</v>
      </c>
      <c r="I75" t="str">
        <f>IF(Table2[[#This Row],[!Type]]=I$1, I$1,"rg:None")</f>
        <v>rg:None</v>
      </c>
      <c r="J75" t="str">
        <f>IF(Table2[[#This Row],[!Type]]=J$1, J$1,"rg:None")</f>
        <v>rg:None</v>
      </c>
      <c r="K75" t="str">
        <f>IF(Table2[[#This Row],[!Type]]=K$1, K$1,"rg:None")</f>
        <v>id</v>
      </c>
      <c r="L75" s="10" t="str">
        <f>IF(Table2[[#This Row],[!Type]]=L$1, L$1,"rg:None")</f>
        <v>rg:None</v>
      </c>
      <c r="M75" s="5" t="str">
        <f>IF(Table2[[#This Row],[!Type]]=M$1, M$1,"rg:None")</f>
        <v>rg:None</v>
      </c>
      <c r="N75" s="5" t="str">
        <f>IF(Table2[[#This Row],[!Type]]=N$1, N$1,"rg:None")</f>
        <v>rg:None</v>
      </c>
      <c r="O75" s="5" t="str">
        <f>IF(Table2[[#This Row],[!Type]]=O$1, O$1,"rg:None")</f>
        <v>rg:None</v>
      </c>
      <c r="P75" s="5" t="str">
        <f>IF(Table2[[#This Row],[!Type]]=P$1, P$1,"rg:None")</f>
        <v>rg:None</v>
      </c>
      <c r="Q75" s="10" t="str">
        <f>IF(LEN(Table2[[#This Row],[!Length]]) &gt; 0, Table2[[#This Row],[!Length]], "rg:None")</f>
        <v>rg:None</v>
      </c>
      <c r="R75" s="10" t="str">
        <f>IF(LEN(Table2[[#This Row],[!Name]]) &gt; 0, Table2[[#This Row],[!Name]], "rg:None")</f>
        <v>id</v>
      </c>
      <c r="S75" s="10" t="str">
        <f>IF(LEN(Table2[[#This Row],[!Description]]) &gt; 0, Table2[[#This Row],[!Description]], "rg:None")</f>
        <v>Primary Key</v>
      </c>
      <c r="T75" s="10" t="str">
        <f>IF(LEN(Table2[[#This Row],[!FK]])&gt;0,Table2[[#This Row],[!FK]],"rg:None")</f>
        <v>rg:None</v>
      </c>
      <c r="U75" s="10" t="str">
        <f>IF(LEN(concatif2(A:A,Table2[[#This Row],[!Table]],G:G,"Y",D:D,",")) &gt; 0,"rg:[ { 'req' : '"&amp;concatif2(A:A,Table2[[#This Row],[!Table]],G:G,"Y",D:D,"' }, { 'req': '")&amp;"'} ]","rg:[]")</f>
        <v>rg:[ { 'req' : 'id'} ]</v>
      </c>
    </row>
    <row r="76" spans="1:21" x14ac:dyDescent="0.3">
      <c r="A76" s="3" t="s">
        <v>110</v>
      </c>
      <c r="B76" s="3" t="s">
        <v>10</v>
      </c>
      <c r="C76" s="3"/>
      <c r="D76" s="3" t="s">
        <v>111</v>
      </c>
      <c r="E76" s="3" t="s">
        <v>112</v>
      </c>
      <c r="F76" s="3" t="s">
        <v>7</v>
      </c>
      <c r="G76" s="4"/>
      <c r="H76" s="5" t="str">
        <f t="shared" si="1"/>
        <v>Defs</v>
      </c>
      <c r="I76" t="str">
        <f>IF(Table2[[#This Row],[!Type]]=I$1, I$1,"rg:None")</f>
        <v>rg:None</v>
      </c>
      <c r="J76" t="str">
        <f>IF(Table2[[#This Row],[!Type]]=J$1, J$1,"rg:None")</f>
        <v>rg:None</v>
      </c>
      <c r="K76" t="str">
        <f>IF(Table2[[#This Row],[!Type]]=K$1, K$1,"rg:None")</f>
        <v>rg:None</v>
      </c>
      <c r="L76" s="10" t="str">
        <f>IF(Table2[[#This Row],[!Type]]=L$1, L$1,"rg:None")</f>
        <v>rg:None</v>
      </c>
      <c r="M76" s="5" t="str">
        <f>IF(Table2[[#This Row],[!Type]]=M$1, M$1,"rg:None")</f>
        <v>rg:None</v>
      </c>
      <c r="N76" s="5" t="str">
        <f>IF(Table2[[#This Row],[!Type]]=N$1, N$1,"rg:None")</f>
        <v>rg:None</v>
      </c>
      <c r="O76" s="5" t="str">
        <f>IF(Table2[[#This Row],[!Type]]=O$1, O$1,"rg:None")</f>
        <v>string</v>
      </c>
      <c r="P76" s="5" t="str">
        <f>IF(Table2[[#This Row],[!Type]]=P$1, P$1,"rg:None")</f>
        <v>rg:None</v>
      </c>
      <c r="Q76" s="10" t="str">
        <f>IF(LEN(Table2[[#This Row],[!Length]]) &gt; 0, Table2[[#This Row],[!Length]], "rg:None")</f>
        <v>rg:None</v>
      </c>
      <c r="R76" s="10" t="str">
        <f>IF(LEN(Table2[[#This Row],[!Name]]) &gt; 0, Table2[[#This Row],[!Name]], "rg:None")</f>
        <v>type</v>
      </c>
      <c r="S76" s="10" t="str">
        <f>IF(LEN(Table2[[#This Row],[!Description]]) &gt; 0, Table2[[#This Row],[!Description]], "rg:None")</f>
        <v>The type of the phone number. UI controlled as to whether it is free form or selected from an enumerated list.</v>
      </c>
      <c r="T76" s="10" t="str">
        <f>IF(LEN(Table2[[#This Row],[!FK]])&gt;0,Table2[[#This Row],[!FK]],"rg:None")</f>
        <v>rg:None</v>
      </c>
      <c r="U76" s="10" t="str">
        <f>IF(LEN(concatif2(A:A,Table2[[#This Row],[!Table]],G:G,"Y",D:D,",")) &gt; 0,"rg:[ { 'req' : '"&amp;concatif2(A:A,Table2[[#This Row],[!Table]],G:G,"Y",D:D,"' }, { 'req': '")&amp;"'} ]","rg:[]")</f>
        <v>rg:[ { 'req' : 'id'} ]</v>
      </c>
    </row>
    <row r="77" spans="1:21" x14ac:dyDescent="0.3">
      <c r="A77" s="3" t="s">
        <v>110</v>
      </c>
      <c r="B77" s="3" t="s">
        <v>10</v>
      </c>
      <c r="C77" s="3"/>
      <c r="D77" s="3" t="s">
        <v>113</v>
      </c>
      <c r="E77" s="3" t="s">
        <v>114</v>
      </c>
      <c r="F77" s="3" t="s">
        <v>7</v>
      </c>
      <c r="G77" s="4"/>
      <c r="H77" s="5" t="str">
        <f t="shared" si="1"/>
        <v>Defs</v>
      </c>
      <c r="I77" t="str">
        <f>IF(Table2[[#This Row],[!Type]]=I$1, I$1,"rg:None")</f>
        <v>rg:None</v>
      </c>
      <c r="J77" t="str">
        <f>IF(Table2[[#This Row],[!Type]]=J$1, J$1,"rg:None")</f>
        <v>rg:None</v>
      </c>
      <c r="K77" t="str">
        <f>IF(Table2[[#This Row],[!Type]]=K$1, K$1,"rg:None")</f>
        <v>rg:None</v>
      </c>
      <c r="L77" s="10" t="str">
        <f>IF(Table2[[#This Row],[!Type]]=L$1, L$1,"rg:None")</f>
        <v>rg:None</v>
      </c>
      <c r="M77" s="5" t="str">
        <f>IF(Table2[[#This Row],[!Type]]=M$1, M$1,"rg:None")</f>
        <v>rg:None</v>
      </c>
      <c r="N77" s="5" t="str">
        <f>IF(Table2[[#This Row],[!Type]]=N$1, N$1,"rg:None")</f>
        <v>rg:None</v>
      </c>
      <c r="O77" s="5" t="str">
        <f>IF(Table2[[#This Row],[!Type]]=O$1, O$1,"rg:None")</f>
        <v>string</v>
      </c>
      <c r="P77" s="5" t="str">
        <f>IF(Table2[[#This Row],[!Type]]=P$1, P$1,"rg:None")</f>
        <v>rg:None</v>
      </c>
      <c r="Q77" s="10" t="str">
        <f>IF(LEN(Table2[[#This Row],[!Length]]) &gt; 0, Table2[[#This Row],[!Length]], "rg:None")</f>
        <v>rg:None</v>
      </c>
      <c r="R77" s="10" t="str">
        <f>IF(LEN(Table2[[#This Row],[!Name]]) &gt; 0, Table2[[#This Row],[!Name]], "rg:None")</f>
        <v>phoneNumber</v>
      </c>
      <c r="S77" s="10" t="str">
        <f>IF(LEN(Table2[[#This Row],[!Description]]) &gt; 0, Table2[[#This Row],[!Description]], "rg:None")</f>
        <v>The phone number of the contact. Entered as free form to support a range of formats.</v>
      </c>
      <c r="T77" s="10" t="str">
        <f>IF(LEN(Table2[[#This Row],[!FK]])&gt;0,Table2[[#This Row],[!FK]],"rg:None")</f>
        <v>rg:None</v>
      </c>
      <c r="U77" s="10" t="str">
        <f>IF(LEN(concatif2(A:A,Table2[[#This Row],[!Table]],G:G,"Y",D:D,",")) &gt; 0,"rg:[ { 'req' : '"&amp;concatif2(A:A,Table2[[#This Row],[!Table]],G:G,"Y",D:D,"' }, { 'req': '")&amp;"'} ]","rg:[]")</f>
        <v>rg:[ { 'req' : 'id'} ]</v>
      </c>
    </row>
    <row r="78" spans="1:21" x14ac:dyDescent="0.3">
      <c r="A78" s="3" t="s">
        <v>115</v>
      </c>
      <c r="B78" s="3" t="s">
        <v>5</v>
      </c>
      <c r="C78" s="3"/>
      <c r="D78" s="3" t="s">
        <v>115</v>
      </c>
      <c r="E78" s="3" t="s">
        <v>7</v>
      </c>
      <c r="F78" s="3" t="s">
        <v>7</v>
      </c>
      <c r="G78" s="4"/>
      <c r="H78" s="5" t="str">
        <f t="shared" si="1"/>
        <v>Defs</v>
      </c>
      <c r="I78" t="str">
        <f>IF(Table2[[#This Row],[!Type]]=I$1, I$1,"rg:None")</f>
        <v>rg:None</v>
      </c>
      <c r="J78" t="str">
        <f>IF(Table2[[#This Row],[!Type]]=J$1, J$1,"rg:None")</f>
        <v>rg:None</v>
      </c>
      <c r="K78" t="str">
        <f>IF(Table2[[#This Row],[!Type]]=K$1, K$1,"rg:None")</f>
        <v>rg:None</v>
      </c>
      <c r="L78" s="10" t="str">
        <f>IF(Table2[[#This Row],[!Type]]=L$1, L$1,"rg:None")</f>
        <v>rg:None</v>
      </c>
      <c r="M78" s="5" t="str">
        <f>IF(Table2[[#This Row],[!Type]]=M$1, M$1,"rg:None")</f>
        <v>rg:None</v>
      </c>
      <c r="N78" s="5" t="str">
        <f>IF(Table2[[#This Row],[!Type]]=N$1, N$1,"rg:None")</f>
        <v>rg:None</v>
      </c>
      <c r="O78" s="5" t="str">
        <f>IF(Table2[[#This Row],[!Type]]=O$1, O$1,"rg:None")</f>
        <v>rg:None</v>
      </c>
      <c r="P78" s="5" t="str">
        <f>IF(Table2[[#This Row],[!Type]]=P$1, P$1,"rg:None")</f>
        <v>table</v>
      </c>
      <c r="Q78" s="10" t="str">
        <f>IF(LEN(Table2[[#This Row],[!Length]]) &gt; 0, Table2[[#This Row],[!Length]], "rg:None")</f>
        <v>rg:None</v>
      </c>
      <c r="R78" s="10" t="str">
        <f>IF(LEN(Table2[[#This Row],[!Name]]) &gt; 0, Table2[[#This Row],[!Name]], "rg:None")</f>
        <v>SchoolBusOwnerContactAddress</v>
      </c>
      <c r="S78" s="10" t="str">
        <f>IF(LEN(Table2[[#This Row],[!Description]]) &gt; 0, Table2[[#This Row],[!Description]], "rg:None")</f>
        <v>rg:None</v>
      </c>
      <c r="T78" s="10" t="str">
        <f>IF(LEN(Table2[[#This Row],[!FK]])&gt;0,Table2[[#This Row],[!FK]],"rg:None")</f>
        <v>rg:None</v>
      </c>
      <c r="U78" s="10" t="str">
        <f>IF(LEN(concatif2(A:A,Table2[[#This Row],[!Table]],G:G,"Y",D:D,",")) &gt; 0,"rg:[ { 'req' : '"&amp;concatif2(A:A,Table2[[#This Row],[!Table]],G:G,"Y",D:D,"' }, { 'req': '")&amp;"'} ]","rg:[]")</f>
        <v>rg:[ { 'req' : 'id'} ]</v>
      </c>
    </row>
    <row r="79" spans="1:21" x14ac:dyDescent="0.3">
      <c r="A79" s="3" t="s">
        <v>115</v>
      </c>
      <c r="B79" s="3" t="s">
        <v>8</v>
      </c>
      <c r="C79" s="3"/>
      <c r="D79" s="3" t="s">
        <v>8</v>
      </c>
      <c r="E79" s="3" t="s">
        <v>9</v>
      </c>
      <c r="F79" s="3" t="s">
        <v>7</v>
      </c>
      <c r="G79" s="4" t="s">
        <v>211</v>
      </c>
      <c r="H79" s="5" t="str">
        <f t="shared" si="1"/>
        <v>Defs</v>
      </c>
      <c r="I79" t="str">
        <f>IF(Table2[[#This Row],[!Type]]=I$1, I$1,"rg:None")</f>
        <v>rg:None</v>
      </c>
      <c r="J79" t="str">
        <f>IF(Table2[[#This Row],[!Type]]=J$1, J$1,"rg:None")</f>
        <v>rg:None</v>
      </c>
      <c r="K79" t="str">
        <f>IF(Table2[[#This Row],[!Type]]=K$1, K$1,"rg:None")</f>
        <v>id</v>
      </c>
      <c r="L79" s="10" t="str">
        <f>IF(Table2[[#This Row],[!Type]]=L$1, L$1,"rg:None")</f>
        <v>rg:None</v>
      </c>
      <c r="M79" s="5" t="str">
        <f>IF(Table2[[#This Row],[!Type]]=M$1, M$1,"rg:None")</f>
        <v>rg:None</v>
      </c>
      <c r="N79" s="5" t="str">
        <f>IF(Table2[[#This Row],[!Type]]=N$1, N$1,"rg:None")</f>
        <v>rg:None</v>
      </c>
      <c r="O79" s="5" t="str">
        <f>IF(Table2[[#This Row],[!Type]]=O$1, O$1,"rg:None")</f>
        <v>rg:None</v>
      </c>
      <c r="P79" s="5" t="str">
        <f>IF(Table2[[#This Row],[!Type]]=P$1, P$1,"rg:None")</f>
        <v>rg:None</v>
      </c>
      <c r="Q79" s="10" t="str">
        <f>IF(LEN(Table2[[#This Row],[!Length]]) &gt; 0, Table2[[#This Row],[!Length]], "rg:None")</f>
        <v>rg:None</v>
      </c>
      <c r="R79" s="10" t="str">
        <f>IF(LEN(Table2[[#This Row],[!Name]]) &gt; 0, Table2[[#This Row],[!Name]], "rg:None")</f>
        <v>id</v>
      </c>
      <c r="S79" s="10" t="str">
        <f>IF(LEN(Table2[[#This Row],[!Description]]) &gt; 0, Table2[[#This Row],[!Description]], "rg:None")</f>
        <v>Primary Key</v>
      </c>
      <c r="T79" s="10" t="str">
        <f>IF(LEN(Table2[[#This Row],[!FK]])&gt;0,Table2[[#This Row],[!FK]],"rg:None")</f>
        <v>rg:None</v>
      </c>
      <c r="U79" s="10" t="str">
        <f>IF(LEN(concatif2(A:A,Table2[[#This Row],[!Table]],G:G,"Y",D:D,",")) &gt; 0,"rg:[ { 'req' : '"&amp;concatif2(A:A,Table2[[#This Row],[!Table]],G:G,"Y",D:D,"' }, { 'req': '")&amp;"'} ]","rg:[]")</f>
        <v>rg:[ { 'req' : 'id'} ]</v>
      </c>
    </row>
    <row r="80" spans="1:21" x14ac:dyDescent="0.3">
      <c r="A80" s="3" t="s">
        <v>115</v>
      </c>
      <c r="B80" s="3" t="s">
        <v>10</v>
      </c>
      <c r="C80" s="3"/>
      <c r="D80" s="3" t="s">
        <v>111</v>
      </c>
      <c r="E80" s="3" t="s">
        <v>116</v>
      </c>
      <c r="F80" s="3" t="s">
        <v>7</v>
      </c>
      <c r="G80" s="4"/>
      <c r="H80" s="5" t="str">
        <f t="shared" si="1"/>
        <v>Defs</v>
      </c>
      <c r="I80" t="str">
        <f>IF(Table2[[#This Row],[!Type]]=I$1, I$1,"rg:None")</f>
        <v>rg:None</v>
      </c>
      <c r="J80" t="str">
        <f>IF(Table2[[#This Row],[!Type]]=J$1, J$1,"rg:None")</f>
        <v>rg:None</v>
      </c>
      <c r="K80" t="str">
        <f>IF(Table2[[#This Row],[!Type]]=K$1, K$1,"rg:None")</f>
        <v>rg:None</v>
      </c>
      <c r="L80" s="10" t="str">
        <f>IF(Table2[[#This Row],[!Type]]=L$1, L$1,"rg:None")</f>
        <v>rg:None</v>
      </c>
      <c r="M80" s="5" t="str">
        <f>IF(Table2[[#This Row],[!Type]]=M$1, M$1,"rg:None")</f>
        <v>rg:None</v>
      </c>
      <c r="N80" s="5" t="str">
        <f>IF(Table2[[#This Row],[!Type]]=N$1, N$1,"rg:None")</f>
        <v>rg:None</v>
      </c>
      <c r="O80" s="5" t="str">
        <f>IF(Table2[[#This Row],[!Type]]=O$1, O$1,"rg:None")</f>
        <v>string</v>
      </c>
      <c r="P80" s="5" t="str">
        <f>IF(Table2[[#This Row],[!Type]]=P$1, P$1,"rg:None")</f>
        <v>rg:None</v>
      </c>
      <c r="Q80" s="10" t="str">
        <f>IF(LEN(Table2[[#This Row],[!Length]]) &gt; 0, Table2[[#This Row],[!Length]], "rg:None")</f>
        <v>rg:None</v>
      </c>
      <c r="R80" s="10" t="str">
        <f>IF(LEN(Table2[[#This Row],[!Name]]) &gt; 0, Table2[[#This Row],[!Name]], "rg:None")</f>
        <v>type</v>
      </c>
      <c r="S80" s="10" t="str">
        <f>IF(LEN(Table2[[#This Row],[!Description]]) &gt; 0, Table2[[#This Row],[!Description]], "rg:None")</f>
        <v>The type of the address. UI controlled as to whether it is free form or selected from an enumerated list.</v>
      </c>
      <c r="T80" s="10" t="str">
        <f>IF(LEN(Table2[[#This Row],[!FK]])&gt;0,Table2[[#This Row],[!FK]],"rg:None")</f>
        <v>rg:None</v>
      </c>
      <c r="U80" s="10" t="str">
        <f>IF(LEN(concatif2(A:A,Table2[[#This Row],[!Table]],G:G,"Y",D:D,",")) &gt; 0,"rg:[ { 'req' : '"&amp;concatif2(A:A,Table2[[#This Row],[!Table]],G:G,"Y",D:D,"' }, { 'req': '")&amp;"'} ]","rg:[]")</f>
        <v>rg:[ { 'req' : 'id'} ]</v>
      </c>
    </row>
    <row r="81" spans="1:21" x14ac:dyDescent="0.3">
      <c r="A81" s="3" t="s">
        <v>115</v>
      </c>
      <c r="B81" s="3" t="s">
        <v>10</v>
      </c>
      <c r="C81" s="3"/>
      <c r="D81" s="3" t="s">
        <v>117</v>
      </c>
      <c r="E81" s="3" t="s">
        <v>118</v>
      </c>
      <c r="F81" s="3" t="s">
        <v>7</v>
      </c>
      <c r="G81" s="4"/>
      <c r="H81" s="5" t="str">
        <f t="shared" si="1"/>
        <v>Defs</v>
      </c>
      <c r="I81" t="str">
        <f>IF(Table2[[#This Row],[!Type]]=I$1, I$1,"rg:None")</f>
        <v>rg:None</v>
      </c>
      <c r="J81" t="str">
        <f>IF(Table2[[#This Row],[!Type]]=J$1, J$1,"rg:None")</f>
        <v>rg:None</v>
      </c>
      <c r="K81" t="str">
        <f>IF(Table2[[#This Row],[!Type]]=K$1, K$1,"rg:None")</f>
        <v>rg:None</v>
      </c>
      <c r="L81" s="10" t="str">
        <f>IF(Table2[[#This Row],[!Type]]=L$1, L$1,"rg:None")</f>
        <v>rg:None</v>
      </c>
      <c r="M81" s="5" t="str">
        <f>IF(Table2[[#This Row],[!Type]]=M$1, M$1,"rg:None")</f>
        <v>rg:None</v>
      </c>
      <c r="N81" s="5" t="str">
        <f>IF(Table2[[#This Row],[!Type]]=N$1, N$1,"rg:None")</f>
        <v>rg:None</v>
      </c>
      <c r="O81" s="5" t="str">
        <f>IF(Table2[[#This Row],[!Type]]=O$1, O$1,"rg:None")</f>
        <v>string</v>
      </c>
      <c r="P81" s="5" t="str">
        <f>IF(Table2[[#This Row],[!Type]]=P$1, P$1,"rg:None")</f>
        <v>rg:None</v>
      </c>
      <c r="Q81" s="10" t="str">
        <f>IF(LEN(Table2[[#This Row],[!Length]]) &gt; 0, Table2[[#This Row],[!Length]], "rg:None")</f>
        <v>rg:None</v>
      </c>
      <c r="R81" s="10" t="str">
        <f>IF(LEN(Table2[[#This Row],[!Name]]) &gt; 0, Table2[[#This Row],[!Name]], "rg:None")</f>
        <v>addr1</v>
      </c>
      <c r="S81" s="10" t="str">
        <f>IF(LEN(Table2[[#This Row],[!Description]]) &gt; 0, Table2[[#This Row],[!Description]], "rg:None")</f>
        <v>Address 1 line of the address.</v>
      </c>
      <c r="T81" s="10" t="str">
        <f>IF(LEN(Table2[[#This Row],[!FK]])&gt;0,Table2[[#This Row],[!FK]],"rg:None")</f>
        <v>rg:None</v>
      </c>
      <c r="U81" s="10" t="str">
        <f>IF(LEN(concatif2(A:A,Table2[[#This Row],[!Table]],G:G,"Y",D:D,",")) &gt; 0,"rg:[ { 'req' : '"&amp;concatif2(A:A,Table2[[#This Row],[!Table]],G:G,"Y",D:D,"' }, { 'req': '")&amp;"'} ]","rg:[]")</f>
        <v>rg:[ { 'req' : 'id'} ]</v>
      </c>
    </row>
    <row r="82" spans="1:21" x14ac:dyDescent="0.3">
      <c r="A82" s="3" t="s">
        <v>115</v>
      </c>
      <c r="B82" s="3" t="s">
        <v>10</v>
      </c>
      <c r="C82" s="3"/>
      <c r="D82" s="3" t="s">
        <v>119</v>
      </c>
      <c r="E82" s="3" t="s">
        <v>120</v>
      </c>
      <c r="F82" s="3" t="s">
        <v>7</v>
      </c>
      <c r="G82" s="4"/>
      <c r="H82" s="5" t="str">
        <f t="shared" si="1"/>
        <v>Defs</v>
      </c>
      <c r="I82" t="str">
        <f>IF(Table2[[#This Row],[!Type]]=I$1, I$1,"rg:None")</f>
        <v>rg:None</v>
      </c>
      <c r="J82" t="str">
        <f>IF(Table2[[#This Row],[!Type]]=J$1, J$1,"rg:None")</f>
        <v>rg:None</v>
      </c>
      <c r="K82" t="str">
        <f>IF(Table2[[#This Row],[!Type]]=K$1, K$1,"rg:None")</f>
        <v>rg:None</v>
      </c>
      <c r="L82" s="10" t="str">
        <f>IF(Table2[[#This Row],[!Type]]=L$1, L$1,"rg:None")</f>
        <v>rg:None</v>
      </c>
      <c r="M82" s="5" t="str">
        <f>IF(Table2[[#This Row],[!Type]]=M$1, M$1,"rg:None")</f>
        <v>rg:None</v>
      </c>
      <c r="N82" s="5" t="str">
        <f>IF(Table2[[#This Row],[!Type]]=N$1, N$1,"rg:None")</f>
        <v>rg:None</v>
      </c>
      <c r="O82" s="5" t="str">
        <f>IF(Table2[[#This Row],[!Type]]=O$1, O$1,"rg:None")</f>
        <v>string</v>
      </c>
      <c r="P82" s="5" t="str">
        <f>IF(Table2[[#This Row],[!Type]]=P$1, P$1,"rg:None")</f>
        <v>rg:None</v>
      </c>
      <c r="Q82" s="10" t="str">
        <f>IF(LEN(Table2[[#This Row],[!Length]]) &gt; 0, Table2[[#This Row],[!Length]], "rg:None")</f>
        <v>rg:None</v>
      </c>
      <c r="R82" s="10" t="str">
        <f>IF(LEN(Table2[[#This Row],[!Name]]) &gt; 0, Table2[[#This Row],[!Name]], "rg:None")</f>
        <v>addr2</v>
      </c>
      <c r="S82" s="10" t="str">
        <f>IF(LEN(Table2[[#This Row],[!Description]]) &gt; 0, Table2[[#This Row],[!Description]], "rg:None")</f>
        <v>Address 2 line of the address.</v>
      </c>
      <c r="T82" s="10" t="str">
        <f>IF(LEN(Table2[[#This Row],[!FK]])&gt;0,Table2[[#This Row],[!FK]],"rg:None")</f>
        <v>rg:None</v>
      </c>
      <c r="U82" s="10" t="str">
        <f>IF(LEN(concatif2(A:A,Table2[[#This Row],[!Table]],G:G,"Y",D:D,",")) &gt; 0,"rg:[ { 'req' : '"&amp;concatif2(A:A,Table2[[#This Row],[!Table]],G:G,"Y",D:D,"' }, { 'req': '")&amp;"'} ]","rg:[]")</f>
        <v>rg:[ { 'req' : 'id'} ]</v>
      </c>
    </row>
    <row r="83" spans="1:21" x14ac:dyDescent="0.3">
      <c r="A83" s="3" t="s">
        <v>115</v>
      </c>
      <c r="B83" s="3" t="s">
        <v>10</v>
      </c>
      <c r="C83" s="3"/>
      <c r="D83" s="3" t="s">
        <v>121</v>
      </c>
      <c r="E83" s="3" t="s">
        <v>122</v>
      </c>
      <c r="F83" s="3" t="s">
        <v>7</v>
      </c>
      <c r="G83" s="4"/>
      <c r="H83" s="5" t="str">
        <f t="shared" si="1"/>
        <v>Defs</v>
      </c>
      <c r="I83" t="str">
        <f>IF(Table2[[#This Row],[!Type]]=I$1, I$1,"rg:None")</f>
        <v>rg:None</v>
      </c>
      <c r="J83" t="str">
        <f>IF(Table2[[#This Row],[!Type]]=J$1, J$1,"rg:None")</f>
        <v>rg:None</v>
      </c>
      <c r="K83" t="str">
        <f>IF(Table2[[#This Row],[!Type]]=K$1, K$1,"rg:None")</f>
        <v>rg:None</v>
      </c>
      <c r="L83" s="10" t="str">
        <f>IF(Table2[[#This Row],[!Type]]=L$1, L$1,"rg:None")</f>
        <v>rg:None</v>
      </c>
      <c r="M83" s="5" t="str">
        <f>IF(Table2[[#This Row],[!Type]]=M$1, M$1,"rg:None")</f>
        <v>rg:None</v>
      </c>
      <c r="N83" s="5" t="str">
        <f>IF(Table2[[#This Row],[!Type]]=N$1, N$1,"rg:None")</f>
        <v>rg:None</v>
      </c>
      <c r="O83" s="5" t="str">
        <f>IF(Table2[[#This Row],[!Type]]=O$1, O$1,"rg:None")</f>
        <v>string</v>
      </c>
      <c r="P83" s="5" t="str">
        <f>IF(Table2[[#This Row],[!Type]]=P$1, P$1,"rg:None")</f>
        <v>rg:None</v>
      </c>
      <c r="Q83" s="10" t="str">
        <f>IF(LEN(Table2[[#This Row],[!Length]]) &gt; 0, Table2[[#This Row],[!Length]], "rg:None")</f>
        <v>rg:None</v>
      </c>
      <c r="R83" s="10" t="str">
        <f>IF(LEN(Table2[[#This Row],[!Name]]) &gt; 0, Table2[[#This Row],[!Name]], "rg:None")</f>
        <v>city</v>
      </c>
      <c r="S83" s="10" t="str">
        <f>IF(LEN(Table2[[#This Row],[!Description]]) &gt; 0, Table2[[#This Row],[!Description]], "rg:None")</f>
        <v>The City of the address.</v>
      </c>
      <c r="T83" s="10" t="str">
        <f>IF(LEN(Table2[[#This Row],[!FK]])&gt;0,Table2[[#This Row],[!FK]],"rg:None")</f>
        <v>rg:None</v>
      </c>
      <c r="U83" s="10" t="str">
        <f>IF(LEN(concatif2(A:A,Table2[[#This Row],[!Table]],G:G,"Y",D:D,",")) &gt; 0,"rg:[ { 'req' : '"&amp;concatif2(A:A,Table2[[#This Row],[!Table]],G:G,"Y",D:D,"' }, { 'req': '")&amp;"'} ]","rg:[]")</f>
        <v>rg:[ { 'req' : 'id'} ]</v>
      </c>
    </row>
    <row r="84" spans="1:21" x14ac:dyDescent="0.3">
      <c r="A84" s="3" t="s">
        <v>115</v>
      </c>
      <c r="B84" s="3" t="s">
        <v>10</v>
      </c>
      <c r="C84" s="3"/>
      <c r="D84" s="3" t="s">
        <v>123</v>
      </c>
      <c r="E84" s="3" t="s">
        <v>124</v>
      </c>
      <c r="F84" s="3" t="s">
        <v>7</v>
      </c>
      <c r="G84" s="4"/>
      <c r="H84" s="5" t="str">
        <f t="shared" si="1"/>
        <v>Defs</v>
      </c>
      <c r="I84" t="str">
        <f>IF(Table2[[#This Row],[!Type]]=I$1, I$1,"rg:None")</f>
        <v>rg:None</v>
      </c>
      <c r="J84" t="str">
        <f>IF(Table2[[#This Row],[!Type]]=J$1, J$1,"rg:None")</f>
        <v>rg:None</v>
      </c>
      <c r="K84" t="str">
        <f>IF(Table2[[#This Row],[!Type]]=K$1, K$1,"rg:None")</f>
        <v>rg:None</v>
      </c>
      <c r="L84" s="10" t="str">
        <f>IF(Table2[[#This Row],[!Type]]=L$1, L$1,"rg:None")</f>
        <v>rg:None</v>
      </c>
      <c r="M84" s="5" t="str">
        <f>IF(Table2[[#This Row],[!Type]]=M$1, M$1,"rg:None")</f>
        <v>rg:None</v>
      </c>
      <c r="N84" s="5" t="str">
        <f>IF(Table2[[#This Row],[!Type]]=N$1, N$1,"rg:None")</f>
        <v>rg:None</v>
      </c>
      <c r="O84" s="5" t="str">
        <f>IF(Table2[[#This Row],[!Type]]=O$1, O$1,"rg:None")</f>
        <v>string</v>
      </c>
      <c r="P84" s="5" t="str">
        <f>IF(Table2[[#This Row],[!Type]]=P$1, P$1,"rg:None")</f>
        <v>rg:None</v>
      </c>
      <c r="Q84" s="10" t="str">
        <f>IF(LEN(Table2[[#This Row],[!Length]]) &gt; 0, Table2[[#This Row],[!Length]], "rg:None")</f>
        <v>rg:None</v>
      </c>
      <c r="R84" s="10" t="str">
        <f>IF(LEN(Table2[[#This Row],[!Name]]) &gt; 0, Table2[[#This Row],[!Name]], "rg:None")</f>
        <v>province</v>
      </c>
      <c r="S84" s="10" t="str">
        <f>IF(LEN(Table2[[#This Row],[!Description]]) &gt; 0, Table2[[#This Row],[!Description]], "rg:None")</f>
        <v>The Province of the address.</v>
      </c>
      <c r="T84" s="10" t="str">
        <f>IF(LEN(Table2[[#This Row],[!FK]])&gt;0,Table2[[#This Row],[!FK]],"rg:None")</f>
        <v>rg:None</v>
      </c>
      <c r="U84" s="10" t="str">
        <f>IF(LEN(concatif2(A:A,Table2[[#This Row],[!Table]],G:G,"Y",D:D,",")) &gt; 0,"rg:[ { 'req' : '"&amp;concatif2(A:A,Table2[[#This Row],[!Table]],G:G,"Y",D:D,"' }, { 'req': '")&amp;"'} ]","rg:[]")</f>
        <v>rg:[ { 'req' : 'id'} ]</v>
      </c>
    </row>
    <row r="85" spans="1:21" x14ac:dyDescent="0.3">
      <c r="A85" s="3" t="s">
        <v>115</v>
      </c>
      <c r="B85" s="3" t="s">
        <v>10</v>
      </c>
      <c r="C85" s="3"/>
      <c r="D85" s="3" t="s">
        <v>125</v>
      </c>
      <c r="E85" s="3" t="s">
        <v>126</v>
      </c>
      <c r="F85" s="3" t="s">
        <v>7</v>
      </c>
      <c r="G85" s="4"/>
      <c r="H85" s="5" t="str">
        <f t="shared" si="1"/>
        <v>Defs</v>
      </c>
      <c r="I85" t="str">
        <f>IF(Table2[[#This Row],[!Type]]=I$1, I$1,"rg:None")</f>
        <v>rg:None</v>
      </c>
      <c r="J85" t="str">
        <f>IF(Table2[[#This Row],[!Type]]=J$1, J$1,"rg:None")</f>
        <v>rg:None</v>
      </c>
      <c r="K85" t="str">
        <f>IF(Table2[[#This Row],[!Type]]=K$1, K$1,"rg:None")</f>
        <v>rg:None</v>
      </c>
      <c r="L85" s="10" t="str">
        <f>IF(Table2[[#This Row],[!Type]]=L$1, L$1,"rg:None")</f>
        <v>rg:None</v>
      </c>
      <c r="M85" s="5" t="str">
        <f>IF(Table2[[#This Row],[!Type]]=M$1, M$1,"rg:None")</f>
        <v>rg:None</v>
      </c>
      <c r="N85" s="5" t="str">
        <f>IF(Table2[[#This Row],[!Type]]=N$1, N$1,"rg:None")</f>
        <v>rg:None</v>
      </c>
      <c r="O85" s="5" t="str">
        <f>IF(Table2[[#This Row],[!Type]]=O$1, O$1,"rg:None")</f>
        <v>string</v>
      </c>
      <c r="P85" s="5" t="str">
        <f>IF(Table2[[#This Row],[!Type]]=P$1, P$1,"rg:None")</f>
        <v>rg:None</v>
      </c>
      <c r="Q85" s="10" t="str">
        <f>IF(LEN(Table2[[#This Row],[!Length]]) &gt; 0, Table2[[#This Row],[!Length]], "rg:None")</f>
        <v>rg:None</v>
      </c>
      <c r="R85" s="10" t="str">
        <f>IF(LEN(Table2[[#This Row],[!Name]]) &gt; 0, Table2[[#This Row],[!Name]], "rg:None")</f>
        <v>postalCode</v>
      </c>
      <c r="S85" s="10" t="str">
        <f>IF(LEN(Table2[[#This Row],[!Description]]) &gt; 0, Table2[[#This Row],[!Description]], "rg:None")</f>
        <v>The postal code of the address.</v>
      </c>
      <c r="T85" s="10" t="str">
        <f>IF(LEN(Table2[[#This Row],[!FK]])&gt;0,Table2[[#This Row],[!FK]],"rg:None")</f>
        <v>rg:None</v>
      </c>
      <c r="U85" s="10" t="str">
        <f>IF(LEN(concatif2(A:A,Table2[[#This Row],[!Table]],G:G,"Y",D:D,",")) &gt; 0,"rg:[ { 'req' : '"&amp;concatif2(A:A,Table2[[#This Row],[!Table]],G:G,"Y",D:D,"' }, { 'req': '")&amp;"'} ]","rg:[]")</f>
        <v>rg:[ { 'req' : 'id'} ]</v>
      </c>
    </row>
    <row r="86" spans="1:21" x14ac:dyDescent="0.3">
      <c r="A86" s="3" t="s">
        <v>127</v>
      </c>
      <c r="B86" s="3" t="s">
        <v>5</v>
      </c>
      <c r="C86" s="3"/>
      <c r="D86" s="3" t="s">
        <v>127</v>
      </c>
      <c r="E86" s="3" t="s">
        <v>128</v>
      </c>
      <c r="F86" s="3" t="s">
        <v>7</v>
      </c>
      <c r="G86" s="4"/>
      <c r="H86" s="5" t="str">
        <f t="shared" si="1"/>
        <v>Defs</v>
      </c>
      <c r="I86" t="str">
        <f>IF(Table2[[#This Row],[!Type]]=I$1, I$1,"rg:None")</f>
        <v>rg:None</v>
      </c>
      <c r="J86" t="str">
        <f>IF(Table2[[#This Row],[!Type]]=J$1, J$1,"rg:None")</f>
        <v>rg:None</v>
      </c>
      <c r="K86" t="str">
        <f>IF(Table2[[#This Row],[!Type]]=K$1, K$1,"rg:None")</f>
        <v>rg:None</v>
      </c>
      <c r="L86" s="10" t="str">
        <f>IF(Table2[[#This Row],[!Type]]=L$1, L$1,"rg:None")</f>
        <v>rg:None</v>
      </c>
      <c r="M86" s="5" t="str">
        <f>IF(Table2[[#This Row],[!Type]]=M$1, M$1,"rg:None")</f>
        <v>rg:None</v>
      </c>
      <c r="N86" s="5" t="str">
        <f>IF(Table2[[#This Row],[!Type]]=N$1, N$1,"rg:None")</f>
        <v>rg:None</v>
      </c>
      <c r="O86" s="5" t="str">
        <f>IF(Table2[[#This Row],[!Type]]=O$1, O$1,"rg:None")</f>
        <v>rg:None</v>
      </c>
      <c r="P86" s="5" t="str">
        <f>IF(Table2[[#This Row],[!Type]]=P$1, P$1,"rg:None")</f>
        <v>table</v>
      </c>
      <c r="Q86" s="10" t="str">
        <f>IF(LEN(Table2[[#This Row],[!Length]]) &gt; 0, Table2[[#This Row],[!Length]], "rg:None")</f>
        <v>rg:None</v>
      </c>
      <c r="R86" s="10" t="str">
        <f>IF(LEN(Table2[[#This Row],[!Name]]) &gt; 0, Table2[[#This Row],[!Name]], "rg:None")</f>
        <v>SchoolBusOwnerHistory</v>
      </c>
      <c r="S86" s="10" t="str">
        <f>IF(LEN(Table2[[#This Row],[!Description]]) &gt; 0, Table2[[#This Row],[!Description]], "rg:None")</f>
        <v>The history of updates made to a School Bus Owner record. Exact format of the history TBD.</v>
      </c>
      <c r="T86" s="10" t="str">
        <f>IF(LEN(Table2[[#This Row],[!FK]])&gt;0,Table2[[#This Row],[!FK]],"rg:None")</f>
        <v>rg:None</v>
      </c>
      <c r="U86" s="10" t="str">
        <f>IF(LEN(concatif2(A:A,Table2[[#This Row],[!Table]],G:G,"Y",D:D,",")) &gt; 0,"rg:[ { 'req' : '"&amp;concatif2(A:A,Table2[[#This Row],[!Table]],G:G,"Y",D:D,"' }, { 'req': '")&amp;"'} ]","rg:[]")</f>
        <v>rg:[ { 'req' : 'id'} ]</v>
      </c>
    </row>
    <row r="87" spans="1:21" x14ac:dyDescent="0.3">
      <c r="A87" s="3" t="s">
        <v>127</v>
      </c>
      <c r="B87" s="3" t="s">
        <v>8</v>
      </c>
      <c r="C87" s="3"/>
      <c r="D87" s="3" t="s">
        <v>8</v>
      </c>
      <c r="E87" s="3" t="s">
        <v>9</v>
      </c>
      <c r="F87" s="3" t="s">
        <v>7</v>
      </c>
      <c r="G87" s="4" t="s">
        <v>211</v>
      </c>
      <c r="H87" s="5" t="str">
        <f t="shared" si="1"/>
        <v>Defs</v>
      </c>
      <c r="I87" t="str">
        <f>IF(Table2[[#This Row],[!Type]]=I$1, I$1,"rg:None")</f>
        <v>rg:None</v>
      </c>
      <c r="J87" t="str">
        <f>IF(Table2[[#This Row],[!Type]]=J$1, J$1,"rg:None")</f>
        <v>rg:None</v>
      </c>
      <c r="K87" t="str">
        <f>IF(Table2[[#This Row],[!Type]]=K$1, K$1,"rg:None")</f>
        <v>id</v>
      </c>
      <c r="L87" s="10" t="str">
        <f>IF(Table2[[#This Row],[!Type]]=L$1, L$1,"rg:None")</f>
        <v>rg:None</v>
      </c>
      <c r="M87" s="5" t="str">
        <f>IF(Table2[[#This Row],[!Type]]=M$1, M$1,"rg:None")</f>
        <v>rg:None</v>
      </c>
      <c r="N87" s="5" t="str">
        <f>IF(Table2[[#This Row],[!Type]]=N$1, N$1,"rg:None")</f>
        <v>rg:None</v>
      </c>
      <c r="O87" s="5" t="str">
        <f>IF(Table2[[#This Row],[!Type]]=O$1, O$1,"rg:None")</f>
        <v>rg:None</v>
      </c>
      <c r="P87" s="5" t="str">
        <f>IF(Table2[[#This Row],[!Type]]=P$1, P$1,"rg:None")</f>
        <v>rg:None</v>
      </c>
      <c r="Q87" s="10" t="str">
        <f>IF(LEN(Table2[[#This Row],[!Length]]) &gt; 0, Table2[[#This Row],[!Length]], "rg:None")</f>
        <v>rg:None</v>
      </c>
      <c r="R87" s="10" t="str">
        <f>IF(LEN(Table2[[#This Row],[!Name]]) &gt; 0, Table2[[#This Row],[!Name]], "rg:None")</f>
        <v>id</v>
      </c>
      <c r="S87" s="10" t="str">
        <f>IF(LEN(Table2[[#This Row],[!Description]]) &gt; 0, Table2[[#This Row],[!Description]], "rg:None")</f>
        <v>Primary Key</v>
      </c>
      <c r="T87" s="10" t="str">
        <f>IF(LEN(Table2[[#This Row],[!FK]])&gt;0,Table2[[#This Row],[!FK]],"rg:None")</f>
        <v>rg:None</v>
      </c>
      <c r="U87" s="10" t="str">
        <f>IF(LEN(concatif2(A:A,Table2[[#This Row],[!Table]],G:G,"Y",D:D,",")) &gt; 0,"rg:[ { 'req' : '"&amp;concatif2(A:A,Table2[[#This Row],[!Table]],G:G,"Y",D:D,"' }, { 'req': '")&amp;"'} ]","rg:[]")</f>
        <v>rg:[ { 'req' : 'id'} ]</v>
      </c>
    </row>
    <row r="88" spans="1:21" x14ac:dyDescent="0.3">
      <c r="A88" s="3" t="s">
        <v>127</v>
      </c>
      <c r="B88" s="3" t="s">
        <v>17</v>
      </c>
      <c r="C88" s="3"/>
      <c r="D88" s="3" t="s">
        <v>18</v>
      </c>
      <c r="E88" s="3" t="s">
        <v>7</v>
      </c>
      <c r="F88" s="3" t="s">
        <v>19</v>
      </c>
      <c r="G88" s="4"/>
      <c r="H88" s="5" t="str">
        <f t="shared" si="1"/>
        <v>Defs</v>
      </c>
      <c r="I88" t="str">
        <f>IF(Table2[[#This Row],[!Type]]=I$1, I$1,"rg:None")</f>
        <v>rg:None</v>
      </c>
      <c r="J88" t="str">
        <f>IF(Table2[[#This Row],[!Type]]=J$1, J$1,"rg:None")</f>
        <v>rg:None</v>
      </c>
      <c r="K88" t="str">
        <f>IF(Table2[[#This Row],[!Type]]=K$1, K$1,"rg:None")</f>
        <v>rg:None</v>
      </c>
      <c r="L88" s="10" t="str">
        <f>IF(Table2[[#This Row],[!Type]]=L$1, L$1,"rg:None")</f>
        <v>rg:None</v>
      </c>
      <c r="M88" s="5" t="str">
        <f>IF(Table2[[#This Row],[!Type]]=M$1, M$1,"rg:None")</f>
        <v>rg:None</v>
      </c>
      <c r="N88" s="5" t="str">
        <f>IF(Table2[[#This Row],[!Type]]=N$1, N$1,"rg:None")</f>
        <v>ref</v>
      </c>
      <c r="O88" s="5" t="str">
        <f>IF(Table2[[#This Row],[!Type]]=O$1, O$1,"rg:None")</f>
        <v>rg:None</v>
      </c>
      <c r="P88" s="5" t="str">
        <f>IF(Table2[[#This Row],[!Type]]=P$1, P$1,"rg:None")</f>
        <v>rg:None</v>
      </c>
      <c r="Q88" s="10" t="str">
        <f>IF(LEN(Table2[[#This Row],[!Length]]) &gt; 0, Table2[[#This Row],[!Length]], "rg:None")</f>
        <v>rg:None</v>
      </c>
      <c r="R88" s="10" t="str">
        <f>IF(LEN(Table2[[#This Row],[!Name]]) &gt; 0, Table2[[#This Row],[!Name]], "rg:None")</f>
        <v>schoolBusOwner</v>
      </c>
      <c r="S88" s="10" t="str">
        <f>IF(LEN(Table2[[#This Row],[!Description]]) &gt; 0, Table2[[#This Row],[!Description]], "rg:None")</f>
        <v>rg:None</v>
      </c>
      <c r="T88" s="10" t="str">
        <f>IF(LEN(Table2[[#This Row],[!FK]])&gt;0,Table2[[#This Row],[!FK]],"rg:None")</f>
        <v>SchoolBusOwner</v>
      </c>
      <c r="U88" s="10" t="str">
        <f>IF(LEN(concatif2(A:A,Table2[[#This Row],[!Table]],G:G,"Y",D:D,",")) &gt; 0,"rg:[ { 'req' : '"&amp;concatif2(A:A,Table2[[#This Row],[!Table]],G:G,"Y",D:D,"' }, { 'req': '")&amp;"'} ]","rg:[]")</f>
        <v>rg:[ { 'req' : 'id'} ]</v>
      </c>
    </row>
    <row r="89" spans="1:21" x14ac:dyDescent="0.3">
      <c r="A89" s="3" t="s">
        <v>129</v>
      </c>
      <c r="B89" s="3" t="s">
        <v>5</v>
      </c>
      <c r="C89" s="3"/>
      <c r="D89" s="3" t="s">
        <v>129</v>
      </c>
      <c r="E89" s="3" t="s">
        <v>253</v>
      </c>
      <c r="F89" s="3" t="s">
        <v>7</v>
      </c>
      <c r="H89" s="5" t="str">
        <f t="shared" si="1"/>
        <v>Defs</v>
      </c>
      <c r="I89" t="str">
        <f>IF(Table2[[#This Row],[!Type]]=I$1, I$1,"rg:None")</f>
        <v>rg:None</v>
      </c>
      <c r="J89" t="str">
        <f>IF(Table2[[#This Row],[!Type]]=J$1, J$1,"rg:None")</f>
        <v>rg:None</v>
      </c>
      <c r="K89" t="str">
        <f>IF(Table2[[#This Row],[!Type]]=K$1, K$1,"rg:None")</f>
        <v>rg:None</v>
      </c>
      <c r="L89" s="10" t="str">
        <f>IF(Table2[[#This Row],[!Type]]=L$1, L$1,"rg:None")</f>
        <v>rg:None</v>
      </c>
      <c r="M89" s="5" t="str">
        <f>IF(Table2[[#This Row],[!Type]]=M$1, M$1,"rg:None")</f>
        <v>rg:None</v>
      </c>
      <c r="N89" s="5" t="str">
        <f>IF(Table2[[#This Row],[!Type]]=N$1, N$1,"rg:None")</f>
        <v>rg:None</v>
      </c>
      <c r="O89" s="5" t="str">
        <f>IF(Table2[[#This Row],[!Type]]=O$1, O$1,"rg:None")</f>
        <v>rg:None</v>
      </c>
      <c r="P89" s="5" t="str">
        <f>IF(Table2[[#This Row],[!Type]]=P$1, P$1,"rg:None")</f>
        <v>table</v>
      </c>
      <c r="Q89" s="10" t="str">
        <f>IF(LEN(Table2[[#This Row],[!Length]]) &gt; 0, Table2[[#This Row],[!Length]], "rg:None")</f>
        <v>rg:None</v>
      </c>
      <c r="R89" s="10" t="str">
        <f>IF(LEN(Table2[[#This Row],[!Name]]) &gt; 0, Table2[[#This Row],[!Name]], "rg:None")</f>
        <v>CCWData</v>
      </c>
      <c r="S89" s="10" t="str">
        <f>IF(LEN(Table2[[#This Row],[!Description]]) &gt; 0, Table2[[#This Row],[!Description]], "rg:None")</f>
        <v>Data pulled in from external sources (ICBC, NSC, etc) about School Buses and retained but not updated in the School Bus app. All data elements are simply copied from the comparable fields in the WSDLs of the Web Service Calls.</v>
      </c>
      <c r="T89" s="10" t="str">
        <f>IF(LEN(Table2[[#This Row],[!FK]])&gt;0,Table2[[#This Row],[!FK]],"rg:None")</f>
        <v>rg:None</v>
      </c>
      <c r="U89" s="10" t="str">
        <f>IF(LEN(concatif2(A:A,Table2[[#This Row],[!Table]],G:G,"Y",D:D,",")) &gt; 0,"rg:[ { 'req' : '"&amp;concatif2(A:A,Table2[[#This Row],[!Table]],G:G,"Y",D:D,"' }, { 'req': '")&amp;"'} ]","rg:[]")</f>
        <v>rg:[ { 'req' : 'id'} ]</v>
      </c>
    </row>
    <row r="90" spans="1:21" x14ac:dyDescent="0.3">
      <c r="A90" s="3" t="s">
        <v>129</v>
      </c>
      <c r="B90" s="3" t="s">
        <v>8</v>
      </c>
      <c r="C90" s="3"/>
      <c r="D90" s="3" t="s">
        <v>8</v>
      </c>
      <c r="E90" s="3" t="s">
        <v>9</v>
      </c>
      <c r="F90" s="3" t="s">
        <v>7</v>
      </c>
      <c r="G90" s="4" t="s">
        <v>211</v>
      </c>
      <c r="H90" s="5" t="str">
        <f t="shared" si="1"/>
        <v>Defs</v>
      </c>
      <c r="I90" t="str">
        <f>IF(Table2[[#This Row],[!Type]]=I$1, I$1,"rg:None")</f>
        <v>rg:None</v>
      </c>
      <c r="J90" t="str">
        <f>IF(Table2[[#This Row],[!Type]]=J$1, J$1,"rg:None")</f>
        <v>rg:None</v>
      </c>
      <c r="K90" t="str">
        <f>IF(Table2[[#This Row],[!Type]]=K$1, K$1,"rg:None")</f>
        <v>id</v>
      </c>
      <c r="L90" s="10" t="str">
        <f>IF(Table2[[#This Row],[!Type]]=L$1, L$1,"rg:None")</f>
        <v>rg:None</v>
      </c>
      <c r="M90" s="5" t="str">
        <f>IF(Table2[[#This Row],[!Type]]=M$1, M$1,"rg:None")</f>
        <v>rg:None</v>
      </c>
      <c r="N90" s="5" t="str">
        <f>IF(Table2[[#This Row],[!Type]]=N$1, N$1,"rg:None")</f>
        <v>rg:None</v>
      </c>
      <c r="O90" s="5" t="str">
        <f>IF(Table2[[#This Row],[!Type]]=O$1, O$1,"rg:None")</f>
        <v>rg:None</v>
      </c>
      <c r="P90" s="5" t="str">
        <f>IF(Table2[[#This Row],[!Type]]=P$1, P$1,"rg:None")</f>
        <v>rg:None</v>
      </c>
      <c r="Q90" s="10" t="str">
        <f>IF(LEN(Table2[[#This Row],[!Length]]) &gt; 0, Table2[[#This Row],[!Length]], "rg:None")</f>
        <v>rg:None</v>
      </c>
      <c r="R90" s="10" t="str">
        <f>IF(LEN(Table2[[#This Row],[!Name]]) &gt; 0, Table2[[#This Row],[!Name]], "rg:None")</f>
        <v>id</v>
      </c>
      <c r="S90" s="10" t="str">
        <f>IF(LEN(Table2[[#This Row],[!Description]]) &gt; 0, Table2[[#This Row],[!Description]], "rg:None")</f>
        <v>Primary Key</v>
      </c>
      <c r="T90" s="10" t="str">
        <f>IF(LEN(Table2[[#This Row],[!FK]])&gt;0,Table2[[#This Row],[!FK]],"rg:None")</f>
        <v>rg:None</v>
      </c>
      <c r="U90" s="10" t="str">
        <f>IF(LEN(concatif2(A:A,Table2[[#This Row],[!Table]],G:G,"Y",D:D,",")) &gt; 0,"rg:[ { 'req' : '"&amp;concatif2(A:A,Table2[[#This Row],[!Table]],G:G,"Y",D:D,"' }, { 'req': '")&amp;"'} ]","rg:[]")</f>
        <v>rg:[ { 'req' : 'id'} ]</v>
      </c>
    </row>
    <row r="91" spans="1:21" x14ac:dyDescent="0.3">
      <c r="A91" s="3" t="s">
        <v>129</v>
      </c>
      <c r="B91" s="3" t="s">
        <v>10</v>
      </c>
      <c r="C91" s="3"/>
      <c r="D91" s="5" t="s">
        <v>214</v>
      </c>
      <c r="E91" s="3" t="s">
        <v>130</v>
      </c>
      <c r="F91" s="3" t="s">
        <v>7</v>
      </c>
      <c r="H91" s="5" t="str">
        <f t="shared" si="1"/>
        <v>Defs</v>
      </c>
      <c r="I91" t="str">
        <f>IF(Table2[[#This Row],[!Type]]=I$1, I$1,"rg:None")</f>
        <v>rg:None</v>
      </c>
      <c r="J91" t="str">
        <f>IF(Table2[[#This Row],[!Type]]=J$1, J$1,"rg:None")</f>
        <v>rg:None</v>
      </c>
      <c r="K91" t="str">
        <f>IF(Table2[[#This Row],[!Type]]=K$1, K$1,"rg:None")</f>
        <v>rg:None</v>
      </c>
      <c r="L91" s="10" t="str">
        <f>IF(Table2[[#This Row],[!Type]]=L$1, L$1,"rg:None")</f>
        <v>rg:None</v>
      </c>
      <c r="M91" s="5" t="str">
        <f>IF(Table2[[#This Row],[!Type]]=M$1, M$1,"rg:None")</f>
        <v>rg:None</v>
      </c>
      <c r="N91" s="5" t="str">
        <f>IF(Table2[[#This Row],[!Type]]=N$1, N$1,"rg:None")</f>
        <v>rg:None</v>
      </c>
      <c r="O91" s="5" t="str">
        <f>IF(Table2[[#This Row],[!Type]]=O$1, O$1,"rg:None")</f>
        <v>string</v>
      </c>
      <c r="P91" s="5" t="str">
        <f>IF(Table2[[#This Row],[!Type]]=P$1, P$1,"rg:None")</f>
        <v>rg:None</v>
      </c>
      <c r="Q91" s="10" t="str">
        <f>IF(LEN(Table2[[#This Row],[!Length]]) &gt; 0, Table2[[#This Row],[!Length]], "rg:None")</f>
        <v>rg:None</v>
      </c>
      <c r="R91" s="10" t="str">
        <f>IF(LEN(Table2[[#This Row],[!Name]]) &gt; 0, Table2[[#This Row],[!Name]], "rg:None")</f>
        <v>ICBCRegi</v>
      </c>
      <c r="S91" s="10" t="str">
        <f>IF(LEN(Table2[[#This Row],[!Description]]) &gt; 0, Table2[[#This Row],[!Description]], "rg:None")</f>
        <v>The Registration Number (Regi) is the link between the CCW information and a specific School Bus</v>
      </c>
      <c r="T91" s="10" t="str">
        <f>IF(LEN(Table2[[#This Row],[!FK]])&gt;0,Table2[[#This Row],[!FK]],"rg:None")</f>
        <v>rg:None</v>
      </c>
      <c r="U91" s="10" t="str">
        <f>IF(LEN(concatif2(A:A,Table2[[#This Row],[!Table]],G:G,"Y",D:D,",")) &gt; 0,"rg:[ { 'req' : '"&amp;concatif2(A:A,Table2[[#This Row],[!Table]],G:G,"Y",D:D,"' }, { 'req': '")&amp;"'} ]","rg:[]")</f>
        <v>rg:[ { 'req' : 'id'} ]</v>
      </c>
    </row>
    <row r="92" spans="1:21" x14ac:dyDescent="0.3">
      <c r="A92" s="3" t="s">
        <v>129</v>
      </c>
      <c r="B92" s="3" t="s">
        <v>62</v>
      </c>
      <c r="C92" s="3"/>
      <c r="D92" s="5" t="s">
        <v>215</v>
      </c>
      <c r="E92" s="3" t="s">
        <v>131</v>
      </c>
      <c r="F92" s="3" t="s">
        <v>7</v>
      </c>
      <c r="H92" s="5" t="str">
        <f t="shared" si="1"/>
        <v>Defs</v>
      </c>
      <c r="I92" t="str">
        <f>IF(Table2[[#This Row],[!Type]]=I$1, I$1,"rg:None")</f>
        <v>rg:None</v>
      </c>
      <c r="J92" t="str">
        <f>IF(Table2[[#This Row],[!Type]]=J$1, J$1,"rg:None")</f>
        <v>rg:None</v>
      </c>
      <c r="K92" t="str">
        <f>IF(Table2[[#This Row],[!Type]]=K$1, K$1,"rg:None")</f>
        <v>rg:None</v>
      </c>
      <c r="L92" s="10" t="str">
        <f>IF(Table2[[#This Row],[!Type]]=L$1, L$1,"rg:None")</f>
        <v>integer</v>
      </c>
      <c r="M92" s="5" t="str">
        <f>IF(Table2[[#This Row],[!Type]]=M$1, M$1,"rg:None")</f>
        <v>rg:None</v>
      </c>
      <c r="N92" s="5" t="str">
        <f>IF(Table2[[#This Row],[!Type]]=N$1, N$1,"rg:None")</f>
        <v>rg:None</v>
      </c>
      <c r="O92" s="5" t="str">
        <f>IF(Table2[[#This Row],[!Type]]=O$1, O$1,"rg:None")</f>
        <v>rg:None</v>
      </c>
      <c r="P92" s="5" t="str">
        <f>IF(Table2[[#This Row],[!Type]]=P$1, P$1,"rg:None")</f>
        <v>rg:None</v>
      </c>
      <c r="Q92" s="10" t="str">
        <f>IF(LEN(Table2[[#This Row],[!Length]]) &gt; 0, Table2[[#This Row],[!Length]], "rg:None")</f>
        <v>rg:None</v>
      </c>
      <c r="R92" s="10" t="str">
        <f>IF(LEN(Table2[[#This Row],[!Name]]) &gt; 0, Table2[[#This Row],[!Name]], "rg:None")</f>
        <v>ICBCModelYear</v>
      </c>
      <c r="S92" s="10" t="str">
        <f>IF(LEN(Table2[[#This Row],[!Description]]) &gt; 0, Table2[[#This Row],[!Description]], "rg:None")</f>
        <v>Vehicle Year</v>
      </c>
      <c r="T92" s="10" t="str">
        <f>IF(LEN(Table2[[#This Row],[!FK]])&gt;0,Table2[[#This Row],[!FK]],"rg:None")</f>
        <v>rg:None</v>
      </c>
      <c r="U92" s="10" t="str">
        <f>IF(LEN(concatif2(A:A,Table2[[#This Row],[!Table]],G:G,"Y",D:D,",")) &gt; 0,"rg:[ { 'req' : '"&amp;concatif2(A:A,Table2[[#This Row],[!Table]],G:G,"Y",D:D,"' }, { 'req': '")&amp;"'} ]","rg:[]")</f>
        <v>rg:[ { 'req' : 'id'} ]</v>
      </c>
    </row>
    <row r="93" spans="1:21" x14ac:dyDescent="0.3">
      <c r="A93" s="3" t="s">
        <v>129</v>
      </c>
      <c r="B93" s="3" t="s">
        <v>10</v>
      </c>
      <c r="C93" s="3"/>
      <c r="D93" s="5" t="s">
        <v>216</v>
      </c>
      <c r="E93" s="3" t="s">
        <v>7</v>
      </c>
      <c r="F93" s="3" t="s">
        <v>7</v>
      </c>
      <c r="H93" s="5" t="str">
        <f t="shared" si="1"/>
        <v>Defs</v>
      </c>
      <c r="I93" t="str">
        <f>IF(Table2[[#This Row],[!Type]]=I$1, I$1,"rg:None")</f>
        <v>rg:None</v>
      </c>
      <c r="J93" t="str">
        <f>IF(Table2[[#This Row],[!Type]]=J$1, J$1,"rg:None")</f>
        <v>rg:None</v>
      </c>
      <c r="K93" t="str">
        <f>IF(Table2[[#This Row],[!Type]]=K$1, K$1,"rg:None")</f>
        <v>rg:None</v>
      </c>
      <c r="L93" s="10" t="str">
        <f>IF(Table2[[#This Row],[!Type]]=L$1, L$1,"rg:None")</f>
        <v>rg:None</v>
      </c>
      <c r="M93" s="5" t="str">
        <f>IF(Table2[[#This Row],[!Type]]=M$1, M$1,"rg:None")</f>
        <v>rg:None</v>
      </c>
      <c r="N93" s="5" t="str">
        <f>IF(Table2[[#This Row],[!Type]]=N$1, N$1,"rg:None")</f>
        <v>rg:None</v>
      </c>
      <c r="O93" s="5" t="str">
        <f>IF(Table2[[#This Row],[!Type]]=O$1, O$1,"rg:None")</f>
        <v>string</v>
      </c>
      <c r="P93" s="5" t="str">
        <f>IF(Table2[[#This Row],[!Type]]=P$1, P$1,"rg:None")</f>
        <v>rg:None</v>
      </c>
      <c r="Q93" s="10" t="str">
        <f>IF(LEN(Table2[[#This Row],[!Length]]) &gt; 0, Table2[[#This Row],[!Length]], "rg:None")</f>
        <v>rg:None</v>
      </c>
      <c r="R93" s="10" t="str">
        <f>IF(LEN(Table2[[#This Row],[!Name]]) &gt; 0, Table2[[#This Row],[!Name]], "rg:None")</f>
        <v>ICBCVehicleType</v>
      </c>
      <c r="S93" s="10" t="str">
        <f>IF(LEN(Table2[[#This Row],[!Description]]) &gt; 0, Table2[[#This Row],[!Description]], "rg:None")</f>
        <v>rg:None</v>
      </c>
      <c r="T93" s="10" t="str">
        <f>IF(LEN(Table2[[#This Row],[!FK]])&gt;0,Table2[[#This Row],[!FK]],"rg:None")</f>
        <v>rg:None</v>
      </c>
      <c r="U93" s="10" t="str">
        <f>IF(LEN(concatif2(A:A,Table2[[#This Row],[!Table]],G:G,"Y",D:D,",")) &gt; 0,"rg:[ { 'req' : '"&amp;concatif2(A:A,Table2[[#This Row],[!Table]],G:G,"Y",D:D,"' }, { 'req': '")&amp;"'} ]","rg:[]")</f>
        <v>rg:[ { 'req' : 'id'} ]</v>
      </c>
    </row>
    <row r="94" spans="1:21" x14ac:dyDescent="0.3">
      <c r="A94" s="3" t="s">
        <v>129</v>
      </c>
      <c r="B94" s="3" t="s">
        <v>10</v>
      </c>
      <c r="C94" s="3"/>
      <c r="D94" s="5" t="s">
        <v>217</v>
      </c>
      <c r="E94" s="3" t="s">
        <v>7</v>
      </c>
      <c r="F94" s="3" t="s">
        <v>7</v>
      </c>
      <c r="H94" s="5" t="str">
        <f t="shared" si="1"/>
        <v>Defs</v>
      </c>
      <c r="I94" t="str">
        <f>IF(Table2[[#This Row],[!Type]]=I$1, I$1,"rg:None")</f>
        <v>rg:None</v>
      </c>
      <c r="J94" t="str">
        <f>IF(Table2[[#This Row],[!Type]]=J$1, J$1,"rg:None")</f>
        <v>rg:None</v>
      </c>
      <c r="K94" t="str">
        <f>IF(Table2[[#This Row],[!Type]]=K$1, K$1,"rg:None")</f>
        <v>rg:None</v>
      </c>
      <c r="L94" s="10" t="str">
        <f>IF(Table2[[#This Row],[!Type]]=L$1, L$1,"rg:None")</f>
        <v>rg:None</v>
      </c>
      <c r="M94" s="5" t="str">
        <f>IF(Table2[[#This Row],[!Type]]=M$1, M$1,"rg:None")</f>
        <v>rg:None</v>
      </c>
      <c r="N94" s="5" t="str">
        <f>IF(Table2[[#This Row],[!Type]]=N$1, N$1,"rg:None")</f>
        <v>rg:None</v>
      </c>
      <c r="O94" s="5" t="str">
        <f>IF(Table2[[#This Row],[!Type]]=O$1, O$1,"rg:None")</f>
        <v>string</v>
      </c>
      <c r="P94" s="5" t="str">
        <f>IF(Table2[[#This Row],[!Type]]=P$1, P$1,"rg:None")</f>
        <v>rg:None</v>
      </c>
      <c r="Q94" s="10" t="str">
        <f>IF(LEN(Table2[[#This Row],[!Length]]) &gt; 0, Table2[[#This Row],[!Length]], "rg:None")</f>
        <v>rg:None</v>
      </c>
      <c r="R94" s="10" t="str">
        <f>IF(LEN(Table2[[#This Row],[!Name]]) &gt; 0, Table2[[#This Row],[!Name]], "rg:None")</f>
        <v>ICBCRateClass</v>
      </c>
      <c r="S94" s="10" t="str">
        <f>IF(LEN(Table2[[#This Row],[!Description]]) &gt; 0, Table2[[#This Row],[!Description]], "rg:None")</f>
        <v>rg:None</v>
      </c>
      <c r="T94" s="10" t="str">
        <f>IF(LEN(Table2[[#This Row],[!FK]])&gt;0,Table2[[#This Row],[!FK]],"rg:None")</f>
        <v>rg:None</v>
      </c>
      <c r="U94" s="10" t="str">
        <f>IF(LEN(concatif2(A:A,Table2[[#This Row],[!Table]],G:G,"Y",D:D,",")) &gt; 0,"rg:[ { 'req' : '"&amp;concatif2(A:A,Table2[[#This Row],[!Table]],G:G,"Y",D:D,"' }, { 'req': '")&amp;"'} ]","rg:[]")</f>
        <v>rg:[ { 'req' : 'id'} ]</v>
      </c>
    </row>
    <row r="95" spans="1:21" x14ac:dyDescent="0.3">
      <c r="A95" s="3" t="s">
        <v>129</v>
      </c>
      <c r="B95" s="3" t="s">
        <v>10</v>
      </c>
      <c r="C95" s="3"/>
      <c r="D95" s="5" t="s">
        <v>218</v>
      </c>
      <c r="E95" s="3" t="s">
        <v>7</v>
      </c>
      <c r="F95" s="3" t="s">
        <v>7</v>
      </c>
      <c r="H95" s="5" t="str">
        <f t="shared" si="1"/>
        <v>Defs</v>
      </c>
      <c r="I95" t="str">
        <f>IF(Table2[[#This Row],[!Type]]=I$1, I$1,"rg:None")</f>
        <v>rg:None</v>
      </c>
      <c r="J95" t="str">
        <f>IF(Table2[[#This Row],[!Type]]=J$1, J$1,"rg:None")</f>
        <v>rg:None</v>
      </c>
      <c r="K95" t="str">
        <f>IF(Table2[[#This Row],[!Type]]=K$1, K$1,"rg:None")</f>
        <v>rg:None</v>
      </c>
      <c r="L95" s="10" t="str">
        <f>IF(Table2[[#This Row],[!Type]]=L$1, L$1,"rg:None")</f>
        <v>rg:None</v>
      </c>
      <c r="M95" s="5" t="str">
        <f>IF(Table2[[#This Row],[!Type]]=M$1, M$1,"rg:None")</f>
        <v>rg:None</v>
      </c>
      <c r="N95" s="5" t="str">
        <f>IF(Table2[[#This Row],[!Type]]=N$1, N$1,"rg:None")</f>
        <v>rg:None</v>
      </c>
      <c r="O95" s="5" t="str">
        <f>IF(Table2[[#This Row],[!Type]]=O$1, O$1,"rg:None")</f>
        <v>string</v>
      </c>
      <c r="P95" s="5" t="str">
        <f>IF(Table2[[#This Row],[!Type]]=P$1, P$1,"rg:None")</f>
        <v>rg:None</v>
      </c>
      <c r="Q95" s="10" t="str">
        <f>IF(LEN(Table2[[#This Row],[!Length]]) &gt; 0, Table2[[#This Row],[!Length]], "rg:None")</f>
        <v>rg:None</v>
      </c>
      <c r="R95" s="10" t="str">
        <f>IF(LEN(Table2[[#This Row],[!Name]]) &gt; 0, Table2[[#This Row],[!Name]], "rg:None")</f>
        <v>ICBCCVIPDecal</v>
      </c>
      <c r="S95" s="10" t="str">
        <f>IF(LEN(Table2[[#This Row],[!Description]]) &gt; 0, Table2[[#This Row],[!Description]], "rg:None")</f>
        <v>rg:None</v>
      </c>
      <c r="T95" s="10" t="str">
        <f>IF(LEN(Table2[[#This Row],[!FK]])&gt;0,Table2[[#This Row],[!FK]],"rg:None")</f>
        <v>rg:None</v>
      </c>
      <c r="U95" s="10" t="str">
        <f>IF(LEN(concatif2(A:A,Table2[[#This Row],[!Table]],G:G,"Y",D:D,",")) &gt; 0,"rg:[ { 'req' : '"&amp;concatif2(A:A,Table2[[#This Row],[!Table]],G:G,"Y",D:D,"' }, { 'req': '")&amp;"'} ]","rg:[]")</f>
        <v>rg:[ { 'req' : 'id'} ]</v>
      </c>
    </row>
    <row r="96" spans="1:21" x14ac:dyDescent="0.3">
      <c r="A96" s="3" t="s">
        <v>129</v>
      </c>
      <c r="B96" s="3" t="s">
        <v>62</v>
      </c>
      <c r="C96" s="3"/>
      <c r="D96" s="5" t="s">
        <v>219</v>
      </c>
      <c r="E96" s="3" t="s">
        <v>7</v>
      </c>
      <c r="F96" s="3" t="s">
        <v>7</v>
      </c>
      <c r="H96" s="5" t="str">
        <f t="shared" si="1"/>
        <v>Defs</v>
      </c>
      <c r="I96" t="str">
        <f>IF(Table2[[#This Row],[!Type]]=I$1, I$1,"rg:None")</f>
        <v>rg:None</v>
      </c>
      <c r="J96" t="str">
        <f>IF(Table2[[#This Row],[!Type]]=J$1, J$1,"rg:None")</f>
        <v>rg:None</v>
      </c>
      <c r="K96" t="str">
        <f>IF(Table2[[#This Row],[!Type]]=K$1, K$1,"rg:None")</f>
        <v>rg:None</v>
      </c>
      <c r="L96" s="10" t="str">
        <f>IF(Table2[[#This Row],[!Type]]=L$1, L$1,"rg:None")</f>
        <v>integer</v>
      </c>
      <c r="M96" s="5" t="str">
        <f>IF(Table2[[#This Row],[!Type]]=M$1, M$1,"rg:None")</f>
        <v>rg:None</v>
      </c>
      <c r="N96" s="5" t="str">
        <f>IF(Table2[[#This Row],[!Type]]=N$1, N$1,"rg:None")</f>
        <v>rg:None</v>
      </c>
      <c r="O96" s="5" t="str">
        <f>IF(Table2[[#This Row],[!Type]]=O$1, O$1,"rg:None")</f>
        <v>rg:None</v>
      </c>
      <c r="P96" s="5" t="str">
        <f>IF(Table2[[#This Row],[!Type]]=P$1, P$1,"rg:None")</f>
        <v>rg:None</v>
      </c>
      <c r="Q96" s="10" t="str">
        <f>IF(LEN(Table2[[#This Row],[!Length]]) &gt; 0, Table2[[#This Row],[!Length]], "rg:None")</f>
        <v>rg:None</v>
      </c>
      <c r="R96" s="10" t="str">
        <f>IF(LEN(Table2[[#This Row],[!Name]]) &gt; 0, Table2[[#This Row],[!Name]], "rg:None")</f>
        <v>ICBCFleetUnitNo</v>
      </c>
      <c r="S96" s="10" t="str">
        <f>IF(LEN(Table2[[#This Row],[!Description]]) &gt; 0, Table2[[#This Row],[!Description]], "rg:None")</f>
        <v>rg:None</v>
      </c>
      <c r="T96" s="10" t="str">
        <f>IF(LEN(Table2[[#This Row],[!FK]])&gt;0,Table2[[#This Row],[!FK]],"rg:None")</f>
        <v>rg:None</v>
      </c>
      <c r="U96" s="10" t="str">
        <f>IF(LEN(concatif2(A:A,Table2[[#This Row],[!Table]],G:G,"Y",D:D,",")) &gt; 0,"rg:[ { 'req' : '"&amp;concatif2(A:A,Table2[[#This Row],[!Table]],G:G,"Y",D:D,"' }, { 'req': '")&amp;"'} ]","rg:[]")</f>
        <v>rg:[ { 'req' : 'id'} ]</v>
      </c>
    </row>
    <row r="97" spans="1:21" x14ac:dyDescent="0.3">
      <c r="A97" s="3" t="s">
        <v>129</v>
      </c>
      <c r="B97" s="3" t="s">
        <v>62</v>
      </c>
      <c r="C97" s="3"/>
      <c r="D97" s="5" t="s">
        <v>220</v>
      </c>
      <c r="E97" s="3" t="s">
        <v>7</v>
      </c>
      <c r="F97" s="3" t="s">
        <v>7</v>
      </c>
      <c r="H97" s="5" t="str">
        <f t="shared" si="1"/>
        <v>Defs</v>
      </c>
      <c r="I97" t="str">
        <f>IF(Table2[[#This Row],[!Type]]=I$1, I$1,"rg:None")</f>
        <v>rg:None</v>
      </c>
      <c r="J97" t="str">
        <f>IF(Table2[[#This Row],[!Type]]=J$1, J$1,"rg:None")</f>
        <v>rg:None</v>
      </c>
      <c r="K97" t="str">
        <f>IF(Table2[[#This Row],[!Type]]=K$1, K$1,"rg:None")</f>
        <v>rg:None</v>
      </c>
      <c r="L97" s="10" t="str">
        <f>IF(Table2[[#This Row],[!Type]]=L$1, L$1,"rg:None")</f>
        <v>integer</v>
      </c>
      <c r="M97" s="5" t="str">
        <f>IF(Table2[[#This Row],[!Type]]=M$1, M$1,"rg:None")</f>
        <v>rg:None</v>
      </c>
      <c r="N97" s="5" t="str">
        <f>IF(Table2[[#This Row],[!Type]]=N$1, N$1,"rg:None")</f>
        <v>rg:None</v>
      </c>
      <c r="O97" s="5" t="str">
        <f>IF(Table2[[#This Row],[!Type]]=O$1, O$1,"rg:None")</f>
        <v>rg:None</v>
      </c>
      <c r="P97" s="5" t="str">
        <f>IF(Table2[[#This Row],[!Type]]=P$1, P$1,"rg:None")</f>
        <v>rg:None</v>
      </c>
      <c r="Q97" s="10" t="str">
        <f>IF(LEN(Table2[[#This Row],[!Length]]) &gt; 0, Table2[[#This Row],[!Length]], "rg:None")</f>
        <v>rg:None</v>
      </c>
      <c r="R97" s="10" t="str">
        <f>IF(LEN(Table2[[#This Row],[!Name]]) &gt; 0, Table2[[#This Row],[!Name]], "rg:None")</f>
        <v>ICBCGrossVehicleWeight</v>
      </c>
      <c r="S97" s="10" t="str">
        <f>IF(LEN(Table2[[#This Row],[!Description]]) &gt; 0, Table2[[#This Row],[!Description]], "rg:None")</f>
        <v>rg:None</v>
      </c>
      <c r="T97" s="10" t="str">
        <f>IF(LEN(Table2[[#This Row],[!FK]])&gt;0,Table2[[#This Row],[!FK]],"rg:None")</f>
        <v>rg:None</v>
      </c>
      <c r="U97" s="10" t="str">
        <f>IF(LEN(concatif2(A:A,Table2[[#This Row],[!Table]],G:G,"Y",D:D,",")) &gt; 0,"rg:[ { 'req' : '"&amp;concatif2(A:A,Table2[[#This Row],[!Table]],G:G,"Y",D:D,"' }, { 'req': '")&amp;"'} ]","rg:[]")</f>
        <v>rg:[ { 'req' : 'id'} ]</v>
      </c>
    </row>
    <row r="98" spans="1:21" x14ac:dyDescent="0.3">
      <c r="A98" s="3" t="s">
        <v>129</v>
      </c>
      <c r="B98" s="3" t="s">
        <v>10</v>
      </c>
      <c r="C98" s="3"/>
      <c r="D98" s="5" t="s">
        <v>221</v>
      </c>
      <c r="E98" s="3" t="s">
        <v>7</v>
      </c>
      <c r="F98" s="3" t="s">
        <v>7</v>
      </c>
      <c r="H98" s="5" t="str">
        <f t="shared" si="1"/>
        <v>Defs</v>
      </c>
      <c r="I98" t="str">
        <f>IF(Table2[[#This Row],[!Type]]=I$1, I$1,"rg:None")</f>
        <v>rg:None</v>
      </c>
      <c r="J98" t="str">
        <f>IF(Table2[[#This Row],[!Type]]=J$1, J$1,"rg:None")</f>
        <v>rg:None</v>
      </c>
      <c r="K98" t="str">
        <f>IF(Table2[[#This Row],[!Type]]=K$1, K$1,"rg:None")</f>
        <v>rg:None</v>
      </c>
      <c r="L98" s="10" t="str">
        <f>IF(Table2[[#This Row],[!Type]]=L$1, L$1,"rg:None")</f>
        <v>rg:None</v>
      </c>
      <c r="M98" s="5" t="str">
        <f>IF(Table2[[#This Row],[!Type]]=M$1, M$1,"rg:None")</f>
        <v>rg:None</v>
      </c>
      <c r="N98" s="5" t="str">
        <f>IF(Table2[[#This Row],[!Type]]=N$1, N$1,"rg:None")</f>
        <v>rg:None</v>
      </c>
      <c r="O98" s="5" t="str">
        <f>IF(Table2[[#This Row],[!Type]]=O$1, O$1,"rg:None")</f>
        <v>string</v>
      </c>
      <c r="P98" s="5" t="str">
        <f>IF(Table2[[#This Row],[!Type]]=P$1, P$1,"rg:None")</f>
        <v>rg:None</v>
      </c>
      <c r="Q98" s="10" t="str">
        <f>IF(LEN(Table2[[#This Row],[!Length]]) &gt; 0, Table2[[#This Row],[!Length]], "rg:None")</f>
        <v>rg:None</v>
      </c>
      <c r="R98" s="10" t="str">
        <f>IF(LEN(Table2[[#This Row],[!Name]]) &gt; 0, Table2[[#This Row],[!Name]], "rg:None")</f>
        <v>ICBCMake</v>
      </c>
      <c r="S98" s="10" t="str">
        <f>IF(LEN(Table2[[#This Row],[!Description]]) &gt; 0, Table2[[#This Row],[!Description]], "rg:None")</f>
        <v>rg:None</v>
      </c>
      <c r="T98" s="10" t="str">
        <f>IF(LEN(Table2[[#This Row],[!FK]])&gt;0,Table2[[#This Row],[!FK]],"rg:None")</f>
        <v>rg:None</v>
      </c>
      <c r="U98" s="10" t="str">
        <f>IF(LEN(concatif2(A:A,Table2[[#This Row],[!Table]],G:G,"Y",D:D,",")) &gt; 0,"rg:[ { 'req' : '"&amp;concatif2(A:A,Table2[[#This Row],[!Table]],G:G,"Y",D:D,"' }, { 'req': '")&amp;"'} ]","rg:[]")</f>
        <v>rg:[ { 'req' : 'id'} ]</v>
      </c>
    </row>
    <row r="99" spans="1:21" x14ac:dyDescent="0.3">
      <c r="A99" s="3" t="s">
        <v>129</v>
      </c>
      <c r="B99" s="3" t="s">
        <v>10</v>
      </c>
      <c r="C99" s="3"/>
      <c r="D99" s="5" t="s">
        <v>222</v>
      </c>
      <c r="E99" s="3" t="s">
        <v>7</v>
      </c>
      <c r="F99" s="3" t="s">
        <v>7</v>
      </c>
      <c r="H99" s="5" t="str">
        <f t="shared" si="1"/>
        <v>Defs</v>
      </c>
      <c r="I99" t="str">
        <f>IF(Table2[[#This Row],[!Type]]=I$1, I$1,"rg:None")</f>
        <v>rg:None</v>
      </c>
      <c r="J99" t="str">
        <f>IF(Table2[[#This Row],[!Type]]=J$1, J$1,"rg:None")</f>
        <v>rg:None</v>
      </c>
      <c r="K99" t="str">
        <f>IF(Table2[[#This Row],[!Type]]=K$1, K$1,"rg:None")</f>
        <v>rg:None</v>
      </c>
      <c r="L99" s="10" t="str">
        <f>IF(Table2[[#This Row],[!Type]]=L$1, L$1,"rg:None")</f>
        <v>rg:None</v>
      </c>
      <c r="M99" s="5" t="str">
        <f>IF(Table2[[#This Row],[!Type]]=M$1, M$1,"rg:None")</f>
        <v>rg:None</v>
      </c>
      <c r="N99" s="5" t="str">
        <f>IF(Table2[[#This Row],[!Type]]=N$1, N$1,"rg:None")</f>
        <v>rg:None</v>
      </c>
      <c r="O99" s="5" t="str">
        <f>IF(Table2[[#This Row],[!Type]]=O$1, O$1,"rg:None")</f>
        <v>string</v>
      </c>
      <c r="P99" s="5" t="str">
        <f>IF(Table2[[#This Row],[!Type]]=P$1, P$1,"rg:None")</f>
        <v>rg:None</v>
      </c>
      <c r="Q99" s="10" t="str">
        <f>IF(LEN(Table2[[#This Row],[!Length]]) &gt; 0, Table2[[#This Row],[!Length]], "rg:None")</f>
        <v>rg:None</v>
      </c>
      <c r="R99" s="10" t="str">
        <f>IF(LEN(Table2[[#This Row],[!Name]]) &gt; 0, Table2[[#This Row],[!Name]], "rg:None")</f>
        <v>ICBCBody</v>
      </c>
      <c r="S99" s="10" t="str">
        <f>IF(LEN(Table2[[#This Row],[!Description]]) &gt; 0, Table2[[#This Row],[!Description]], "rg:None")</f>
        <v>rg:None</v>
      </c>
      <c r="T99" s="10" t="str">
        <f>IF(LEN(Table2[[#This Row],[!FK]])&gt;0,Table2[[#This Row],[!FK]],"rg:None")</f>
        <v>rg:None</v>
      </c>
      <c r="U99" s="10" t="str">
        <f>IF(LEN(concatif2(A:A,Table2[[#This Row],[!Table]],G:G,"Y",D:D,",")) &gt; 0,"rg:[ { 'req' : '"&amp;concatif2(A:A,Table2[[#This Row],[!Table]],G:G,"Y",D:D,"' }, { 'req': '")&amp;"'} ]","rg:[]")</f>
        <v>rg:[ { 'req' : 'id'} ]</v>
      </c>
    </row>
    <row r="100" spans="1:21" x14ac:dyDescent="0.3">
      <c r="A100" s="3" t="s">
        <v>129</v>
      </c>
      <c r="B100" s="3" t="s">
        <v>10</v>
      </c>
      <c r="C100" s="3"/>
      <c r="D100" s="5" t="s">
        <v>223</v>
      </c>
      <c r="E100" s="3" t="s">
        <v>7</v>
      </c>
      <c r="F100" s="3" t="s">
        <v>7</v>
      </c>
      <c r="H100" s="5" t="str">
        <f t="shared" si="1"/>
        <v>Defs</v>
      </c>
      <c r="I100" t="str">
        <f>IF(Table2[[#This Row],[!Type]]=I$1, I$1,"rg:None")</f>
        <v>rg:None</v>
      </c>
      <c r="J100" t="str">
        <f>IF(Table2[[#This Row],[!Type]]=J$1, J$1,"rg:None")</f>
        <v>rg:None</v>
      </c>
      <c r="K100" t="str">
        <f>IF(Table2[[#This Row],[!Type]]=K$1, K$1,"rg:None")</f>
        <v>rg:None</v>
      </c>
      <c r="L100" s="10" t="str">
        <f>IF(Table2[[#This Row],[!Type]]=L$1, L$1,"rg:None")</f>
        <v>rg:None</v>
      </c>
      <c r="M100" s="5" t="str">
        <f>IF(Table2[[#This Row],[!Type]]=M$1, M$1,"rg:None")</f>
        <v>rg:None</v>
      </c>
      <c r="N100" s="5" t="str">
        <f>IF(Table2[[#This Row],[!Type]]=N$1, N$1,"rg:None")</f>
        <v>rg:None</v>
      </c>
      <c r="O100" s="5" t="str">
        <f>IF(Table2[[#This Row],[!Type]]=O$1, O$1,"rg:None")</f>
        <v>string</v>
      </c>
      <c r="P100" s="5" t="str">
        <f>IF(Table2[[#This Row],[!Type]]=P$1, P$1,"rg:None")</f>
        <v>rg:None</v>
      </c>
      <c r="Q100" s="10" t="str">
        <f>IF(LEN(Table2[[#This Row],[!Length]]) &gt; 0, Table2[[#This Row],[!Length]], "rg:None")</f>
        <v>rg:None</v>
      </c>
      <c r="R100" s="10" t="str">
        <f>IF(LEN(Table2[[#This Row],[!Name]]) &gt; 0, Table2[[#This Row],[!Name]], "rg:None")</f>
        <v>ICBCRebuiltStatus</v>
      </c>
      <c r="S100" s="10" t="str">
        <f>IF(LEN(Table2[[#This Row],[!Description]]) &gt; 0, Table2[[#This Row],[!Description]], "rg:None")</f>
        <v>rg:None</v>
      </c>
      <c r="T100" s="10" t="str">
        <f>IF(LEN(Table2[[#This Row],[!FK]])&gt;0,Table2[[#This Row],[!FK]],"rg:None")</f>
        <v>rg:None</v>
      </c>
      <c r="U100" s="10" t="str">
        <f>IF(LEN(concatif2(A:A,Table2[[#This Row],[!Table]],G:G,"Y",D:D,",")) &gt; 0,"rg:[ { 'req' : '"&amp;concatif2(A:A,Table2[[#This Row],[!Table]],G:G,"Y",D:D,"' }, { 'req': '")&amp;"'} ]","rg:[]")</f>
        <v>rg:[ { 'req' : 'id'} ]</v>
      </c>
    </row>
    <row r="101" spans="1:21" x14ac:dyDescent="0.3">
      <c r="A101" s="3" t="s">
        <v>129</v>
      </c>
      <c r="B101" s="3" t="s">
        <v>43</v>
      </c>
      <c r="C101" s="3"/>
      <c r="D101" s="5" t="s">
        <v>224</v>
      </c>
      <c r="E101" s="3" t="s">
        <v>7</v>
      </c>
      <c r="F101" s="3" t="s">
        <v>7</v>
      </c>
      <c r="H101" s="5" t="str">
        <f t="shared" si="1"/>
        <v>Defs</v>
      </c>
      <c r="I101" t="str">
        <f>IF(Table2[[#This Row],[!Type]]=I$1, I$1,"rg:None")</f>
        <v>rg:None</v>
      </c>
      <c r="J101" t="str">
        <f>IF(Table2[[#This Row],[!Type]]=J$1, J$1,"rg:None")</f>
        <v>datetime</v>
      </c>
      <c r="K101" t="str">
        <f>IF(Table2[[#This Row],[!Type]]=K$1, K$1,"rg:None")</f>
        <v>rg:None</v>
      </c>
      <c r="L101" s="10" t="str">
        <f>IF(Table2[[#This Row],[!Type]]=L$1, L$1,"rg:None")</f>
        <v>rg:None</v>
      </c>
      <c r="M101" s="5" t="str">
        <f>IF(Table2[[#This Row],[!Type]]=M$1, M$1,"rg:None")</f>
        <v>rg:None</v>
      </c>
      <c r="N101" s="5" t="str">
        <f>IF(Table2[[#This Row],[!Type]]=N$1, N$1,"rg:None")</f>
        <v>rg:None</v>
      </c>
      <c r="O101" s="5" t="str">
        <f>IF(Table2[[#This Row],[!Type]]=O$1, O$1,"rg:None")</f>
        <v>rg:None</v>
      </c>
      <c r="P101" s="5" t="str">
        <f>IF(Table2[[#This Row],[!Type]]=P$1, P$1,"rg:None")</f>
        <v>rg:None</v>
      </c>
      <c r="Q101" s="10" t="str">
        <f>IF(LEN(Table2[[#This Row],[!Length]]) &gt; 0, Table2[[#This Row],[!Length]], "rg:None")</f>
        <v>rg:None</v>
      </c>
      <c r="R101" s="10" t="str">
        <f>IF(LEN(Table2[[#This Row],[!Name]]) &gt; 0, Table2[[#This Row],[!Name]], "rg:None")</f>
        <v>ICBCCVIPExpiry</v>
      </c>
      <c r="S101" s="10" t="str">
        <f>IF(LEN(Table2[[#This Row],[!Description]]) &gt; 0, Table2[[#This Row],[!Description]], "rg:None")</f>
        <v>rg:None</v>
      </c>
      <c r="T101" s="10" t="str">
        <f>IF(LEN(Table2[[#This Row],[!FK]])&gt;0,Table2[[#This Row],[!FK]],"rg:None")</f>
        <v>rg:None</v>
      </c>
      <c r="U101" s="10" t="str">
        <f>IF(LEN(concatif2(A:A,Table2[[#This Row],[!Table]],G:G,"Y",D:D,",")) &gt; 0,"rg:[ { 'req' : '"&amp;concatif2(A:A,Table2[[#This Row],[!Table]],G:G,"Y",D:D,"' }, { 'req': '")&amp;"'} ]","rg:[]")</f>
        <v>rg:[ { 'req' : 'id'} ]</v>
      </c>
    </row>
    <row r="102" spans="1:21" x14ac:dyDescent="0.3">
      <c r="A102" s="3" t="s">
        <v>129</v>
      </c>
      <c r="B102" s="3" t="s">
        <v>62</v>
      </c>
      <c r="C102" s="3"/>
      <c r="D102" s="5" t="s">
        <v>225</v>
      </c>
      <c r="E102" s="3" t="s">
        <v>7</v>
      </c>
      <c r="F102" s="3" t="s">
        <v>7</v>
      </c>
      <c r="G102" s="4"/>
      <c r="H102" s="5" t="str">
        <f t="shared" si="1"/>
        <v>Defs</v>
      </c>
      <c r="I102" t="str">
        <f>IF(Table2[[#This Row],[!Type]]=I$1, I$1,"rg:None")</f>
        <v>rg:None</v>
      </c>
      <c r="J102" t="str">
        <f>IF(Table2[[#This Row],[!Type]]=J$1, J$1,"rg:None")</f>
        <v>rg:None</v>
      </c>
      <c r="K102" t="str">
        <f>IF(Table2[[#This Row],[!Type]]=K$1, K$1,"rg:None")</f>
        <v>rg:None</v>
      </c>
      <c r="L102" s="10" t="str">
        <f>IF(Table2[[#This Row],[!Type]]=L$1, L$1,"rg:None")</f>
        <v>integer</v>
      </c>
      <c r="M102" s="5" t="str">
        <f>IF(Table2[[#This Row],[!Type]]=M$1, M$1,"rg:None")</f>
        <v>rg:None</v>
      </c>
      <c r="N102" s="5" t="str">
        <f>IF(Table2[[#This Row],[!Type]]=N$1, N$1,"rg:None")</f>
        <v>rg:None</v>
      </c>
      <c r="O102" s="5" t="str">
        <f>IF(Table2[[#This Row],[!Type]]=O$1, O$1,"rg:None")</f>
        <v>rg:None</v>
      </c>
      <c r="P102" s="5" t="str">
        <f>IF(Table2[[#This Row],[!Type]]=P$1, P$1,"rg:None")</f>
        <v>rg:None</v>
      </c>
      <c r="Q102" s="10" t="str">
        <f>IF(LEN(Table2[[#This Row],[!Length]]) &gt; 0, Table2[[#This Row],[!Length]], "rg:None")</f>
        <v>rg:None</v>
      </c>
      <c r="R102" s="10" t="str">
        <f>IF(LEN(Table2[[#This Row],[!Name]]) &gt; 0, Table2[[#This Row],[!Name]], "rg:None")</f>
        <v>ICBCNetWt</v>
      </c>
      <c r="S102" s="10" t="str">
        <f>IF(LEN(Table2[[#This Row],[!Description]]) &gt; 0, Table2[[#This Row],[!Description]], "rg:None")</f>
        <v>rg:None</v>
      </c>
      <c r="T102" s="10" t="str">
        <f>IF(LEN(Table2[[#This Row],[!FK]])&gt;0,Table2[[#This Row],[!FK]],"rg:None")</f>
        <v>rg:None</v>
      </c>
      <c r="U102" s="10" t="str">
        <f>IF(LEN(concatif2(A:A,Table2[[#This Row],[!Table]],G:G,"Y",D:D,",")) &gt; 0,"rg:[ { 'req' : '"&amp;concatif2(A:A,Table2[[#This Row],[!Table]],G:G,"Y",D:D,"' }, { 'req': '")&amp;"'} ]","rg:[]")</f>
        <v>rg:[ { 'req' : 'id'} ]</v>
      </c>
    </row>
    <row r="103" spans="1:21" x14ac:dyDescent="0.3">
      <c r="A103" s="3" t="s">
        <v>129</v>
      </c>
      <c r="B103" s="3" t="s">
        <v>10</v>
      </c>
      <c r="C103" s="3"/>
      <c r="D103" s="5" t="s">
        <v>226</v>
      </c>
      <c r="E103" s="3" t="s">
        <v>7</v>
      </c>
      <c r="F103" s="3" t="s">
        <v>7</v>
      </c>
      <c r="G103" s="4"/>
      <c r="H103" s="5" t="str">
        <f t="shared" si="1"/>
        <v>Defs</v>
      </c>
      <c r="I103" t="str">
        <f>IF(Table2[[#This Row],[!Type]]=I$1, I$1,"rg:None")</f>
        <v>rg:None</v>
      </c>
      <c r="J103" t="str">
        <f>IF(Table2[[#This Row],[!Type]]=J$1, J$1,"rg:None")</f>
        <v>rg:None</v>
      </c>
      <c r="K103" t="str">
        <f>IF(Table2[[#This Row],[!Type]]=K$1, K$1,"rg:None")</f>
        <v>rg:None</v>
      </c>
      <c r="L103" s="10" t="str">
        <f>IF(Table2[[#This Row],[!Type]]=L$1, L$1,"rg:None")</f>
        <v>rg:None</v>
      </c>
      <c r="M103" s="5" t="str">
        <f>IF(Table2[[#This Row],[!Type]]=M$1, M$1,"rg:None")</f>
        <v>rg:None</v>
      </c>
      <c r="N103" s="5" t="str">
        <f>IF(Table2[[#This Row],[!Type]]=N$1, N$1,"rg:None")</f>
        <v>rg:None</v>
      </c>
      <c r="O103" s="5" t="str">
        <f>IF(Table2[[#This Row],[!Type]]=O$1, O$1,"rg:None")</f>
        <v>string</v>
      </c>
      <c r="P103" s="5" t="str">
        <f>IF(Table2[[#This Row],[!Type]]=P$1, P$1,"rg:None")</f>
        <v>rg:None</v>
      </c>
      <c r="Q103" s="10" t="str">
        <f>IF(LEN(Table2[[#This Row],[!Length]]) &gt; 0, Table2[[#This Row],[!Length]], "rg:None")</f>
        <v>rg:None</v>
      </c>
      <c r="R103" s="10" t="str">
        <f>IF(LEN(Table2[[#This Row],[!Name]]) &gt; 0, Table2[[#This Row],[!Name]], "rg:None")</f>
        <v>ICBCModel</v>
      </c>
      <c r="S103" s="10" t="str">
        <f>IF(LEN(Table2[[#This Row],[!Description]]) &gt; 0, Table2[[#This Row],[!Description]], "rg:None")</f>
        <v>rg:None</v>
      </c>
      <c r="T103" s="10" t="str">
        <f>IF(LEN(Table2[[#This Row],[!FK]])&gt;0,Table2[[#This Row],[!FK]],"rg:None")</f>
        <v>rg:None</v>
      </c>
      <c r="U103" s="10" t="str">
        <f>IF(LEN(concatif2(A:A,Table2[[#This Row],[!Table]],G:G,"Y",D:D,",")) &gt; 0,"rg:[ { 'req' : '"&amp;concatif2(A:A,Table2[[#This Row],[!Table]],G:G,"Y",D:D,"' }, { 'req': '")&amp;"'} ]","rg:[]")</f>
        <v>rg:[ { 'req' : 'id'} ]</v>
      </c>
    </row>
    <row r="104" spans="1:21" x14ac:dyDescent="0.3">
      <c r="A104" s="3" t="s">
        <v>129</v>
      </c>
      <c r="B104" s="3" t="s">
        <v>10</v>
      </c>
      <c r="C104" s="3"/>
      <c r="D104" s="5" t="s">
        <v>227</v>
      </c>
      <c r="E104" s="3" t="s">
        <v>7</v>
      </c>
      <c r="F104" s="3" t="s">
        <v>7</v>
      </c>
      <c r="G104" s="4"/>
      <c r="H104" s="5" t="str">
        <f t="shared" si="1"/>
        <v>Defs</v>
      </c>
      <c r="I104" t="str">
        <f>IF(Table2[[#This Row],[!Type]]=I$1, I$1,"rg:None")</f>
        <v>rg:None</v>
      </c>
      <c r="J104" t="str">
        <f>IF(Table2[[#This Row],[!Type]]=J$1, J$1,"rg:None")</f>
        <v>rg:None</v>
      </c>
      <c r="K104" t="str">
        <f>IF(Table2[[#This Row],[!Type]]=K$1, K$1,"rg:None")</f>
        <v>rg:None</v>
      </c>
      <c r="L104" s="10" t="str">
        <f>IF(Table2[[#This Row],[!Type]]=L$1, L$1,"rg:None")</f>
        <v>rg:None</v>
      </c>
      <c r="M104" s="5" t="str">
        <f>IF(Table2[[#This Row],[!Type]]=M$1, M$1,"rg:None")</f>
        <v>rg:None</v>
      </c>
      <c r="N104" s="5" t="str">
        <f>IF(Table2[[#This Row],[!Type]]=N$1, N$1,"rg:None")</f>
        <v>rg:None</v>
      </c>
      <c r="O104" s="5" t="str">
        <f>IF(Table2[[#This Row],[!Type]]=O$1, O$1,"rg:None")</f>
        <v>string</v>
      </c>
      <c r="P104" s="5" t="str">
        <f>IF(Table2[[#This Row],[!Type]]=P$1, P$1,"rg:None")</f>
        <v>rg:None</v>
      </c>
      <c r="Q104" s="10" t="str">
        <f>IF(LEN(Table2[[#This Row],[!Length]]) &gt; 0, Table2[[#This Row],[!Length]], "rg:None")</f>
        <v>rg:None</v>
      </c>
      <c r="R104" s="10" t="str">
        <f>IF(LEN(Table2[[#This Row],[!Name]]) &gt; 0, Table2[[#This Row],[!Name]], "rg:None")</f>
        <v>ICBCFuel</v>
      </c>
      <c r="S104" s="10" t="str">
        <f>IF(LEN(Table2[[#This Row],[!Description]]) &gt; 0, Table2[[#This Row],[!Description]], "rg:None")</f>
        <v>rg:None</v>
      </c>
      <c r="T104" s="10" t="str">
        <f>IF(LEN(Table2[[#This Row],[!FK]])&gt;0,Table2[[#This Row],[!FK]],"rg:None")</f>
        <v>rg:None</v>
      </c>
      <c r="U104" s="10" t="str">
        <f>IF(LEN(concatif2(A:A,Table2[[#This Row],[!Table]],G:G,"Y",D:D,",")) &gt; 0,"rg:[ { 'req' : '"&amp;concatif2(A:A,Table2[[#This Row],[!Table]],G:G,"Y",D:D,"' }, { 'req': '")&amp;"'} ]","rg:[]")</f>
        <v>rg:[ { 'req' : 'id'} ]</v>
      </c>
    </row>
    <row r="105" spans="1:21" x14ac:dyDescent="0.3">
      <c r="A105" s="3" t="s">
        <v>129</v>
      </c>
      <c r="B105" s="3" t="s">
        <v>62</v>
      </c>
      <c r="C105" s="3"/>
      <c r="D105" s="5" t="s">
        <v>228</v>
      </c>
      <c r="E105" s="3" t="s">
        <v>7</v>
      </c>
      <c r="F105" s="3" t="s">
        <v>7</v>
      </c>
      <c r="G105" s="4"/>
      <c r="H105" s="5" t="str">
        <f t="shared" si="1"/>
        <v>Defs</v>
      </c>
      <c r="I105" t="str">
        <f>IF(Table2[[#This Row],[!Type]]=I$1, I$1,"rg:None")</f>
        <v>rg:None</v>
      </c>
      <c r="J105" t="str">
        <f>IF(Table2[[#This Row],[!Type]]=J$1, J$1,"rg:None")</f>
        <v>rg:None</v>
      </c>
      <c r="K105" t="str">
        <f>IF(Table2[[#This Row],[!Type]]=K$1, K$1,"rg:None")</f>
        <v>rg:None</v>
      </c>
      <c r="L105" s="10" t="str">
        <f>IF(Table2[[#This Row],[!Type]]=L$1, L$1,"rg:None")</f>
        <v>integer</v>
      </c>
      <c r="M105" s="5" t="str">
        <f>IF(Table2[[#This Row],[!Type]]=M$1, M$1,"rg:None")</f>
        <v>rg:None</v>
      </c>
      <c r="N105" s="5" t="str">
        <f>IF(Table2[[#This Row],[!Type]]=N$1, N$1,"rg:None")</f>
        <v>rg:None</v>
      </c>
      <c r="O105" s="5" t="str">
        <f>IF(Table2[[#This Row],[!Type]]=O$1, O$1,"rg:None")</f>
        <v>rg:None</v>
      </c>
      <c r="P105" s="5" t="str">
        <f>IF(Table2[[#This Row],[!Type]]=P$1, P$1,"rg:None")</f>
        <v>rg:None</v>
      </c>
      <c r="Q105" s="10" t="str">
        <f>IF(LEN(Table2[[#This Row],[!Length]]) &gt; 0, Table2[[#This Row],[!Length]], "rg:None")</f>
        <v>rg:None</v>
      </c>
      <c r="R105" s="10" t="str">
        <f>IF(LEN(Table2[[#This Row],[!Name]]) &gt; 0, Table2[[#This Row],[!Name]], "rg:None")</f>
        <v>ICBCSeatingCapacity</v>
      </c>
      <c r="S105" s="10" t="str">
        <f>IF(LEN(Table2[[#This Row],[!Description]]) &gt; 0, Table2[[#This Row],[!Description]], "rg:None")</f>
        <v>rg:None</v>
      </c>
      <c r="T105" s="10" t="str">
        <f>IF(LEN(Table2[[#This Row],[!FK]])&gt;0,Table2[[#This Row],[!FK]],"rg:None")</f>
        <v>rg:None</v>
      </c>
      <c r="U105" s="10" t="str">
        <f>IF(LEN(concatif2(A:A,Table2[[#This Row],[!Table]],G:G,"Y",D:D,",")) &gt; 0,"rg:[ { 'req' : '"&amp;concatif2(A:A,Table2[[#This Row],[!Table]],G:G,"Y",D:D,"' }, { 'req': '")&amp;"'} ]","rg:[]")</f>
        <v>rg:[ { 'req' : 'id'} ]</v>
      </c>
    </row>
    <row r="106" spans="1:21" x14ac:dyDescent="0.3">
      <c r="A106" s="3" t="s">
        <v>129</v>
      </c>
      <c r="B106" s="3" t="s">
        <v>10</v>
      </c>
      <c r="C106" s="3"/>
      <c r="D106" s="5" t="s">
        <v>229</v>
      </c>
      <c r="E106" s="3" t="s">
        <v>7</v>
      </c>
      <c r="F106" s="3" t="s">
        <v>7</v>
      </c>
      <c r="G106" s="4"/>
      <c r="H106" s="5" t="str">
        <f t="shared" si="1"/>
        <v>Defs</v>
      </c>
      <c r="I106" t="str">
        <f>IF(Table2[[#This Row],[!Type]]=I$1, I$1,"rg:None")</f>
        <v>rg:None</v>
      </c>
      <c r="J106" t="str">
        <f>IF(Table2[[#This Row],[!Type]]=J$1, J$1,"rg:None")</f>
        <v>rg:None</v>
      </c>
      <c r="K106" t="str">
        <f>IF(Table2[[#This Row],[!Type]]=K$1, K$1,"rg:None")</f>
        <v>rg:None</v>
      </c>
      <c r="L106" s="10" t="str">
        <f>IF(Table2[[#This Row],[!Type]]=L$1, L$1,"rg:None")</f>
        <v>rg:None</v>
      </c>
      <c r="M106" s="5" t="str">
        <f>IF(Table2[[#This Row],[!Type]]=M$1, M$1,"rg:None")</f>
        <v>rg:None</v>
      </c>
      <c r="N106" s="5" t="str">
        <f>IF(Table2[[#This Row],[!Type]]=N$1, N$1,"rg:None")</f>
        <v>rg:None</v>
      </c>
      <c r="O106" s="5" t="str">
        <f>IF(Table2[[#This Row],[!Type]]=O$1, O$1,"rg:None")</f>
        <v>string</v>
      </c>
      <c r="P106" s="5" t="str">
        <f>IF(Table2[[#This Row],[!Type]]=P$1, P$1,"rg:None")</f>
        <v>rg:None</v>
      </c>
      <c r="Q106" s="10" t="str">
        <f>IF(LEN(Table2[[#This Row],[!Length]]) &gt; 0, Table2[[#This Row],[!Length]], "rg:None")</f>
        <v>rg:None</v>
      </c>
      <c r="R106" s="10" t="str">
        <f>IF(LEN(Table2[[#This Row],[!Name]]) &gt; 0, Table2[[#This Row],[!Name]], "rg:None")</f>
        <v>ICBCColour</v>
      </c>
      <c r="S106" s="10" t="str">
        <f>IF(LEN(Table2[[#This Row],[!Description]]) &gt; 0, Table2[[#This Row],[!Description]], "rg:None")</f>
        <v>rg:None</v>
      </c>
      <c r="T106" s="10" t="str">
        <f>IF(LEN(Table2[[#This Row],[!FK]])&gt;0,Table2[[#This Row],[!FK]],"rg:None")</f>
        <v>rg:None</v>
      </c>
      <c r="U106" s="10" t="str">
        <f>IF(LEN(concatif2(A:A,Table2[[#This Row],[!Table]],G:G,"Y",D:D,",")) &gt; 0,"rg:[ { 'req' : '"&amp;concatif2(A:A,Table2[[#This Row],[!Table]],G:G,"Y",D:D,"' }, { 'req': '")&amp;"'} ]","rg:[]")</f>
        <v>rg:[ { 'req' : 'id'} ]</v>
      </c>
    </row>
    <row r="107" spans="1:21" x14ac:dyDescent="0.3">
      <c r="A107" s="3" t="s">
        <v>129</v>
      </c>
      <c r="B107" s="3" t="s">
        <v>10</v>
      </c>
      <c r="C107" s="3"/>
      <c r="D107" s="5" t="s">
        <v>230</v>
      </c>
      <c r="E107" s="3" t="s">
        <v>7</v>
      </c>
      <c r="F107" s="3" t="s">
        <v>7</v>
      </c>
      <c r="G107" s="4"/>
      <c r="H107" s="5" t="str">
        <f t="shared" si="1"/>
        <v>Defs</v>
      </c>
      <c r="I107" t="str">
        <f>IF(Table2[[#This Row],[!Type]]=I$1, I$1,"rg:None")</f>
        <v>rg:None</v>
      </c>
      <c r="J107" t="str">
        <f>IF(Table2[[#This Row],[!Type]]=J$1, J$1,"rg:None")</f>
        <v>rg:None</v>
      </c>
      <c r="K107" t="str">
        <f>IF(Table2[[#This Row],[!Type]]=K$1, K$1,"rg:None")</f>
        <v>rg:None</v>
      </c>
      <c r="L107" s="10" t="str">
        <f>IF(Table2[[#This Row],[!Type]]=L$1, L$1,"rg:None")</f>
        <v>rg:None</v>
      </c>
      <c r="M107" s="5" t="str">
        <f>IF(Table2[[#This Row],[!Type]]=M$1, M$1,"rg:None")</f>
        <v>rg:None</v>
      </c>
      <c r="N107" s="5" t="str">
        <f>IF(Table2[[#This Row],[!Type]]=N$1, N$1,"rg:None")</f>
        <v>rg:None</v>
      </c>
      <c r="O107" s="5" t="str">
        <f>IF(Table2[[#This Row],[!Type]]=O$1, O$1,"rg:None")</f>
        <v>string</v>
      </c>
      <c r="P107" s="5" t="str">
        <f>IF(Table2[[#This Row],[!Type]]=P$1, P$1,"rg:None")</f>
        <v>rg:None</v>
      </c>
      <c r="Q107" s="10" t="str">
        <f>IF(LEN(Table2[[#This Row],[!Length]]) &gt; 0, Table2[[#This Row],[!Length]], "rg:None")</f>
        <v>rg:None</v>
      </c>
      <c r="R107" s="10" t="str">
        <f>IF(LEN(Table2[[#This Row],[!Name]]) &gt; 0, Table2[[#This Row],[!Name]], "rg:None")</f>
        <v>ICBCNotesAndOrders</v>
      </c>
      <c r="S107" s="10" t="str">
        <f>IF(LEN(Table2[[#This Row],[!Description]]) &gt; 0, Table2[[#This Row],[!Description]], "rg:None")</f>
        <v>rg:None</v>
      </c>
      <c r="T107" s="10" t="str">
        <f>IF(LEN(Table2[[#This Row],[!FK]])&gt;0,Table2[[#This Row],[!FK]],"rg:None")</f>
        <v>rg:None</v>
      </c>
      <c r="U107" s="10" t="str">
        <f>IF(LEN(concatif2(A:A,Table2[[#This Row],[!Table]],G:G,"Y",D:D,",")) &gt; 0,"rg:[ { 'req' : '"&amp;concatif2(A:A,Table2[[#This Row],[!Table]],G:G,"Y",D:D,"' }, { 'req': '")&amp;"'} ]","rg:[]")</f>
        <v>rg:[ { 'req' : 'id'} ]</v>
      </c>
    </row>
    <row r="108" spans="1:21" x14ac:dyDescent="0.3">
      <c r="A108" s="3" t="s">
        <v>129</v>
      </c>
      <c r="B108" s="3" t="s">
        <v>43</v>
      </c>
      <c r="C108" s="3"/>
      <c r="D108" s="5" t="s">
        <v>231</v>
      </c>
      <c r="E108" s="3" t="s">
        <v>7</v>
      </c>
      <c r="F108" s="3" t="s">
        <v>7</v>
      </c>
      <c r="G108" s="4"/>
      <c r="H108" s="5" t="str">
        <f t="shared" si="1"/>
        <v>Defs</v>
      </c>
      <c r="I108" t="str">
        <f>IF(Table2[[#This Row],[!Type]]=I$1, I$1,"rg:None")</f>
        <v>rg:None</v>
      </c>
      <c r="J108" t="str">
        <f>IF(Table2[[#This Row],[!Type]]=J$1, J$1,"rg:None")</f>
        <v>datetime</v>
      </c>
      <c r="K108" t="str">
        <f>IF(Table2[[#This Row],[!Type]]=K$1, K$1,"rg:None")</f>
        <v>rg:None</v>
      </c>
      <c r="L108" s="10" t="str">
        <f>IF(Table2[[#This Row],[!Type]]=L$1, L$1,"rg:None")</f>
        <v>rg:None</v>
      </c>
      <c r="M108" s="5" t="str">
        <f>IF(Table2[[#This Row],[!Type]]=M$1, M$1,"rg:None")</f>
        <v>rg:None</v>
      </c>
      <c r="N108" s="5" t="str">
        <f>IF(Table2[[#This Row],[!Type]]=N$1, N$1,"rg:None")</f>
        <v>rg:None</v>
      </c>
      <c r="O108" s="5" t="str">
        <f>IF(Table2[[#This Row],[!Type]]=O$1, O$1,"rg:None")</f>
        <v>rg:None</v>
      </c>
      <c r="P108" s="5" t="str">
        <f>IF(Table2[[#This Row],[!Type]]=P$1, P$1,"rg:None")</f>
        <v>rg:None</v>
      </c>
      <c r="Q108" s="10" t="str">
        <f>IF(LEN(Table2[[#This Row],[!Length]]) &gt; 0, Table2[[#This Row],[!Length]], "rg:None")</f>
        <v>rg:None</v>
      </c>
      <c r="R108" s="10" t="str">
        <f>IF(LEN(Table2[[#This Row],[!Name]]) &gt; 0, Table2[[#This Row],[!Name]], "rg:None")</f>
        <v>ICBCOrderedOn</v>
      </c>
      <c r="S108" s="10" t="str">
        <f>IF(LEN(Table2[[#This Row],[!Description]]) &gt; 0, Table2[[#This Row],[!Description]], "rg:None")</f>
        <v>rg:None</v>
      </c>
      <c r="T108" s="10" t="str">
        <f>IF(LEN(Table2[[#This Row],[!FK]])&gt;0,Table2[[#This Row],[!FK]],"rg:None")</f>
        <v>rg:None</v>
      </c>
      <c r="U108" s="10" t="str">
        <f>IF(LEN(concatif2(A:A,Table2[[#This Row],[!Table]],G:G,"Y",D:D,",")) &gt; 0,"rg:[ { 'req' : '"&amp;concatif2(A:A,Table2[[#This Row],[!Table]],G:G,"Y",D:D,"' }, { 'req': '")&amp;"'} ]","rg:[]")</f>
        <v>rg:[ { 'req' : 'id'} ]</v>
      </c>
    </row>
    <row r="109" spans="1:21" x14ac:dyDescent="0.3">
      <c r="A109" s="3" t="s">
        <v>129</v>
      </c>
      <c r="B109" s="3" t="s">
        <v>10</v>
      </c>
      <c r="C109" s="3"/>
      <c r="D109" s="5" t="s">
        <v>232</v>
      </c>
      <c r="E109" s="3" t="s">
        <v>7</v>
      </c>
      <c r="F109" s="3" t="s">
        <v>7</v>
      </c>
      <c r="G109" s="4"/>
      <c r="H109" s="5" t="str">
        <f t="shared" si="1"/>
        <v>Defs</v>
      </c>
      <c r="I109" t="str">
        <f>IF(Table2[[#This Row],[!Type]]=I$1, I$1,"rg:None")</f>
        <v>rg:None</v>
      </c>
      <c r="J109" t="str">
        <f>IF(Table2[[#This Row],[!Type]]=J$1, J$1,"rg:None")</f>
        <v>rg:None</v>
      </c>
      <c r="K109" t="str">
        <f>IF(Table2[[#This Row],[!Type]]=K$1, K$1,"rg:None")</f>
        <v>rg:None</v>
      </c>
      <c r="L109" s="10" t="str">
        <f>IF(Table2[[#This Row],[!Type]]=L$1, L$1,"rg:None")</f>
        <v>rg:None</v>
      </c>
      <c r="M109" s="5" t="str">
        <f>IF(Table2[[#This Row],[!Type]]=M$1, M$1,"rg:None")</f>
        <v>rg:None</v>
      </c>
      <c r="N109" s="5" t="str">
        <f>IF(Table2[[#This Row],[!Type]]=N$1, N$1,"rg:None")</f>
        <v>rg:None</v>
      </c>
      <c r="O109" s="5" t="str">
        <f>IF(Table2[[#This Row],[!Type]]=O$1, O$1,"rg:None")</f>
        <v>string</v>
      </c>
      <c r="P109" s="5" t="str">
        <f>IF(Table2[[#This Row],[!Type]]=P$1, P$1,"rg:None")</f>
        <v>rg:None</v>
      </c>
      <c r="Q109" s="10" t="str">
        <f>IF(LEN(Table2[[#This Row],[!Length]]) &gt; 0, Table2[[#This Row],[!Length]], "rg:None")</f>
        <v>rg:None</v>
      </c>
      <c r="R109" s="10" t="str">
        <f>IF(LEN(Table2[[#This Row],[!Name]]) &gt; 0, Table2[[#This Row],[!Name]], "rg:None")</f>
        <v>ICBCRegOwnerName</v>
      </c>
      <c r="S109" s="10" t="str">
        <f>IF(LEN(Table2[[#This Row],[!Description]]) &gt; 0, Table2[[#This Row],[!Description]], "rg:None")</f>
        <v>rg:None</v>
      </c>
      <c r="T109" s="10" t="str">
        <f>IF(LEN(Table2[[#This Row],[!FK]])&gt;0,Table2[[#This Row],[!FK]],"rg:None")</f>
        <v>rg:None</v>
      </c>
      <c r="U109" s="10" t="str">
        <f>IF(LEN(concatif2(A:A,Table2[[#This Row],[!Table]],G:G,"Y",D:D,",")) &gt; 0,"rg:[ { 'req' : '"&amp;concatif2(A:A,Table2[[#This Row],[!Table]],G:G,"Y",D:D,"' }, { 'req': '")&amp;"'} ]","rg:[]")</f>
        <v>rg:[ { 'req' : 'id'} ]</v>
      </c>
    </row>
    <row r="110" spans="1:21" x14ac:dyDescent="0.3">
      <c r="A110" s="3" t="s">
        <v>129</v>
      </c>
      <c r="B110" s="3" t="s">
        <v>10</v>
      </c>
      <c r="C110" s="3"/>
      <c r="D110" s="5" t="s">
        <v>233</v>
      </c>
      <c r="E110" s="3" t="s">
        <v>7</v>
      </c>
      <c r="F110" s="3" t="s">
        <v>7</v>
      </c>
      <c r="G110" s="4"/>
      <c r="H110" s="5" t="str">
        <f t="shared" si="1"/>
        <v>Defs</v>
      </c>
      <c r="I110" t="str">
        <f>IF(Table2[[#This Row],[!Type]]=I$1, I$1,"rg:None")</f>
        <v>rg:None</v>
      </c>
      <c r="J110" t="str">
        <f>IF(Table2[[#This Row],[!Type]]=J$1, J$1,"rg:None")</f>
        <v>rg:None</v>
      </c>
      <c r="K110" t="str">
        <f>IF(Table2[[#This Row],[!Type]]=K$1, K$1,"rg:None")</f>
        <v>rg:None</v>
      </c>
      <c r="L110" s="10" t="str">
        <f>IF(Table2[[#This Row],[!Type]]=L$1, L$1,"rg:None")</f>
        <v>rg:None</v>
      </c>
      <c r="M110" s="5" t="str">
        <f>IF(Table2[[#This Row],[!Type]]=M$1, M$1,"rg:None")</f>
        <v>rg:None</v>
      </c>
      <c r="N110" s="5" t="str">
        <f>IF(Table2[[#This Row],[!Type]]=N$1, N$1,"rg:None")</f>
        <v>rg:None</v>
      </c>
      <c r="O110" s="5" t="str">
        <f>IF(Table2[[#This Row],[!Type]]=O$1, O$1,"rg:None")</f>
        <v>string</v>
      </c>
      <c r="P110" s="5" t="str">
        <f>IF(Table2[[#This Row],[!Type]]=P$1, P$1,"rg:None")</f>
        <v>rg:None</v>
      </c>
      <c r="Q110" s="10" t="str">
        <f>IF(LEN(Table2[[#This Row],[!Length]]) &gt; 0, Table2[[#This Row],[!Length]], "rg:None")</f>
        <v>rg:None</v>
      </c>
      <c r="R110" s="10" t="str">
        <f>IF(LEN(Table2[[#This Row],[!Name]]) &gt; 0, Table2[[#This Row],[!Name]], "rg:None")</f>
        <v>ICBCRegOwnerAddr1</v>
      </c>
      <c r="S110" s="10" t="str">
        <f>IF(LEN(Table2[[#This Row],[!Description]]) &gt; 0, Table2[[#This Row],[!Description]], "rg:None")</f>
        <v>rg:None</v>
      </c>
      <c r="T110" s="10" t="str">
        <f>IF(LEN(Table2[[#This Row],[!FK]])&gt;0,Table2[[#This Row],[!FK]],"rg:None")</f>
        <v>rg:None</v>
      </c>
      <c r="U110" s="10" t="str">
        <f>IF(LEN(concatif2(A:A,Table2[[#This Row],[!Table]],G:G,"Y",D:D,",")) &gt; 0,"rg:[ { 'req' : '"&amp;concatif2(A:A,Table2[[#This Row],[!Table]],G:G,"Y",D:D,"' }, { 'req': '")&amp;"'} ]","rg:[]")</f>
        <v>rg:[ { 'req' : 'id'} ]</v>
      </c>
    </row>
    <row r="111" spans="1:21" x14ac:dyDescent="0.3">
      <c r="A111" s="3" t="s">
        <v>129</v>
      </c>
      <c r="B111" s="3" t="s">
        <v>10</v>
      </c>
      <c r="C111" s="3"/>
      <c r="D111" s="5" t="s">
        <v>234</v>
      </c>
      <c r="E111" s="3" t="s">
        <v>7</v>
      </c>
      <c r="F111" s="3" t="s">
        <v>7</v>
      </c>
      <c r="G111" s="4"/>
      <c r="H111" s="5" t="str">
        <f t="shared" si="1"/>
        <v>Defs</v>
      </c>
      <c r="I111" t="str">
        <f>IF(Table2[[#This Row],[!Type]]=I$1, I$1,"rg:None")</f>
        <v>rg:None</v>
      </c>
      <c r="J111" t="str">
        <f>IF(Table2[[#This Row],[!Type]]=J$1, J$1,"rg:None")</f>
        <v>rg:None</v>
      </c>
      <c r="K111" t="str">
        <f>IF(Table2[[#This Row],[!Type]]=K$1, K$1,"rg:None")</f>
        <v>rg:None</v>
      </c>
      <c r="L111" s="10" t="str">
        <f>IF(Table2[[#This Row],[!Type]]=L$1, L$1,"rg:None")</f>
        <v>rg:None</v>
      </c>
      <c r="M111" s="5" t="str">
        <f>IF(Table2[[#This Row],[!Type]]=M$1, M$1,"rg:None")</f>
        <v>rg:None</v>
      </c>
      <c r="N111" s="5" t="str">
        <f>IF(Table2[[#This Row],[!Type]]=N$1, N$1,"rg:None")</f>
        <v>rg:None</v>
      </c>
      <c r="O111" s="5" t="str">
        <f>IF(Table2[[#This Row],[!Type]]=O$1, O$1,"rg:None")</f>
        <v>string</v>
      </c>
      <c r="P111" s="5" t="str">
        <f>IF(Table2[[#This Row],[!Type]]=P$1, P$1,"rg:None")</f>
        <v>rg:None</v>
      </c>
      <c r="Q111" s="10" t="str">
        <f>IF(LEN(Table2[[#This Row],[!Length]]) &gt; 0, Table2[[#This Row],[!Length]], "rg:None")</f>
        <v>rg:None</v>
      </c>
      <c r="R111" s="10" t="str">
        <f>IF(LEN(Table2[[#This Row],[!Name]]) &gt; 0, Table2[[#This Row],[!Name]], "rg:None")</f>
        <v>ICBCRegOwnerAddr2</v>
      </c>
      <c r="S111" s="10" t="str">
        <f>IF(LEN(Table2[[#This Row],[!Description]]) &gt; 0, Table2[[#This Row],[!Description]], "rg:None")</f>
        <v>rg:None</v>
      </c>
      <c r="T111" s="10" t="str">
        <f>IF(LEN(Table2[[#This Row],[!FK]])&gt;0,Table2[[#This Row],[!FK]],"rg:None")</f>
        <v>rg:None</v>
      </c>
      <c r="U111" s="10" t="str">
        <f>IF(LEN(concatif2(A:A,Table2[[#This Row],[!Table]],G:G,"Y",D:D,",")) &gt; 0,"rg:[ { 'req' : '"&amp;concatif2(A:A,Table2[[#This Row],[!Table]],G:G,"Y",D:D,"' }, { 'req': '")&amp;"'} ]","rg:[]")</f>
        <v>rg:[ { 'req' : 'id'} ]</v>
      </c>
    </row>
    <row r="112" spans="1:21" x14ac:dyDescent="0.3">
      <c r="A112" s="3" t="s">
        <v>129</v>
      </c>
      <c r="B112" s="3" t="s">
        <v>10</v>
      </c>
      <c r="C112" s="3"/>
      <c r="D112" s="5" t="s">
        <v>235</v>
      </c>
      <c r="E112" s="3" t="s">
        <v>7</v>
      </c>
      <c r="F112" s="3" t="s">
        <v>7</v>
      </c>
      <c r="G112" s="4"/>
      <c r="H112" s="5" t="str">
        <f t="shared" si="1"/>
        <v>Defs</v>
      </c>
      <c r="I112" t="str">
        <f>IF(Table2[[#This Row],[!Type]]=I$1, I$1,"rg:None")</f>
        <v>rg:None</v>
      </c>
      <c r="J112" t="str">
        <f>IF(Table2[[#This Row],[!Type]]=J$1, J$1,"rg:None")</f>
        <v>rg:None</v>
      </c>
      <c r="K112" t="str">
        <f>IF(Table2[[#This Row],[!Type]]=K$1, K$1,"rg:None")</f>
        <v>rg:None</v>
      </c>
      <c r="L112" s="10" t="str">
        <f>IF(Table2[[#This Row],[!Type]]=L$1, L$1,"rg:None")</f>
        <v>rg:None</v>
      </c>
      <c r="M112" s="5" t="str">
        <f>IF(Table2[[#This Row],[!Type]]=M$1, M$1,"rg:None")</f>
        <v>rg:None</v>
      </c>
      <c r="N112" s="5" t="str">
        <f>IF(Table2[[#This Row],[!Type]]=N$1, N$1,"rg:None")</f>
        <v>rg:None</v>
      </c>
      <c r="O112" s="5" t="str">
        <f>IF(Table2[[#This Row],[!Type]]=O$1, O$1,"rg:None")</f>
        <v>string</v>
      </c>
      <c r="P112" s="5" t="str">
        <f>IF(Table2[[#This Row],[!Type]]=P$1, P$1,"rg:None")</f>
        <v>rg:None</v>
      </c>
      <c r="Q112" s="10" t="str">
        <f>IF(LEN(Table2[[#This Row],[!Length]]) &gt; 0, Table2[[#This Row],[!Length]], "rg:None")</f>
        <v>rg:None</v>
      </c>
      <c r="R112" s="10" t="str">
        <f>IF(LEN(Table2[[#This Row],[!Name]]) &gt; 0, Table2[[#This Row],[!Name]], "rg:None")</f>
        <v>ICBCRegOwnerCity</v>
      </c>
      <c r="S112" s="10" t="str">
        <f>IF(LEN(Table2[[#This Row],[!Description]]) &gt; 0, Table2[[#This Row],[!Description]], "rg:None")</f>
        <v>rg:None</v>
      </c>
      <c r="T112" s="10" t="str">
        <f>IF(LEN(Table2[[#This Row],[!FK]])&gt;0,Table2[[#This Row],[!FK]],"rg:None")</f>
        <v>rg:None</v>
      </c>
      <c r="U112" s="10" t="str">
        <f>IF(LEN(concatif2(A:A,Table2[[#This Row],[!Table]],G:G,"Y",D:D,",")) &gt; 0,"rg:[ { 'req' : '"&amp;concatif2(A:A,Table2[[#This Row],[!Table]],G:G,"Y",D:D,"' }, { 'req': '")&amp;"'} ]","rg:[]")</f>
        <v>rg:[ { 'req' : 'id'} ]</v>
      </c>
    </row>
    <row r="113" spans="1:21" x14ac:dyDescent="0.3">
      <c r="A113" s="3" t="s">
        <v>129</v>
      </c>
      <c r="B113" s="3" t="s">
        <v>10</v>
      </c>
      <c r="C113" s="3"/>
      <c r="D113" s="5" t="s">
        <v>236</v>
      </c>
      <c r="E113" s="3" t="s">
        <v>7</v>
      </c>
      <c r="F113" s="3" t="s">
        <v>7</v>
      </c>
      <c r="G113" s="4"/>
      <c r="H113" s="5" t="str">
        <f t="shared" si="1"/>
        <v>Defs</v>
      </c>
      <c r="I113" t="str">
        <f>IF(Table2[[#This Row],[!Type]]=I$1, I$1,"rg:None")</f>
        <v>rg:None</v>
      </c>
      <c r="J113" t="str">
        <f>IF(Table2[[#This Row],[!Type]]=J$1, J$1,"rg:None")</f>
        <v>rg:None</v>
      </c>
      <c r="K113" t="str">
        <f>IF(Table2[[#This Row],[!Type]]=K$1, K$1,"rg:None")</f>
        <v>rg:None</v>
      </c>
      <c r="L113" s="10" t="str">
        <f>IF(Table2[[#This Row],[!Type]]=L$1, L$1,"rg:None")</f>
        <v>rg:None</v>
      </c>
      <c r="M113" s="5" t="str">
        <f>IF(Table2[[#This Row],[!Type]]=M$1, M$1,"rg:None")</f>
        <v>rg:None</v>
      </c>
      <c r="N113" s="5" t="str">
        <f>IF(Table2[[#This Row],[!Type]]=N$1, N$1,"rg:None")</f>
        <v>rg:None</v>
      </c>
      <c r="O113" s="5" t="str">
        <f>IF(Table2[[#This Row],[!Type]]=O$1, O$1,"rg:None")</f>
        <v>string</v>
      </c>
      <c r="P113" s="5" t="str">
        <f>IF(Table2[[#This Row],[!Type]]=P$1, P$1,"rg:None")</f>
        <v>rg:None</v>
      </c>
      <c r="Q113" s="10" t="str">
        <f>IF(LEN(Table2[[#This Row],[!Length]]) &gt; 0, Table2[[#This Row],[!Length]], "rg:None")</f>
        <v>rg:None</v>
      </c>
      <c r="R113" s="10" t="str">
        <f>IF(LEN(Table2[[#This Row],[!Name]]) &gt; 0, Table2[[#This Row],[!Name]], "rg:None")</f>
        <v>ICBCRegOwnerProv</v>
      </c>
      <c r="S113" s="10" t="str">
        <f>IF(LEN(Table2[[#This Row],[!Description]]) &gt; 0, Table2[[#This Row],[!Description]], "rg:None")</f>
        <v>rg:None</v>
      </c>
      <c r="T113" s="10" t="str">
        <f>IF(LEN(Table2[[#This Row],[!FK]])&gt;0,Table2[[#This Row],[!FK]],"rg:None")</f>
        <v>rg:None</v>
      </c>
      <c r="U113" s="10" t="str">
        <f>IF(LEN(concatif2(A:A,Table2[[#This Row],[!Table]],G:G,"Y",D:D,",")) &gt; 0,"rg:[ { 'req' : '"&amp;concatif2(A:A,Table2[[#This Row],[!Table]],G:G,"Y",D:D,"' }, { 'req': '")&amp;"'} ]","rg:[]")</f>
        <v>rg:[ { 'req' : 'id'} ]</v>
      </c>
    </row>
    <row r="114" spans="1:21" x14ac:dyDescent="0.3">
      <c r="A114" s="3" t="s">
        <v>129</v>
      </c>
      <c r="B114" s="3" t="s">
        <v>10</v>
      </c>
      <c r="C114" s="3"/>
      <c r="D114" s="5" t="s">
        <v>237</v>
      </c>
      <c r="E114" s="3" t="s">
        <v>7</v>
      </c>
      <c r="F114" s="3" t="s">
        <v>7</v>
      </c>
      <c r="G114" s="4"/>
      <c r="H114" s="5" t="str">
        <f t="shared" si="1"/>
        <v>Defs</v>
      </c>
      <c r="I114" t="str">
        <f>IF(Table2[[#This Row],[!Type]]=I$1, I$1,"rg:None")</f>
        <v>rg:None</v>
      </c>
      <c r="J114" t="str">
        <f>IF(Table2[[#This Row],[!Type]]=J$1, J$1,"rg:None")</f>
        <v>rg:None</v>
      </c>
      <c r="K114" t="str">
        <f>IF(Table2[[#This Row],[!Type]]=K$1, K$1,"rg:None")</f>
        <v>rg:None</v>
      </c>
      <c r="L114" s="10" t="str">
        <f>IF(Table2[[#This Row],[!Type]]=L$1, L$1,"rg:None")</f>
        <v>rg:None</v>
      </c>
      <c r="M114" s="5" t="str">
        <f>IF(Table2[[#This Row],[!Type]]=M$1, M$1,"rg:None")</f>
        <v>rg:None</v>
      </c>
      <c r="N114" s="5" t="str">
        <f>IF(Table2[[#This Row],[!Type]]=N$1, N$1,"rg:None")</f>
        <v>rg:None</v>
      </c>
      <c r="O114" s="5" t="str">
        <f>IF(Table2[[#This Row],[!Type]]=O$1, O$1,"rg:None")</f>
        <v>string</v>
      </c>
      <c r="P114" s="5" t="str">
        <f>IF(Table2[[#This Row],[!Type]]=P$1, P$1,"rg:None")</f>
        <v>rg:None</v>
      </c>
      <c r="Q114" s="10" t="str">
        <f>IF(LEN(Table2[[#This Row],[!Length]]) &gt; 0, Table2[[#This Row],[!Length]], "rg:None")</f>
        <v>rg:None</v>
      </c>
      <c r="R114" s="10" t="str">
        <f>IF(LEN(Table2[[#This Row],[!Name]]) &gt; 0, Table2[[#This Row],[!Name]], "rg:None")</f>
        <v>ICBCRegOwnerPostalCode</v>
      </c>
      <c r="S114" s="10" t="str">
        <f>IF(LEN(Table2[[#This Row],[!Description]]) &gt; 0, Table2[[#This Row],[!Description]], "rg:None")</f>
        <v>rg:None</v>
      </c>
      <c r="T114" s="10" t="str">
        <f>IF(LEN(Table2[[#This Row],[!FK]])&gt;0,Table2[[#This Row],[!FK]],"rg:None")</f>
        <v>rg:None</v>
      </c>
      <c r="U114" s="10" t="str">
        <f>IF(LEN(concatif2(A:A,Table2[[#This Row],[!Table]],G:G,"Y",D:D,",")) &gt; 0,"rg:[ { 'req' : '"&amp;concatif2(A:A,Table2[[#This Row],[!Table]],G:G,"Y",D:D,"' }, { 'req': '")&amp;"'} ]","rg:[]")</f>
        <v>rg:[ { 'req' : 'id'} ]</v>
      </c>
    </row>
    <row r="115" spans="1:21" x14ac:dyDescent="0.3">
      <c r="A115" s="3" t="s">
        <v>129</v>
      </c>
      <c r="B115" s="3" t="s">
        <v>10</v>
      </c>
      <c r="C115" s="3"/>
      <c r="D115" s="5" t="s">
        <v>238</v>
      </c>
      <c r="E115" s="3" t="s">
        <v>7</v>
      </c>
      <c r="F115" s="3" t="s">
        <v>7</v>
      </c>
      <c r="G115" s="4"/>
      <c r="H115" s="5" t="str">
        <f t="shared" si="1"/>
        <v>Defs</v>
      </c>
      <c r="I115" t="str">
        <f>IF(Table2[[#This Row],[!Type]]=I$1, I$1,"rg:None")</f>
        <v>rg:None</v>
      </c>
      <c r="J115" t="str">
        <f>IF(Table2[[#This Row],[!Type]]=J$1, J$1,"rg:None")</f>
        <v>rg:None</v>
      </c>
      <c r="K115" t="str">
        <f>IF(Table2[[#This Row],[!Type]]=K$1, K$1,"rg:None")</f>
        <v>rg:None</v>
      </c>
      <c r="L115" s="10" t="str">
        <f>IF(Table2[[#This Row],[!Type]]=L$1, L$1,"rg:None")</f>
        <v>rg:None</v>
      </c>
      <c r="M115" s="5" t="str">
        <f>IF(Table2[[#This Row],[!Type]]=M$1, M$1,"rg:None")</f>
        <v>rg:None</v>
      </c>
      <c r="N115" s="5" t="str">
        <f>IF(Table2[[#This Row],[!Type]]=N$1, N$1,"rg:None")</f>
        <v>rg:None</v>
      </c>
      <c r="O115" s="5" t="str">
        <f>IF(Table2[[#This Row],[!Type]]=O$1, O$1,"rg:None")</f>
        <v>string</v>
      </c>
      <c r="P115" s="5" t="str">
        <f>IF(Table2[[#This Row],[!Type]]=P$1, P$1,"rg:None")</f>
        <v>rg:None</v>
      </c>
      <c r="Q115" s="10" t="str">
        <f>IF(LEN(Table2[[#This Row],[!Length]]) &gt; 0, Table2[[#This Row],[!Length]], "rg:None")</f>
        <v>rg:None</v>
      </c>
      <c r="R115" s="10" t="str">
        <f>IF(LEN(Table2[[#This Row],[!Name]]) &gt; 0, Table2[[#This Row],[!Name]], "rg:None")</f>
        <v>ICBCRegOwnerStatus</v>
      </c>
      <c r="S115" s="10" t="str">
        <f>IF(LEN(Table2[[#This Row],[!Description]]) &gt; 0, Table2[[#This Row],[!Description]], "rg:None")</f>
        <v>rg:None</v>
      </c>
      <c r="T115" s="10" t="str">
        <f>IF(LEN(Table2[[#This Row],[!FK]])&gt;0,Table2[[#This Row],[!FK]],"rg:None")</f>
        <v>rg:None</v>
      </c>
      <c r="U115" s="10" t="str">
        <f>IF(LEN(concatif2(A:A,Table2[[#This Row],[!Table]],G:G,"Y",D:D,",")) &gt; 0,"rg:[ { 'req' : '"&amp;concatif2(A:A,Table2[[#This Row],[!Table]],G:G,"Y",D:D,"' }, { 'req': '")&amp;"'} ]","rg:[]")</f>
        <v>rg:[ { 'req' : 'id'} ]</v>
      </c>
    </row>
    <row r="116" spans="1:21" x14ac:dyDescent="0.3">
      <c r="A116" s="3" t="s">
        <v>129</v>
      </c>
      <c r="B116" s="3" t="s">
        <v>10</v>
      </c>
      <c r="C116" s="3"/>
      <c r="D116" s="5" t="s">
        <v>239</v>
      </c>
      <c r="E116" s="3" t="s">
        <v>7</v>
      </c>
      <c r="F116" s="3" t="s">
        <v>7</v>
      </c>
      <c r="G116" s="4"/>
      <c r="H116" s="5" t="str">
        <f t="shared" si="1"/>
        <v>Defs</v>
      </c>
      <c r="I116" t="str">
        <f>IF(Table2[[#This Row],[!Type]]=I$1, I$1,"rg:None")</f>
        <v>rg:None</v>
      </c>
      <c r="J116" t="str">
        <f>IF(Table2[[#This Row],[!Type]]=J$1, J$1,"rg:None")</f>
        <v>rg:None</v>
      </c>
      <c r="K116" t="str">
        <f>IF(Table2[[#This Row],[!Type]]=K$1, K$1,"rg:None")</f>
        <v>rg:None</v>
      </c>
      <c r="L116" s="10" t="str">
        <f>IF(Table2[[#This Row],[!Type]]=L$1, L$1,"rg:None")</f>
        <v>rg:None</v>
      </c>
      <c r="M116" s="5" t="str">
        <f>IF(Table2[[#This Row],[!Type]]=M$1, M$1,"rg:None")</f>
        <v>rg:None</v>
      </c>
      <c r="N116" s="5" t="str">
        <f>IF(Table2[[#This Row],[!Type]]=N$1, N$1,"rg:None")</f>
        <v>rg:None</v>
      </c>
      <c r="O116" s="5" t="str">
        <f>IF(Table2[[#This Row],[!Type]]=O$1, O$1,"rg:None")</f>
        <v>string</v>
      </c>
      <c r="P116" s="5" t="str">
        <f>IF(Table2[[#This Row],[!Type]]=P$1, P$1,"rg:None")</f>
        <v>rg:None</v>
      </c>
      <c r="Q116" s="10" t="str">
        <f>IF(LEN(Table2[[#This Row],[!Length]]) &gt; 0, Table2[[#This Row],[!Length]], "rg:None")</f>
        <v>rg:None</v>
      </c>
      <c r="R116" s="10" t="str">
        <f>IF(LEN(Table2[[#This Row],[!Name]]) &gt; 0, Table2[[#This Row],[!Name]], "rg:None")</f>
        <v>ICBCRegOwnerRODL</v>
      </c>
      <c r="S116" s="10" t="str">
        <f>IF(LEN(Table2[[#This Row],[!Description]]) &gt; 0, Table2[[#This Row],[!Description]], "rg:None")</f>
        <v>rg:None</v>
      </c>
      <c r="T116" s="10" t="str">
        <f>IF(LEN(Table2[[#This Row],[!FK]])&gt;0,Table2[[#This Row],[!FK]],"rg:None")</f>
        <v>rg:None</v>
      </c>
      <c r="U116" s="10" t="str">
        <f>IF(LEN(concatif2(A:A,Table2[[#This Row],[!Table]],G:G,"Y",D:D,",")) &gt; 0,"rg:[ { 'req' : '"&amp;concatif2(A:A,Table2[[#This Row],[!Table]],G:G,"Y",D:D,"' }, { 'req': '")&amp;"'} ]","rg:[]")</f>
        <v>rg:[ { 'req' : 'id'} ]</v>
      </c>
    </row>
    <row r="117" spans="1:21" x14ac:dyDescent="0.3">
      <c r="A117" s="3" t="s">
        <v>129</v>
      </c>
      <c r="B117" s="3" t="s">
        <v>10</v>
      </c>
      <c r="C117" s="3"/>
      <c r="D117" s="5" t="s">
        <v>240</v>
      </c>
      <c r="E117" s="3" t="s">
        <v>7</v>
      </c>
      <c r="F117" s="3" t="s">
        <v>7</v>
      </c>
      <c r="G117" s="4"/>
      <c r="H117" s="5" t="str">
        <f t="shared" si="1"/>
        <v>Defs</v>
      </c>
      <c r="I117" t="str">
        <f>IF(Table2[[#This Row],[!Type]]=I$1, I$1,"rg:None")</f>
        <v>rg:None</v>
      </c>
      <c r="J117" t="str">
        <f>IF(Table2[[#This Row],[!Type]]=J$1, J$1,"rg:None")</f>
        <v>rg:None</v>
      </c>
      <c r="K117" t="str">
        <f>IF(Table2[[#This Row],[!Type]]=K$1, K$1,"rg:None")</f>
        <v>rg:None</v>
      </c>
      <c r="L117" s="10" t="str">
        <f>IF(Table2[[#This Row],[!Type]]=L$1, L$1,"rg:None")</f>
        <v>rg:None</v>
      </c>
      <c r="M117" s="5" t="str">
        <f>IF(Table2[[#This Row],[!Type]]=M$1, M$1,"rg:None")</f>
        <v>rg:None</v>
      </c>
      <c r="N117" s="5" t="str">
        <f>IF(Table2[[#This Row],[!Type]]=N$1, N$1,"rg:None")</f>
        <v>rg:None</v>
      </c>
      <c r="O117" s="5" t="str">
        <f>IF(Table2[[#This Row],[!Type]]=O$1, O$1,"rg:None")</f>
        <v>string</v>
      </c>
      <c r="P117" s="5" t="str">
        <f>IF(Table2[[#This Row],[!Type]]=P$1, P$1,"rg:None")</f>
        <v>rg:None</v>
      </c>
      <c r="Q117" s="10" t="str">
        <f>IF(LEN(Table2[[#This Row],[!Length]]) &gt; 0, Table2[[#This Row],[!Length]], "rg:None")</f>
        <v>rg:None</v>
      </c>
      <c r="R117" s="10" t="str">
        <f>IF(LEN(Table2[[#This Row],[!Name]]) &gt; 0, Table2[[#This Row],[!Name]], "rg:None")</f>
        <v>ICBCRegOwnerPool</v>
      </c>
      <c r="S117" s="10" t="str">
        <f>IF(LEN(Table2[[#This Row],[!Description]]) &gt; 0, Table2[[#This Row],[!Description]], "rg:None")</f>
        <v>rg:None</v>
      </c>
      <c r="T117" s="10" t="str">
        <f>IF(LEN(Table2[[#This Row],[!FK]])&gt;0,Table2[[#This Row],[!FK]],"rg:None")</f>
        <v>rg:None</v>
      </c>
      <c r="U117" s="10" t="str">
        <f>IF(LEN(concatif2(A:A,Table2[[#This Row],[!Table]],G:G,"Y",D:D,",")) &gt; 0,"rg:[ { 'req' : '"&amp;concatif2(A:A,Table2[[#This Row],[!Table]],G:G,"Y",D:D,"' }, { 'req': '")&amp;"'} ]","rg:[]")</f>
        <v>rg:[ { 'req' : 'id'} ]</v>
      </c>
    </row>
    <row r="118" spans="1:21" x14ac:dyDescent="0.3">
      <c r="A118" s="3" t="s">
        <v>129</v>
      </c>
      <c r="B118" s="3" t="s">
        <v>10</v>
      </c>
      <c r="C118" s="3"/>
      <c r="D118" s="5" t="s">
        <v>241</v>
      </c>
      <c r="E118" s="3" t="s">
        <v>7</v>
      </c>
      <c r="F118" s="3" t="s">
        <v>7</v>
      </c>
      <c r="G118" s="4"/>
      <c r="H118" s="5" t="str">
        <f t="shared" si="1"/>
        <v>Defs</v>
      </c>
      <c r="I118" t="str">
        <f>IF(Table2[[#This Row],[!Type]]=I$1, I$1,"rg:None")</f>
        <v>rg:None</v>
      </c>
      <c r="J118" t="str">
        <f>IF(Table2[[#This Row],[!Type]]=J$1, J$1,"rg:None")</f>
        <v>rg:None</v>
      </c>
      <c r="K118" t="str">
        <f>IF(Table2[[#This Row],[!Type]]=K$1, K$1,"rg:None")</f>
        <v>rg:None</v>
      </c>
      <c r="L118" s="10" t="str">
        <f>IF(Table2[[#This Row],[!Type]]=L$1, L$1,"rg:None")</f>
        <v>rg:None</v>
      </c>
      <c r="M118" s="5" t="str">
        <f>IF(Table2[[#This Row],[!Type]]=M$1, M$1,"rg:None")</f>
        <v>rg:None</v>
      </c>
      <c r="N118" s="5" t="str">
        <f>IF(Table2[[#This Row],[!Type]]=N$1, N$1,"rg:None")</f>
        <v>rg:None</v>
      </c>
      <c r="O118" s="5" t="str">
        <f>IF(Table2[[#This Row],[!Type]]=O$1, O$1,"rg:None")</f>
        <v>string</v>
      </c>
      <c r="P118" s="5" t="str">
        <f>IF(Table2[[#This Row],[!Type]]=P$1, P$1,"rg:None")</f>
        <v>rg:None</v>
      </c>
      <c r="Q118" s="10" t="str">
        <f>IF(LEN(Table2[[#This Row],[!Length]]) &gt; 0, Table2[[#This Row],[!Length]], "rg:None")</f>
        <v>rg:None</v>
      </c>
      <c r="R118" s="10" t="str">
        <f>IF(LEN(Table2[[#This Row],[!Name]]) &gt; 0, Table2[[#This Row],[!Name]], "rg:None")</f>
        <v>NSCClientNum</v>
      </c>
      <c r="S118" s="10" t="str">
        <f>IF(LEN(Table2[[#This Row],[!Description]]) &gt; 0, Table2[[#This Row],[!Description]], "rg:None")</f>
        <v>rg:None</v>
      </c>
      <c r="T118" s="10" t="str">
        <f>IF(LEN(Table2[[#This Row],[!FK]])&gt;0,Table2[[#This Row],[!FK]],"rg:None")</f>
        <v>rg:None</v>
      </c>
      <c r="U118" s="10" t="str">
        <f>IF(LEN(concatif2(A:A,Table2[[#This Row],[!Table]],G:G,"Y",D:D,",")) &gt; 0,"rg:[ { 'req' : '"&amp;concatif2(A:A,Table2[[#This Row],[!Table]],G:G,"Y",D:D,"' }, { 'req': '")&amp;"'} ]","rg:[]")</f>
        <v>rg:[ { 'req' : 'id'} ]</v>
      </c>
    </row>
    <row r="119" spans="1:21" x14ac:dyDescent="0.3">
      <c r="A119" s="3" t="s">
        <v>129</v>
      </c>
      <c r="B119" s="3" t="s">
        <v>10</v>
      </c>
      <c r="C119" s="3"/>
      <c r="D119" s="5" t="s">
        <v>242</v>
      </c>
      <c r="E119" s="3" t="s">
        <v>7</v>
      </c>
      <c r="F119" s="3" t="s">
        <v>7</v>
      </c>
      <c r="G119" s="4"/>
      <c r="H119" s="5" t="str">
        <f t="shared" si="1"/>
        <v>Defs</v>
      </c>
      <c r="I119" t="str">
        <f>IF(Table2[[#This Row],[!Type]]=I$1, I$1,"rg:None")</f>
        <v>rg:None</v>
      </c>
      <c r="J119" t="str">
        <f>IF(Table2[[#This Row],[!Type]]=J$1, J$1,"rg:None")</f>
        <v>rg:None</v>
      </c>
      <c r="K119" t="str">
        <f>IF(Table2[[#This Row],[!Type]]=K$1, K$1,"rg:None")</f>
        <v>rg:None</v>
      </c>
      <c r="L119" s="10" t="str">
        <f>IF(Table2[[#This Row],[!Type]]=L$1, L$1,"rg:None")</f>
        <v>rg:None</v>
      </c>
      <c r="M119" s="5" t="str">
        <f>IF(Table2[[#This Row],[!Type]]=M$1, M$1,"rg:None")</f>
        <v>rg:None</v>
      </c>
      <c r="N119" s="5" t="str">
        <f>IF(Table2[[#This Row],[!Type]]=N$1, N$1,"rg:None")</f>
        <v>rg:None</v>
      </c>
      <c r="O119" s="5" t="str">
        <f>IF(Table2[[#This Row],[!Type]]=O$1, O$1,"rg:None")</f>
        <v>string</v>
      </c>
      <c r="P119" s="5" t="str">
        <f>IF(Table2[[#This Row],[!Type]]=P$1, P$1,"rg:None")</f>
        <v>rg:None</v>
      </c>
      <c r="Q119" s="10" t="str">
        <f>IF(LEN(Table2[[#This Row],[!Length]]) &gt; 0, Table2[[#This Row],[!Length]], "rg:None")</f>
        <v>rg:None</v>
      </c>
      <c r="R119" s="10" t="str">
        <f>IF(LEN(Table2[[#This Row],[!Name]]) &gt; 0, Table2[[#This Row],[!Name]], "rg:None")</f>
        <v>NSCCarrierName</v>
      </c>
      <c r="S119" s="10" t="str">
        <f>IF(LEN(Table2[[#This Row],[!Description]]) &gt; 0, Table2[[#This Row],[!Description]], "rg:None")</f>
        <v>rg:None</v>
      </c>
      <c r="T119" s="10" t="str">
        <f>IF(LEN(Table2[[#This Row],[!FK]])&gt;0,Table2[[#This Row],[!FK]],"rg:None")</f>
        <v>rg:None</v>
      </c>
      <c r="U119" s="10" t="str">
        <f>IF(LEN(concatif2(A:A,Table2[[#This Row],[!Table]],G:G,"Y",D:D,",")) &gt; 0,"rg:[ { 'req' : '"&amp;concatif2(A:A,Table2[[#This Row],[!Table]],G:G,"Y",D:D,"' }, { 'req': '")&amp;"'} ]","rg:[]")</f>
        <v>rg:[ { 'req' : 'id'} ]</v>
      </c>
    </row>
    <row r="120" spans="1:21" x14ac:dyDescent="0.3">
      <c r="A120" s="3" t="s">
        <v>129</v>
      </c>
      <c r="B120" s="3" t="s">
        <v>10</v>
      </c>
      <c r="C120" s="3"/>
      <c r="D120" s="5" t="s">
        <v>243</v>
      </c>
      <c r="E120" s="3" t="s">
        <v>7</v>
      </c>
      <c r="F120" s="3" t="s">
        <v>7</v>
      </c>
      <c r="G120" s="4"/>
      <c r="H120" s="5" t="str">
        <f t="shared" si="1"/>
        <v>Defs</v>
      </c>
      <c r="I120" t="str">
        <f>IF(Table2[[#This Row],[!Type]]=I$1, I$1,"rg:None")</f>
        <v>rg:None</v>
      </c>
      <c r="J120" t="str">
        <f>IF(Table2[[#This Row],[!Type]]=J$1, J$1,"rg:None")</f>
        <v>rg:None</v>
      </c>
      <c r="K120" t="str">
        <f>IF(Table2[[#This Row],[!Type]]=K$1, K$1,"rg:None")</f>
        <v>rg:None</v>
      </c>
      <c r="L120" s="10" t="str">
        <f>IF(Table2[[#This Row],[!Type]]=L$1, L$1,"rg:None")</f>
        <v>rg:None</v>
      </c>
      <c r="M120" s="5" t="str">
        <f>IF(Table2[[#This Row],[!Type]]=M$1, M$1,"rg:None")</f>
        <v>rg:None</v>
      </c>
      <c r="N120" s="5" t="str">
        <f>IF(Table2[[#This Row],[!Type]]=N$1, N$1,"rg:None")</f>
        <v>rg:None</v>
      </c>
      <c r="O120" s="5" t="str">
        <f>IF(Table2[[#This Row],[!Type]]=O$1, O$1,"rg:None")</f>
        <v>string</v>
      </c>
      <c r="P120" s="5" t="str">
        <f>IF(Table2[[#This Row],[!Type]]=P$1, P$1,"rg:None")</f>
        <v>rg:None</v>
      </c>
      <c r="Q120" s="10" t="str">
        <f>IF(LEN(Table2[[#This Row],[!Length]]) &gt; 0, Table2[[#This Row],[!Length]], "rg:None")</f>
        <v>rg:None</v>
      </c>
      <c r="R120" s="10" t="str">
        <f>IF(LEN(Table2[[#This Row],[!Name]]) &gt; 0, Table2[[#This Row],[!Name]], "rg:None")</f>
        <v>NSCCarrierConditions</v>
      </c>
      <c r="S120" s="10" t="str">
        <f>IF(LEN(Table2[[#This Row],[!Description]]) &gt; 0, Table2[[#This Row],[!Description]], "rg:None")</f>
        <v>rg:None</v>
      </c>
      <c r="T120" s="10" t="str">
        <f>IF(LEN(Table2[[#This Row],[!FK]])&gt;0,Table2[[#This Row],[!FK]],"rg:None")</f>
        <v>rg:None</v>
      </c>
      <c r="U120" s="10" t="str">
        <f>IF(LEN(concatif2(A:A,Table2[[#This Row],[!Table]],G:G,"Y",D:D,",")) &gt; 0,"rg:[ { 'req' : '"&amp;concatif2(A:A,Table2[[#This Row],[!Table]],G:G,"Y",D:D,"' }, { 'req': '")&amp;"'} ]","rg:[]")</f>
        <v>rg:[ { 'req' : 'id'} ]</v>
      </c>
    </row>
    <row r="121" spans="1:21" x14ac:dyDescent="0.3">
      <c r="A121" s="3" t="s">
        <v>129</v>
      </c>
      <c r="B121" s="3" t="s">
        <v>10</v>
      </c>
      <c r="C121" s="3"/>
      <c r="D121" s="5" t="s">
        <v>244</v>
      </c>
      <c r="E121" s="3" t="s">
        <v>7</v>
      </c>
      <c r="F121" s="3" t="s">
        <v>7</v>
      </c>
      <c r="G121" s="4"/>
      <c r="H121" s="5" t="str">
        <f t="shared" si="1"/>
        <v>Defs</v>
      </c>
      <c r="I121" t="str">
        <f>IF(Table2[[#This Row],[!Type]]=I$1, I$1,"rg:None")</f>
        <v>rg:None</v>
      </c>
      <c r="J121" t="str">
        <f>IF(Table2[[#This Row],[!Type]]=J$1, J$1,"rg:None")</f>
        <v>rg:None</v>
      </c>
      <c r="K121" t="str">
        <f>IF(Table2[[#This Row],[!Type]]=K$1, K$1,"rg:None")</f>
        <v>rg:None</v>
      </c>
      <c r="L121" s="10" t="str">
        <f>IF(Table2[[#This Row],[!Type]]=L$1, L$1,"rg:None")</f>
        <v>rg:None</v>
      </c>
      <c r="M121" s="5" t="str">
        <f>IF(Table2[[#This Row],[!Type]]=M$1, M$1,"rg:None")</f>
        <v>rg:None</v>
      </c>
      <c r="N121" s="5" t="str">
        <f>IF(Table2[[#This Row],[!Type]]=N$1, N$1,"rg:None")</f>
        <v>rg:None</v>
      </c>
      <c r="O121" s="5" t="str">
        <f>IF(Table2[[#This Row],[!Type]]=O$1, O$1,"rg:None")</f>
        <v>string</v>
      </c>
      <c r="P121" s="5" t="str">
        <f>IF(Table2[[#This Row],[!Type]]=P$1, P$1,"rg:None")</f>
        <v>rg:None</v>
      </c>
      <c r="Q121" s="10" t="str">
        <f>IF(LEN(Table2[[#This Row],[!Length]]) &gt; 0, Table2[[#This Row],[!Length]], "rg:None")</f>
        <v>rg:None</v>
      </c>
      <c r="R121" s="10" t="str">
        <f>IF(LEN(Table2[[#This Row],[!Name]]) &gt; 0, Table2[[#This Row],[!Name]], "rg:None")</f>
        <v>NSCCarrierSafetyRating</v>
      </c>
      <c r="S121" s="10" t="str">
        <f>IF(LEN(Table2[[#This Row],[!Description]]) &gt; 0, Table2[[#This Row],[!Description]], "rg:None")</f>
        <v>rg:None</v>
      </c>
      <c r="T121" s="10" t="str">
        <f>IF(LEN(Table2[[#This Row],[!FK]])&gt;0,Table2[[#This Row],[!FK]],"rg:None")</f>
        <v>rg:None</v>
      </c>
      <c r="U121" s="10" t="str">
        <f>IF(LEN(concatif2(A:A,Table2[[#This Row],[!Table]],G:G,"Y",D:D,",")) &gt; 0,"rg:[ { 'req' : '"&amp;concatif2(A:A,Table2[[#This Row],[!Table]],G:G,"Y",D:D,"' }, { 'req': '")&amp;"'} ]","rg:[]")</f>
        <v>rg:[ { 'req' : 'id'} ]</v>
      </c>
    </row>
    <row r="122" spans="1:21" x14ac:dyDescent="0.3">
      <c r="A122" s="3" t="s">
        <v>129</v>
      </c>
      <c r="B122" s="3" t="s">
        <v>10</v>
      </c>
      <c r="C122" s="3"/>
      <c r="D122" s="5" t="s">
        <v>245</v>
      </c>
      <c r="E122" s="3" t="s">
        <v>7</v>
      </c>
      <c r="F122" s="3" t="s">
        <v>7</v>
      </c>
      <c r="G122" s="4"/>
      <c r="H122" s="5" t="str">
        <f t="shared" si="1"/>
        <v>Defs</v>
      </c>
      <c r="I122" t="str">
        <f>IF(Table2[[#This Row],[!Type]]=I$1, I$1,"rg:None")</f>
        <v>rg:None</v>
      </c>
      <c r="J122" t="str">
        <f>IF(Table2[[#This Row],[!Type]]=J$1, J$1,"rg:None")</f>
        <v>rg:None</v>
      </c>
      <c r="K122" t="str">
        <f>IF(Table2[[#This Row],[!Type]]=K$1, K$1,"rg:None")</f>
        <v>rg:None</v>
      </c>
      <c r="L122" s="10" t="str">
        <f>IF(Table2[[#This Row],[!Type]]=L$1, L$1,"rg:None")</f>
        <v>rg:None</v>
      </c>
      <c r="M122" s="5" t="str">
        <f>IF(Table2[[#This Row],[!Type]]=M$1, M$1,"rg:None")</f>
        <v>rg:None</v>
      </c>
      <c r="N122" s="5" t="str">
        <f>IF(Table2[[#This Row],[!Type]]=N$1, N$1,"rg:None")</f>
        <v>rg:None</v>
      </c>
      <c r="O122" s="5" t="str">
        <f>IF(Table2[[#This Row],[!Type]]=O$1, O$1,"rg:None")</f>
        <v>string</v>
      </c>
      <c r="P122" s="5" t="str">
        <f>IF(Table2[[#This Row],[!Type]]=P$1, P$1,"rg:None")</f>
        <v>rg:None</v>
      </c>
      <c r="Q122" s="10" t="str">
        <f>IF(LEN(Table2[[#This Row],[!Length]]) &gt; 0, Table2[[#This Row],[!Length]], "rg:None")</f>
        <v>rg:None</v>
      </c>
      <c r="R122" s="10" t="str">
        <f>IF(LEN(Table2[[#This Row],[!Name]]) &gt; 0, Table2[[#This Row],[!Name]], "rg:None")</f>
        <v>NSCPolicyNumber</v>
      </c>
      <c r="S122" s="10" t="str">
        <f>IF(LEN(Table2[[#This Row],[!Description]]) &gt; 0, Table2[[#This Row],[!Description]], "rg:None")</f>
        <v>rg:None</v>
      </c>
      <c r="T122" s="10" t="str">
        <f>IF(LEN(Table2[[#This Row],[!FK]])&gt;0,Table2[[#This Row],[!FK]],"rg:None")</f>
        <v>rg:None</v>
      </c>
      <c r="U122" s="10" t="str">
        <f>IF(LEN(concatif2(A:A,Table2[[#This Row],[!Table]],G:G,"Y",D:D,",")) &gt; 0,"rg:[ { 'req' : '"&amp;concatif2(A:A,Table2[[#This Row],[!Table]],G:G,"Y",D:D,"' }, { 'req': '")&amp;"'} ]","rg:[]")</f>
        <v>rg:[ { 'req' : 'id'} ]</v>
      </c>
    </row>
    <row r="123" spans="1:21" x14ac:dyDescent="0.3">
      <c r="A123" s="3" t="s">
        <v>129</v>
      </c>
      <c r="B123" s="3" t="s">
        <v>43</v>
      </c>
      <c r="C123" s="3"/>
      <c r="D123" s="5" t="s">
        <v>246</v>
      </c>
      <c r="E123" s="3" t="s">
        <v>7</v>
      </c>
      <c r="F123" s="3" t="s">
        <v>7</v>
      </c>
      <c r="G123" s="4"/>
      <c r="H123" s="5" t="str">
        <f t="shared" si="1"/>
        <v>Defs</v>
      </c>
      <c r="I123" t="str">
        <f>IF(Table2[[#This Row],[!Type]]=I$1, I$1,"rg:None")</f>
        <v>rg:None</v>
      </c>
      <c r="J123" t="str">
        <f>IF(Table2[[#This Row],[!Type]]=J$1, J$1,"rg:None")</f>
        <v>datetime</v>
      </c>
      <c r="K123" t="str">
        <f>IF(Table2[[#This Row],[!Type]]=K$1, K$1,"rg:None")</f>
        <v>rg:None</v>
      </c>
      <c r="L123" s="10" t="str">
        <f>IF(Table2[[#This Row],[!Type]]=L$1, L$1,"rg:None")</f>
        <v>rg:None</v>
      </c>
      <c r="M123" s="5" t="str">
        <f>IF(Table2[[#This Row],[!Type]]=M$1, M$1,"rg:None")</f>
        <v>rg:None</v>
      </c>
      <c r="N123" s="5" t="str">
        <f>IF(Table2[[#This Row],[!Type]]=N$1, N$1,"rg:None")</f>
        <v>rg:None</v>
      </c>
      <c r="O123" s="5" t="str">
        <f>IF(Table2[[#This Row],[!Type]]=O$1, O$1,"rg:None")</f>
        <v>rg:None</v>
      </c>
      <c r="P123" s="5" t="str">
        <f>IF(Table2[[#This Row],[!Type]]=P$1, P$1,"rg:None")</f>
        <v>rg:None</v>
      </c>
      <c r="Q123" s="10" t="str">
        <f>IF(LEN(Table2[[#This Row],[!Length]]) &gt; 0, Table2[[#This Row],[!Length]], "rg:None")</f>
        <v>rg:None</v>
      </c>
      <c r="R123" s="10" t="str">
        <f>IF(LEN(Table2[[#This Row],[!Name]]) &gt; 0, Table2[[#This Row],[!Name]], "rg:None")</f>
        <v>NSCPolicyEffectiveDate</v>
      </c>
      <c r="S123" s="10" t="str">
        <f>IF(LEN(Table2[[#This Row],[!Description]]) &gt; 0, Table2[[#This Row],[!Description]], "rg:None")</f>
        <v>rg:None</v>
      </c>
      <c r="T123" s="10" t="str">
        <f>IF(LEN(Table2[[#This Row],[!FK]])&gt;0,Table2[[#This Row],[!FK]],"rg:None")</f>
        <v>rg:None</v>
      </c>
      <c r="U123" s="10" t="str">
        <f>IF(LEN(concatif2(A:A,Table2[[#This Row],[!Table]],G:G,"Y",D:D,",")) &gt; 0,"rg:[ { 'req' : '"&amp;concatif2(A:A,Table2[[#This Row],[!Table]],G:G,"Y",D:D,"' }, { 'req': '")&amp;"'} ]","rg:[]")</f>
        <v>rg:[ { 'req' : 'id'} ]</v>
      </c>
    </row>
    <row r="124" spans="1:21" x14ac:dyDescent="0.3">
      <c r="A124" s="3" t="s">
        <v>129</v>
      </c>
      <c r="B124" s="3" t="s">
        <v>43</v>
      </c>
      <c r="C124" s="3"/>
      <c r="D124" s="5" t="s">
        <v>247</v>
      </c>
      <c r="E124" s="3" t="s">
        <v>7</v>
      </c>
      <c r="F124" s="3" t="s">
        <v>7</v>
      </c>
      <c r="G124" s="4"/>
      <c r="H124" s="5" t="str">
        <f t="shared" si="1"/>
        <v>Defs</v>
      </c>
      <c r="I124" t="str">
        <f>IF(Table2[[#This Row],[!Type]]=I$1, I$1,"rg:None")</f>
        <v>rg:None</v>
      </c>
      <c r="J124" t="str">
        <f>IF(Table2[[#This Row],[!Type]]=J$1, J$1,"rg:None")</f>
        <v>datetime</v>
      </c>
      <c r="K124" t="str">
        <f>IF(Table2[[#This Row],[!Type]]=K$1, K$1,"rg:None")</f>
        <v>rg:None</v>
      </c>
      <c r="L124" s="10" t="str">
        <f>IF(Table2[[#This Row],[!Type]]=L$1, L$1,"rg:None")</f>
        <v>rg:None</v>
      </c>
      <c r="M124" s="5" t="str">
        <f>IF(Table2[[#This Row],[!Type]]=M$1, M$1,"rg:None")</f>
        <v>rg:None</v>
      </c>
      <c r="N124" s="5" t="str">
        <f>IF(Table2[[#This Row],[!Type]]=N$1, N$1,"rg:None")</f>
        <v>rg:None</v>
      </c>
      <c r="O124" s="5" t="str">
        <f>IF(Table2[[#This Row],[!Type]]=O$1, O$1,"rg:None")</f>
        <v>rg:None</v>
      </c>
      <c r="P124" s="5" t="str">
        <f>IF(Table2[[#This Row],[!Type]]=P$1, P$1,"rg:None")</f>
        <v>rg:None</v>
      </c>
      <c r="Q124" s="10" t="str">
        <f>IF(LEN(Table2[[#This Row],[!Length]]) &gt; 0, Table2[[#This Row],[!Length]], "rg:None")</f>
        <v>rg:None</v>
      </c>
      <c r="R124" s="10" t="str">
        <f>IF(LEN(Table2[[#This Row],[!Name]]) &gt; 0, Table2[[#This Row],[!Name]], "rg:None")</f>
        <v>NSCPolicyStatusDate</v>
      </c>
      <c r="S124" s="10" t="str">
        <f>IF(LEN(Table2[[#This Row],[!Description]]) &gt; 0, Table2[[#This Row],[!Description]], "rg:None")</f>
        <v>rg:None</v>
      </c>
      <c r="T124" s="10" t="str">
        <f>IF(LEN(Table2[[#This Row],[!FK]])&gt;0,Table2[[#This Row],[!FK]],"rg:None")</f>
        <v>rg:None</v>
      </c>
      <c r="U124" s="10" t="str">
        <f>IF(LEN(concatif2(A:A,Table2[[#This Row],[!Table]],G:G,"Y",D:D,",")) &gt; 0,"rg:[ { 'req' : '"&amp;concatif2(A:A,Table2[[#This Row],[!Table]],G:G,"Y",D:D,"' }, { 'req': '")&amp;"'} ]","rg:[]")</f>
        <v>rg:[ { 'req' : 'id'} ]</v>
      </c>
    </row>
    <row r="125" spans="1:21" x14ac:dyDescent="0.3">
      <c r="A125" s="3" t="s">
        <v>129</v>
      </c>
      <c r="B125" s="3" t="s">
        <v>43</v>
      </c>
      <c r="C125" s="3"/>
      <c r="D125" s="5" t="s">
        <v>248</v>
      </c>
      <c r="E125" s="3" t="s">
        <v>7</v>
      </c>
      <c r="F125" s="3" t="s">
        <v>7</v>
      </c>
      <c r="G125" s="4"/>
      <c r="H125" s="5" t="str">
        <f t="shared" si="1"/>
        <v>Defs</v>
      </c>
      <c r="I125" t="str">
        <f>IF(Table2[[#This Row],[!Type]]=I$1, I$1,"rg:None")</f>
        <v>rg:None</v>
      </c>
      <c r="J125" t="str">
        <f>IF(Table2[[#This Row],[!Type]]=J$1, J$1,"rg:None")</f>
        <v>datetime</v>
      </c>
      <c r="K125" t="str">
        <f>IF(Table2[[#This Row],[!Type]]=K$1, K$1,"rg:None")</f>
        <v>rg:None</v>
      </c>
      <c r="L125" s="10" t="str">
        <f>IF(Table2[[#This Row],[!Type]]=L$1, L$1,"rg:None")</f>
        <v>rg:None</v>
      </c>
      <c r="M125" s="5" t="str">
        <f>IF(Table2[[#This Row],[!Type]]=M$1, M$1,"rg:None")</f>
        <v>rg:None</v>
      </c>
      <c r="N125" s="5" t="str">
        <f>IF(Table2[[#This Row],[!Type]]=N$1, N$1,"rg:None")</f>
        <v>rg:None</v>
      </c>
      <c r="O125" s="5" t="str">
        <f>IF(Table2[[#This Row],[!Type]]=O$1, O$1,"rg:None")</f>
        <v>rg:None</v>
      </c>
      <c r="P125" s="5" t="str">
        <f>IF(Table2[[#This Row],[!Type]]=P$1, P$1,"rg:None")</f>
        <v>rg:None</v>
      </c>
      <c r="Q125" s="10" t="str">
        <f>IF(LEN(Table2[[#This Row],[!Length]]) &gt; 0, Table2[[#This Row],[!Length]], "rg:None")</f>
        <v>rg:None</v>
      </c>
      <c r="R125" s="10" t="str">
        <f>IF(LEN(Table2[[#This Row],[!Name]]) &gt; 0, Table2[[#This Row],[!Name]], "rg:None")</f>
        <v>NSCPolicyExpiryDate</v>
      </c>
      <c r="S125" s="10" t="str">
        <f>IF(LEN(Table2[[#This Row],[!Description]]) &gt; 0, Table2[[#This Row],[!Description]], "rg:None")</f>
        <v>rg:None</v>
      </c>
      <c r="T125" s="10" t="str">
        <f>IF(LEN(Table2[[#This Row],[!FK]])&gt;0,Table2[[#This Row],[!FK]],"rg:None")</f>
        <v>rg:None</v>
      </c>
      <c r="U125" s="10" t="str">
        <f>IF(LEN(concatif2(A:A,Table2[[#This Row],[!Table]],G:G,"Y",D:D,",")) &gt; 0,"rg:[ { 'req' : '"&amp;concatif2(A:A,Table2[[#This Row],[!Table]],G:G,"Y",D:D,"' }, { 'req': '")&amp;"'} ]","rg:[]")</f>
        <v>rg:[ { 'req' : 'id'} ]</v>
      </c>
    </row>
    <row r="126" spans="1:21" x14ac:dyDescent="0.3">
      <c r="A126" s="3" t="s">
        <v>129</v>
      </c>
      <c r="B126" s="3" t="s">
        <v>10</v>
      </c>
      <c r="C126" s="3"/>
      <c r="D126" s="5" t="s">
        <v>249</v>
      </c>
      <c r="E126" s="3" t="s">
        <v>7</v>
      </c>
      <c r="F126" s="3" t="s">
        <v>7</v>
      </c>
      <c r="G126" s="4"/>
      <c r="H126" s="5" t="str">
        <f t="shared" si="1"/>
        <v>Defs</v>
      </c>
      <c r="I126" t="str">
        <f>IF(Table2[[#This Row],[!Type]]=I$1, I$1,"rg:None")</f>
        <v>rg:None</v>
      </c>
      <c r="J126" t="str">
        <f>IF(Table2[[#This Row],[!Type]]=J$1, J$1,"rg:None")</f>
        <v>rg:None</v>
      </c>
      <c r="K126" t="str">
        <f>IF(Table2[[#This Row],[!Type]]=K$1, K$1,"rg:None")</f>
        <v>rg:None</v>
      </c>
      <c r="L126" s="10" t="str">
        <f>IF(Table2[[#This Row],[!Type]]=L$1, L$1,"rg:None")</f>
        <v>rg:None</v>
      </c>
      <c r="M126" s="5" t="str">
        <f>IF(Table2[[#This Row],[!Type]]=M$1, M$1,"rg:None")</f>
        <v>rg:None</v>
      </c>
      <c r="N126" s="5" t="str">
        <f>IF(Table2[[#This Row],[!Type]]=N$1, N$1,"rg:None")</f>
        <v>rg:None</v>
      </c>
      <c r="O126" s="5" t="str">
        <f>IF(Table2[[#This Row],[!Type]]=O$1, O$1,"rg:None")</f>
        <v>string</v>
      </c>
      <c r="P126" s="5" t="str">
        <f>IF(Table2[[#This Row],[!Type]]=P$1, P$1,"rg:None")</f>
        <v>rg:None</v>
      </c>
      <c r="Q126" s="10" t="str">
        <f>IF(LEN(Table2[[#This Row],[!Length]]) &gt; 0, Table2[[#This Row],[!Length]], "rg:None")</f>
        <v>rg:None</v>
      </c>
      <c r="R126" s="10" t="str">
        <f>IF(LEN(Table2[[#This Row],[!Name]]) &gt; 0, Table2[[#This Row],[!Name]], "rg:None")</f>
        <v>NSCPolicyStatus</v>
      </c>
      <c r="S126" s="10" t="str">
        <f>IF(LEN(Table2[[#This Row],[!Description]]) &gt; 0, Table2[[#This Row],[!Description]], "rg:None")</f>
        <v>rg:None</v>
      </c>
      <c r="T126" s="10" t="str">
        <f>IF(LEN(Table2[[#This Row],[!FK]])&gt;0,Table2[[#This Row],[!FK]],"rg:None")</f>
        <v>rg:None</v>
      </c>
      <c r="U126" s="10" t="str">
        <f>IF(LEN(concatif2(A:A,Table2[[#This Row],[!Table]],G:G,"Y",D:D,",")) &gt; 0,"rg:[ { 'req' : '"&amp;concatif2(A:A,Table2[[#This Row],[!Table]],G:G,"Y",D:D,"' }, { 'req': '")&amp;"'} ]","rg:[]")</f>
        <v>rg:[ { 'req' : 'id'} ]</v>
      </c>
    </row>
    <row r="127" spans="1:21" x14ac:dyDescent="0.3">
      <c r="A127" s="3" t="s">
        <v>129</v>
      </c>
      <c r="B127" s="3" t="s">
        <v>10</v>
      </c>
      <c r="C127" s="3"/>
      <c r="D127" s="5" t="s">
        <v>213</v>
      </c>
      <c r="E127" s="3" t="s">
        <v>7</v>
      </c>
      <c r="F127" s="3" t="s">
        <v>7</v>
      </c>
      <c r="G127" s="4"/>
      <c r="H127" s="5" t="str">
        <f t="shared" si="1"/>
        <v>Defs</v>
      </c>
      <c r="I127" t="str">
        <f>IF(Table2[[#This Row],[!Type]]=I$1, I$1,"rg:None")</f>
        <v>rg:None</v>
      </c>
      <c r="J127" t="str">
        <f>IF(Table2[[#This Row],[!Type]]=J$1, J$1,"rg:None")</f>
        <v>rg:None</v>
      </c>
      <c r="K127" t="str">
        <f>IF(Table2[[#This Row],[!Type]]=K$1, K$1,"rg:None")</f>
        <v>rg:None</v>
      </c>
      <c r="L127" s="10" t="str">
        <f>IF(Table2[[#This Row],[!Type]]=L$1, L$1,"rg:None")</f>
        <v>rg:None</v>
      </c>
      <c r="M127" s="5" t="str">
        <f>IF(Table2[[#This Row],[!Type]]=M$1, M$1,"rg:None")</f>
        <v>rg:None</v>
      </c>
      <c r="N127" s="5" t="str">
        <f>IF(Table2[[#This Row],[!Type]]=N$1, N$1,"rg:None")</f>
        <v>rg:None</v>
      </c>
      <c r="O127" s="5" t="str">
        <f>IF(Table2[[#This Row],[!Type]]=O$1, O$1,"rg:None")</f>
        <v>string</v>
      </c>
      <c r="P127" s="5" t="str">
        <f>IF(Table2[[#This Row],[!Type]]=P$1, P$1,"rg:None")</f>
        <v>rg:None</v>
      </c>
      <c r="Q127" s="10" t="str">
        <f>IF(LEN(Table2[[#This Row],[!Length]]) &gt; 0, Table2[[#This Row],[!Length]], "rg:None")</f>
        <v>rg:None</v>
      </c>
      <c r="R127" s="10" t="str">
        <f>IF(LEN(Table2[[#This Row],[!Name]]) &gt; 0, Table2[[#This Row],[!Name]], "rg:None")</f>
        <v>NSCPlateDecal</v>
      </c>
      <c r="S127" s="10" t="str">
        <f>IF(LEN(Table2[[#This Row],[!Description]]) &gt; 0, Table2[[#This Row],[!Description]], "rg:None")</f>
        <v>rg:None</v>
      </c>
      <c r="T127" s="10" t="str">
        <f>IF(LEN(Table2[[#This Row],[!FK]])&gt;0,Table2[[#This Row],[!FK]],"rg:None")</f>
        <v>rg:None</v>
      </c>
      <c r="U127" s="10" t="str">
        <f>IF(LEN(concatif2(A:A,Table2[[#This Row],[!Table]],G:G,"Y",D:D,",")) &gt; 0,"rg:[ { 'req' : '"&amp;concatif2(A:A,Table2[[#This Row],[!Table]],G:G,"Y",D:D,"' }, { 'req': '")&amp;"'} ]","rg:[]")</f>
        <v>rg:[ { 'req' : 'id'} ]</v>
      </c>
    </row>
    <row r="128" spans="1:21" x14ac:dyDescent="0.3">
      <c r="A128" s="3" t="s">
        <v>132</v>
      </c>
      <c r="B128" s="3" t="s">
        <v>5</v>
      </c>
      <c r="C128" s="3"/>
      <c r="D128" s="3" t="s">
        <v>132</v>
      </c>
      <c r="E128" s="3" t="s">
        <v>7</v>
      </c>
      <c r="F128" s="3" t="s">
        <v>7</v>
      </c>
      <c r="G128" s="4"/>
      <c r="H128" s="5" t="str">
        <f t="shared" si="1"/>
        <v>Defs</v>
      </c>
      <c r="I128" t="str">
        <f>IF(Table2[[#This Row],[!Type]]=I$1, I$1,"rg:None")</f>
        <v>rg:None</v>
      </c>
      <c r="J128" t="str">
        <f>IF(Table2[[#This Row],[!Type]]=J$1, J$1,"rg:None")</f>
        <v>rg:None</v>
      </c>
      <c r="K128" t="str">
        <f>IF(Table2[[#This Row],[!Type]]=K$1, K$1,"rg:None")</f>
        <v>rg:None</v>
      </c>
      <c r="L128" s="10" t="str">
        <f>IF(Table2[[#This Row],[!Type]]=L$1, L$1,"rg:None")</f>
        <v>rg:None</v>
      </c>
      <c r="M128" s="5" t="str">
        <f>IF(Table2[[#This Row],[!Type]]=M$1, M$1,"rg:None")</f>
        <v>rg:None</v>
      </c>
      <c r="N128" s="5" t="str">
        <f>IF(Table2[[#This Row],[!Type]]=N$1, N$1,"rg:None")</f>
        <v>rg:None</v>
      </c>
      <c r="O128" s="5" t="str">
        <f>IF(Table2[[#This Row],[!Type]]=O$1, O$1,"rg:None")</f>
        <v>rg:None</v>
      </c>
      <c r="P128" s="5" t="str">
        <f>IF(Table2[[#This Row],[!Type]]=P$1, P$1,"rg:None")</f>
        <v>table</v>
      </c>
      <c r="Q128" s="10" t="str">
        <f>IF(LEN(Table2[[#This Row],[!Length]]) &gt; 0, Table2[[#This Row],[!Length]], "rg:None")</f>
        <v>rg:None</v>
      </c>
      <c r="R128" s="10" t="str">
        <f>IF(LEN(Table2[[#This Row],[!Name]]) &gt; 0, Table2[[#This Row],[!Name]], "rg:None")</f>
        <v>Inspection</v>
      </c>
      <c r="S128" s="10" t="str">
        <f>IF(LEN(Table2[[#This Row],[!Description]]) &gt; 0, Table2[[#This Row],[!Description]], "rg:None")</f>
        <v>rg:None</v>
      </c>
      <c r="T128" s="10" t="str">
        <f>IF(LEN(Table2[[#This Row],[!FK]])&gt;0,Table2[[#This Row],[!FK]],"rg:None")</f>
        <v>rg:None</v>
      </c>
      <c r="U128" s="10" t="str">
        <f>IF(LEN(concatif2(A:A,Table2[[#This Row],[!Table]],G:G,"Y",D:D,",")) &gt; 0,"rg:[ { 'req' : '"&amp;concatif2(A:A,Table2[[#This Row],[!Table]],G:G,"Y",D:D,"' }, { 'req': '")&amp;"'} ]","rg:[]")</f>
        <v>rg:[ { 'req' : 'id'} ]</v>
      </c>
    </row>
    <row r="129" spans="1:21" x14ac:dyDescent="0.3">
      <c r="A129" s="3" t="s">
        <v>132</v>
      </c>
      <c r="B129" s="3" t="s">
        <v>8</v>
      </c>
      <c r="C129" s="3"/>
      <c r="D129" s="3" t="s">
        <v>8</v>
      </c>
      <c r="E129" s="3" t="s">
        <v>133</v>
      </c>
      <c r="F129" s="3" t="s">
        <v>7</v>
      </c>
      <c r="G129" s="4" t="s">
        <v>211</v>
      </c>
      <c r="H129" s="5" t="str">
        <f t="shared" si="1"/>
        <v>Defs</v>
      </c>
      <c r="I129" t="str">
        <f>IF(Table2[[#This Row],[!Type]]=I$1, I$1,"rg:None")</f>
        <v>rg:None</v>
      </c>
      <c r="J129" t="str">
        <f>IF(Table2[[#This Row],[!Type]]=J$1, J$1,"rg:None")</f>
        <v>rg:None</v>
      </c>
      <c r="K129" t="str">
        <f>IF(Table2[[#This Row],[!Type]]=K$1, K$1,"rg:None")</f>
        <v>id</v>
      </c>
      <c r="L129" s="10" t="str">
        <f>IF(Table2[[#This Row],[!Type]]=L$1, L$1,"rg:None")</f>
        <v>rg:None</v>
      </c>
      <c r="M129" s="5" t="str">
        <f>IF(Table2[[#This Row],[!Type]]=M$1, M$1,"rg:None")</f>
        <v>rg:None</v>
      </c>
      <c r="N129" s="5" t="str">
        <f>IF(Table2[[#This Row],[!Type]]=N$1, N$1,"rg:None")</f>
        <v>rg:None</v>
      </c>
      <c r="O129" s="5" t="str">
        <f>IF(Table2[[#This Row],[!Type]]=O$1, O$1,"rg:None")</f>
        <v>rg:None</v>
      </c>
      <c r="P129" s="5" t="str">
        <f>IF(Table2[[#This Row],[!Type]]=P$1, P$1,"rg:None")</f>
        <v>rg:None</v>
      </c>
      <c r="Q129" s="10" t="str">
        <f>IF(LEN(Table2[[#This Row],[!Length]]) &gt; 0, Table2[[#This Row],[!Length]], "rg:None")</f>
        <v>rg:None</v>
      </c>
      <c r="R129" s="10" t="str">
        <f>IF(LEN(Table2[[#This Row],[!Name]]) &gt; 0, Table2[[#This Row],[!Name]], "rg:None")</f>
        <v>id</v>
      </c>
      <c r="S129" s="10" t="str">
        <f>IF(LEN(Table2[[#This Row],[!Description]]) &gt; 0, Table2[[#This Row],[!Description]], "rg:None")</f>
        <v>Primary Key make this match the Inspection Details page</v>
      </c>
      <c r="T129" s="10" t="str">
        <f>IF(LEN(Table2[[#This Row],[!FK]])&gt;0,Table2[[#This Row],[!FK]],"rg:None")</f>
        <v>rg:None</v>
      </c>
      <c r="U129" s="10" t="str">
        <f>IF(LEN(concatif2(A:A,Table2[[#This Row],[!Table]],G:G,"Y",D:D,",")) &gt; 0,"rg:[ { 'req' : '"&amp;concatif2(A:A,Table2[[#This Row],[!Table]],G:G,"Y",D:D,"' }, { 'req': '")&amp;"'} ]","rg:[]")</f>
        <v>rg:[ { 'req' : 'id'} ]</v>
      </c>
    </row>
    <row r="130" spans="1:21" x14ac:dyDescent="0.3">
      <c r="A130" s="3" t="s">
        <v>132</v>
      </c>
      <c r="B130" s="3" t="s">
        <v>17</v>
      </c>
      <c r="C130" s="3"/>
      <c r="D130" s="3" t="s">
        <v>73</v>
      </c>
      <c r="E130" s="3" t="s">
        <v>7</v>
      </c>
      <c r="F130" s="3" t="s">
        <v>4</v>
      </c>
      <c r="G130" s="4"/>
      <c r="H130" s="5" t="str">
        <f t="shared" si="1"/>
        <v>Defs</v>
      </c>
      <c r="I130" t="str">
        <f>IF(Table2[[#This Row],[!Type]]=I$1, I$1,"rg:None")</f>
        <v>rg:None</v>
      </c>
      <c r="J130" t="str">
        <f>IF(Table2[[#This Row],[!Type]]=J$1, J$1,"rg:None")</f>
        <v>rg:None</v>
      </c>
      <c r="K130" t="str">
        <f>IF(Table2[[#This Row],[!Type]]=K$1, K$1,"rg:None")</f>
        <v>rg:None</v>
      </c>
      <c r="L130" s="10" t="str">
        <f>IF(Table2[[#This Row],[!Type]]=L$1, L$1,"rg:None")</f>
        <v>rg:None</v>
      </c>
      <c r="M130" s="5" t="str">
        <f>IF(Table2[[#This Row],[!Type]]=M$1, M$1,"rg:None")</f>
        <v>rg:None</v>
      </c>
      <c r="N130" s="5" t="str">
        <f>IF(Table2[[#This Row],[!Type]]=N$1, N$1,"rg:None")</f>
        <v>ref</v>
      </c>
      <c r="O130" s="5" t="str">
        <f>IF(Table2[[#This Row],[!Type]]=O$1, O$1,"rg:None")</f>
        <v>rg:None</v>
      </c>
      <c r="P130" s="5" t="str">
        <f>IF(Table2[[#This Row],[!Type]]=P$1, P$1,"rg:None")</f>
        <v>rg:None</v>
      </c>
      <c r="Q130" s="10" t="str">
        <f>IF(LEN(Table2[[#This Row],[!Length]]) &gt; 0, Table2[[#This Row],[!Length]], "rg:None")</f>
        <v>rg:None</v>
      </c>
      <c r="R130" s="10" t="str">
        <f>IF(LEN(Table2[[#This Row],[!Name]]) &gt; 0, Table2[[#This Row],[!Name]], "rg:None")</f>
        <v>schoolBus</v>
      </c>
      <c r="S130" s="10" t="str">
        <f>IF(LEN(Table2[[#This Row],[!Description]]) &gt; 0, Table2[[#This Row],[!Description]], "rg:None")</f>
        <v>rg:None</v>
      </c>
      <c r="T130" s="10" t="str">
        <f>IF(LEN(Table2[[#This Row],[!FK]])&gt;0,Table2[[#This Row],[!FK]],"rg:None")</f>
        <v>SchoolBus</v>
      </c>
      <c r="U130" s="10" t="str">
        <f>IF(LEN(concatif2(A:A,Table2[[#This Row],[!Table]],G:G,"Y",D:D,",")) &gt; 0,"rg:[ { 'req' : '"&amp;concatif2(A:A,Table2[[#This Row],[!Table]],G:G,"Y",D:D,"' }, { 'req': '")&amp;"'} ]","rg:[]")</f>
        <v>rg:[ { 'req' : 'id'} ]</v>
      </c>
    </row>
    <row r="131" spans="1:21" x14ac:dyDescent="0.3">
      <c r="A131" s="3" t="s">
        <v>132</v>
      </c>
      <c r="B131" s="3" t="s">
        <v>17</v>
      </c>
      <c r="C131" s="3"/>
      <c r="D131" s="3" t="s">
        <v>134</v>
      </c>
      <c r="E131" s="3" t="s">
        <v>135</v>
      </c>
      <c r="F131" s="3" t="s">
        <v>0</v>
      </c>
      <c r="G131" s="4"/>
      <c r="H131" s="5" t="str">
        <f t="shared" ref="H131:H192" si="2">IF(LEN(A131) &gt; 0,"Defs","-")</f>
        <v>Defs</v>
      </c>
      <c r="I131" t="str">
        <f>IF(Table2[[#This Row],[!Type]]=I$1, I$1,"rg:None")</f>
        <v>rg:None</v>
      </c>
      <c r="J131" t="str">
        <f>IF(Table2[[#This Row],[!Type]]=J$1, J$1,"rg:None")</f>
        <v>rg:None</v>
      </c>
      <c r="K131" t="str">
        <f>IF(Table2[[#This Row],[!Type]]=K$1, K$1,"rg:None")</f>
        <v>rg:None</v>
      </c>
      <c r="L131" s="10" t="str">
        <f>IF(Table2[[#This Row],[!Type]]=L$1, L$1,"rg:None")</f>
        <v>rg:None</v>
      </c>
      <c r="M131" s="5" t="str">
        <f>IF(Table2[[#This Row],[!Type]]=M$1, M$1,"rg:None")</f>
        <v>rg:None</v>
      </c>
      <c r="N131" s="5" t="str">
        <f>IF(Table2[[#This Row],[!Type]]=N$1, N$1,"rg:None")</f>
        <v>ref</v>
      </c>
      <c r="O131" s="5" t="str">
        <f>IF(Table2[[#This Row],[!Type]]=O$1, O$1,"rg:None")</f>
        <v>rg:None</v>
      </c>
      <c r="P131" s="5" t="str">
        <f>IF(Table2[[#This Row],[!Type]]=P$1, P$1,"rg:None")</f>
        <v>rg:None</v>
      </c>
      <c r="Q131" s="10" t="str">
        <f>IF(LEN(Table2[[#This Row],[!Length]]) &gt; 0, Table2[[#This Row],[!Length]], "rg:None")</f>
        <v>rg:None</v>
      </c>
      <c r="R131" s="10" t="str">
        <f>IF(LEN(Table2[[#This Row],[!Name]]) &gt; 0, Table2[[#This Row],[!Name]], "rg:None")</f>
        <v>inspector</v>
      </c>
      <c r="S131" s="10" t="str">
        <f>IF(LEN(Table2[[#This Row],[!Description]]) &gt; 0, Table2[[#This Row],[!Description]], "rg:None")</f>
        <v>Defaults for a new inspection to the current user,  but can be changed as needed.</v>
      </c>
      <c r="T131" s="10" t="str">
        <f>IF(LEN(Table2[[#This Row],[!FK]])&gt;0,Table2[[#This Row],[!FK]],"rg:None")</f>
        <v>User</v>
      </c>
      <c r="U131" s="10" t="str">
        <f>IF(LEN(concatif2(A:A,Table2[[#This Row],[!Table]],G:G,"Y",D:D,",")) &gt; 0,"rg:[ { 'req' : '"&amp;concatif2(A:A,Table2[[#This Row],[!Table]],G:G,"Y",D:D,"' }, { 'req': '")&amp;"'} ]","rg:[]")</f>
        <v>rg:[ { 'req' : 'id'} ]</v>
      </c>
    </row>
    <row r="132" spans="1:21" x14ac:dyDescent="0.3">
      <c r="A132" s="3" t="s">
        <v>132</v>
      </c>
      <c r="B132" s="3" t="s">
        <v>43</v>
      </c>
      <c r="C132" s="3"/>
      <c r="D132" s="3" t="s">
        <v>136</v>
      </c>
      <c r="E132" s="3" t="s">
        <v>137</v>
      </c>
      <c r="F132" s="3" t="s">
        <v>7</v>
      </c>
      <c r="G132" s="4"/>
      <c r="H132" s="5" t="str">
        <f t="shared" si="2"/>
        <v>Defs</v>
      </c>
      <c r="I132" t="str">
        <f>IF(Table2[[#This Row],[!Type]]=I$1, I$1,"rg:None")</f>
        <v>rg:None</v>
      </c>
      <c r="J132" t="str">
        <f>IF(Table2[[#This Row],[!Type]]=J$1, J$1,"rg:None")</f>
        <v>datetime</v>
      </c>
      <c r="K132" t="str">
        <f>IF(Table2[[#This Row],[!Type]]=K$1, K$1,"rg:None")</f>
        <v>rg:None</v>
      </c>
      <c r="L132" s="10" t="str">
        <f>IF(Table2[[#This Row],[!Type]]=L$1, L$1,"rg:None")</f>
        <v>rg:None</v>
      </c>
      <c r="M132" s="5" t="str">
        <f>IF(Table2[[#This Row],[!Type]]=M$1, M$1,"rg:None")</f>
        <v>rg:None</v>
      </c>
      <c r="N132" s="5" t="str">
        <f>IF(Table2[[#This Row],[!Type]]=N$1, N$1,"rg:None")</f>
        <v>rg:None</v>
      </c>
      <c r="O132" s="5" t="str">
        <f>IF(Table2[[#This Row],[!Type]]=O$1, O$1,"rg:None")</f>
        <v>rg:None</v>
      </c>
      <c r="P132" s="5" t="str">
        <f>IF(Table2[[#This Row],[!Type]]=P$1, P$1,"rg:None")</f>
        <v>rg:None</v>
      </c>
      <c r="Q132" s="10" t="str">
        <f>IF(LEN(Table2[[#This Row],[!Length]]) &gt; 0, Table2[[#This Row],[!Length]], "rg:None")</f>
        <v>rg:None</v>
      </c>
      <c r="R132" s="10" t="str">
        <f>IF(LEN(Table2[[#This Row],[!Name]]) &gt; 0, Table2[[#This Row],[!Name]], "rg:None")</f>
        <v>inspectionDate</v>
      </c>
      <c r="S132" s="10" t="str">
        <f>IF(LEN(Table2[[#This Row],[!Description]]) &gt; 0, Table2[[#This Row],[!Description]], "rg:None")</f>
        <v>The date the inspection was conducted.</v>
      </c>
      <c r="T132" s="10" t="str">
        <f>IF(LEN(Table2[[#This Row],[!FK]])&gt;0,Table2[[#This Row],[!FK]],"rg:None")</f>
        <v>rg:None</v>
      </c>
      <c r="U132" s="10" t="str">
        <f>IF(LEN(concatif2(A:A,Table2[[#This Row],[!Table]],G:G,"Y",D:D,",")) &gt; 0,"rg:[ { 'req' : '"&amp;concatif2(A:A,Table2[[#This Row],[!Table]],G:G,"Y",D:D,"' }, { 'req': '")&amp;"'} ]","rg:[]")</f>
        <v>rg:[ { 'req' : 'id'} ]</v>
      </c>
    </row>
    <row r="133" spans="1:21" x14ac:dyDescent="0.3">
      <c r="A133" s="3" t="s">
        <v>132</v>
      </c>
      <c r="B133" s="3" t="s">
        <v>10</v>
      </c>
      <c r="C133" s="3"/>
      <c r="D133" s="3" t="s">
        <v>138</v>
      </c>
      <c r="E133" s="3" t="s">
        <v>139</v>
      </c>
      <c r="F133" s="3" t="s">
        <v>7</v>
      </c>
      <c r="G133" s="4"/>
      <c r="H133" s="5" t="str">
        <f t="shared" si="2"/>
        <v>Defs</v>
      </c>
      <c r="I133" t="str">
        <f>IF(Table2[[#This Row],[!Type]]=I$1, I$1,"rg:None")</f>
        <v>rg:None</v>
      </c>
      <c r="J133" t="str">
        <f>IF(Table2[[#This Row],[!Type]]=J$1, J$1,"rg:None")</f>
        <v>rg:None</v>
      </c>
      <c r="K133" t="str">
        <f>IF(Table2[[#This Row],[!Type]]=K$1, K$1,"rg:None")</f>
        <v>rg:None</v>
      </c>
      <c r="L133" s="10" t="str">
        <f>IF(Table2[[#This Row],[!Type]]=L$1, L$1,"rg:None")</f>
        <v>rg:None</v>
      </c>
      <c r="M133" s="5" t="str">
        <f>IF(Table2[[#This Row],[!Type]]=M$1, M$1,"rg:None")</f>
        <v>rg:None</v>
      </c>
      <c r="N133" s="5" t="str">
        <f>IF(Table2[[#This Row],[!Type]]=N$1, N$1,"rg:None")</f>
        <v>rg:None</v>
      </c>
      <c r="O133" s="5" t="str">
        <f>IF(Table2[[#This Row],[!Type]]=O$1, O$1,"rg:None")</f>
        <v>string</v>
      </c>
      <c r="P133" s="5" t="str">
        <f>IF(Table2[[#This Row],[!Type]]=P$1, P$1,"rg:None")</f>
        <v>rg:None</v>
      </c>
      <c r="Q133" s="10" t="str">
        <f>IF(LEN(Table2[[#This Row],[!Length]]) &gt; 0, Table2[[#This Row],[!Length]], "rg:None")</f>
        <v>rg:None</v>
      </c>
      <c r="R133" s="10" t="str">
        <f>IF(LEN(Table2[[#This Row],[!Name]]) &gt; 0, Table2[[#This Row],[!Name]], "rg:None")</f>
        <v>inspectionType</v>
      </c>
      <c r="S133" s="10" t="str">
        <f>IF(LEN(Table2[[#This Row],[!Description]]) &gt; 0, Table2[[#This Row],[!Description]], "rg:None")</f>
        <v>The type of the inspection - enumerated type of Annual or Re-inspection,  pulled from the School Bus record at the time the inspection record is created</v>
      </c>
      <c r="T133" s="10" t="str">
        <f>IF(LEN(Table2[[#This Row],[!FK]])&gt;0,Table2[[#This Row],[!FK]],"rg:None")</f>
        <v>rg:None</v>
      </c>
      <c r="U133" s="10" t="str">
        <f>IF(LEN(concatif2(A:A,Table2[[#This Row],[!Table]],G:G,"Y",D:D,",")) &gt; 0,"rg:[ { 'req' : '"&amp;concatif2(A:A,Table2[[#This Row],[!Table]],G:G,"Y",D:D,"' }, { 'req': '")&amp;"'} ]","rg:[]")</f>
        <v>rg:[ { 'req' : 'id'} ]</v>
      </c>
    </row>
    <row r="134" spans="1:21" x14ac:dyDescent="0.3">
      <c r="A134" s="3" t="s">
        <v>132</v>
      </c>
      <c r="B134" s="3" t="s">
        <v>10</v>
      </c>
      <c r="C134" s="3"/>
      <c r="D134" s="3" t="s">
        <v>140</v>
      </c>
      <c r="E134" s="3" t="s">
        <v>141</v>
      </c>
      <c r="F134" s="3" t="s">
        <v>7</v>
      </c>
      <c r="G134" s="4"/>
      <c r="H134" s="5" t="str">
        <f t="shared" si="2"/>
        <v>Defs</v>
      </c>
      <c r="I134" t="str">
        <f>IF(Table2[[#This Row],[!Type]]=I$1, I$1,"rg:None")</f>
        <v>rg:None</v>
      </c>
      <c r="J134" t="str">
        <f>IF(Table2[[#This Row],[!Type]]=J$1, J$1,"rg:None")</f>
        <v>rg:None</v>
      </c>
      <c r="K134" t="str">
        <f>IF(Table2[[#This Row],[!Type]]=K$1, K$1,"rg:None")</f>
        <v>rg:None</v>
      </c>
      <c r="L134" s="10" t="str">
        <f>IF(Table2[[#This Row],[!Type]]=L$1, L$1,"rg:None")</f>
        <v>rg:None</v>
      </c>
      <c r="M134" s="5" t="str">
        <f>IF(Table2[[#This Row],[!Type]]=M$1, M$1,"rg:None")</f>
        <v>rg:None</v>
      </c>
      <c r="N134" s="5" t="str">
        <f>IF(Table2[[#This Row],[!Type]]=N$1, N$1,"rg:None")</f>
        <v>rg:None</v>
      </c>
      <c r="O134" s="5" t="str">
        <f>IF(Table2[[#This Row],[!Type]]=O$1, O$1,"rg:None")</f>
        <v>string</v>
      </c>
      <c r="P134" s="5" t="str">
        <f>IF(Table2[[#This Row],[!Type]]=P$1, P$1,"rg:None")</f>
        <v>rg:None</v>
      </c>
      <c r="Q134" s="10" t="str">
        <f>IF(LEN(Table2[[#This Row],[!Length]]) &gt; 0, Table2[[#This Row],[!Length]], "rg:None")</f>
        <v>rg:None</v>
      </c>
      <c r="R134" s="10" t="str">
        <f>IF(LEN(Table2[[#This Row],[!Name]]) &gt; 0, Table2[[#This Row],[!Name]], "rg:None")</f>
        <v>inspectionResult</v>
      </c>
      <c r="S134" s="10" t="str">
        <f>IF(LEN(Table2[[#This Row],[!Description]]) &gt; 0, Table2[[#This Row],[!Description]], "rg:None")</f>
        <v>The result of the inspection - enumerated type of Passed or Failed. The detailed results of the inspection are in RIP and not duplicated here.</v>
      </c>
      <c r="T134" s="10" t="str">
        <f>IF(LEN(Table2[[#This Row],[!FK]])&gt;0,Table2[[#This Row],[!FK]],"rg:None")</f>
        <v>rg:None</v>
      </c>
      <c r="U134" s="10" t="str">
        <f>IF(LEN(concatif2(A:A,Table2[[#This Row],[!Table]],G:G,"Y",D:D,",")) &gt; 0,"rg:[ { 'req' : '"&amp;concatif2(A:A,Table2[[#This Row],[!Table]],G:G,"Y",D:D,"' }, { 'req': '")&amp;"'} ]","rg:[]")</f>
        <v>rg:[ { 'req' : 'id'} ]</v>
      </c>
    </row>
    <row r="135" spans="1:21" x14ac:dyDescent="0.3">
      <c r="A135" s="3" t="s">
        <v>132</v>
      </c>
      <c r="B135" s="3" t="s">
        <v>10</v>
      </c>
      <c r="C135" s="3"/>
      <c r="D135" s="3" t="s">
        <v>105</v>
      </c>
      <c r="E135" s="3" t="s">
        <v>142</v>
      </c>
      <c r="F135" s="3" t="s">
        <v>7</v>
      </c>
      <c r="G135" s="4"/>
      <c r="H135" s="5" t="str">
        <f t="shared" si="2"/>
        <v>Defs</v>
      </c>
      <c r="I135" t="str">
        <f>IF(Table2[[#This Row],[!Type]]=I$1, I$1,"rg:None")</f>
        <v>rg:None</v>
      </c>
      <c r="J135" t="str">
        <f>IF(Table2[[#This Row],[!Type]]=J$1, J$1,"rg:None")</f>
        <v>rg:None</v>
      </c>
      <c r="K135" t="str">
        <f>IF(Table2[[#This Row],[!Type]]=K$1, K$1,"rg:None")</f>
        <v>rg:None</v>
      </c>
      <c r="L135" s="10" t="str">
        <f>IF(Table2[[#This Row],[!Type]]=L$1, L$1,"rg:None")</f>
        <v>rg:None</v>
      </c>
      <c r="M135" s="5" t="str">
        <f>IF(Table2[[#This Row],[!Type]]=M$1, M$1,"rg:None")</f>
        <v>rg:None</v>
      </c>
      <c r="N135" s="5" t="str">
        <f>IF(Table2[[#This Row],[!Type]]=N$1, N$1,"rg:None")</f>
        <v>rg:None</v>
      </c>
      <c r="O135" s="5" t="str">
        <f>IF(Table2[[#This Row],[!Type]]=O$1, O$1,"rg:None")</f>
        <v>string</v>
      </c>
      <c r="P135" s="5" t="str">
        <f>IF(Table2[[#This Row],[!Type]]=P$1, P$1,"rg:None")</f>
        <v>rg:None</v>
      </c>
      <c r="Q135" s="10" t="str">
        <f>IF(LEN(Table2[[#This Row],[!Length]]) &gt; 0, Table2[[#This Row],[!Length]], "rg:None")</f>
        <v>rg:None</v>
      </c>
      <c r="R135" s="10" t="str">
        <f>IF(LEN(Table2[[#This Row],[!Name]]) &gt; 0, Table2[[#This Row],[!Name]], "rg:None")</f>
        <v>notes</v>
      </c>
      <c r="S135" s="10" t="str">
        <f>IF(LEN(Table2[[#This Row],[!Description]]) &gt; 0, Table2[[#This Row],[!Description]], "rg:None")</f>
        <v>A note about the inspection independent of what goes into the RIP inspection - this is just for the School Bus application.</v>
      </c>
      <c r="T135" s="10" t="str">
        <f>IF(LEN(Table2[[#This Row],[!FK]])&gt;0,Table2[[#This Row],[!FK]],"rg:None")</f>
        <v>rg:None</v>
      </c>
      <c r="U135" s="10" t="str">
        <f>IF(LEN(concatif2(A:A,Table2[[#This Row],[!Table]],G:G,"Y",D:D,",")) &gt; 0,"rg:[ { 'req' : '"&amp;concatif2(A:A,Table2[[#This Row],[!Table]],G:G,"Y",D:D,"' }, { 'req': '")&amp;"'} ]","rg:[]")</f>
        <v>rg:[ { 'req' : 'id'} ]</v>
      </c>
    </row>
    <row r="136" spans="1:21" x14ac:dyDescent="0.3">
      <c r="A136" s="3" t="s">
        <v>132</v>
      </c>
      <c r="B136" s="3" t="s">
        <v>10</v>
      </c>
      <c r="C136" s="3"/>
      <c r="D136" s="3" t="s">
        <v>41</v>
      </c>
      <c r="E136" s="3" t="s">
        <v>254</v>
      </c>
      <c r="F136" s="3" t="s">
        <v>7</v>
      </c>
      <c r="G136" s="4"/>
      <c r="H136" s="5" t="str">
        <f t="shared" si="2"/>
        <v>Defs</v>
      </c>
      <c r="I136" t="str">
        <f>IF(Table2[[#This Row],[!Type]]=I$1, I$1,"rg:None")</f>
        <v>rg:None</v>
      </c>
      <c r="J136" t="str">
        <f>IF(Table2[[#This Row],[!Type]]=J$1, J$1,"rg:None")</f>
        <v>rg:None</v>
      </c>
      <c r="K136" t="str">
        <f>IF(Table2[[#This Row],[!Type]]=K$1, K$1,"rg:None")</f>
        <v>rg:None</v>
      </c>
      <c r="L136" s="10" t="str">
        <f>IF(Table2[[#This Row],[!Type]]=L$1, L$1,"rg:None")</f>
        <v>rg:None</v>
      </c>
      <c r="M136" s="5" t="str">
        <f>IF(Table2[[#This Row],[!Type]]=M$1, M$1,"rg:None")</f>
        <v>rg:None</v>
      </c>
      <c r="N136" s="5" t="str">
        <f>IF(Table2[[#This Row],[!Type]]=N$1, N$1,"rg:None")</f>
        <v>rg:None</v>
      </c>
      <c r="O136" s="5" t="str">
        <f>IF(Table2[[#This Row],[!Type]]=O$1, O$1,"rg:None")</f>
        <v>string</v>
      </c>
      <c r="P136" s="5" t="str">
        <f>IF(Table2[[#This Row],[!Type]]=P$1, P$1,"rg:None")</f>
        <v>rg:None</v>
      </c>
      <c r="Q136" s="10" t="str">
        <f>IF(LEN(Table2[[#This Row],[!Length]]) &gt; 0, Table2[[#This Row],[!Length]], "rg:None")</f>
        <v>rg:None</v>
      </c>
      <c r="R136" s="10" t="str">
        <f>IF(LEN(Table2[[#This Row],[!Name]]) &gt; 0, Table2[[#This Row],[!Name]], "rg:None")</f>
        <v>restrictions</v>
      </c>
      <c r="S136" s="10" t="str">
        <f>IF(LEN(Table2[[#This Row],[!Description]]) &gt; 0, Table2[[#This Row],[!Description]], "rg:None")</f>
        <v>The Restrictions text from the School Bus record. This is visible on the Inspections screen as a convenience for adjusting it prior to printing the Permit Page.</v>
      </c>
      <c r="T136" s="10" t="str">
        <f>IF(LEN(Table2[[#This Row],[!FK]])&gt;0,Table2[[#This Row],[!FK]],"rg:None")</f>
        <v>rg:None</v>
      </c>
      <c r="U136" s="10" t="str">
        <f>IF(LEN(concatif2(A:A,Table2[[#This Row],[!Table]],G:G,"Y",D:D,",")) &gt; 0,"rg:[ { 'req' : '"&amp;concatif2(A:A,Table2[[#This Row],[!Table]],G:G,"Y",D:D,"' }, { 'req': '")&amp;"'} ]","rg:[]")</f>
        <v>rg:[ { 'req' : 'id'} ]</v>
      </c>
    </row>
    <row r="137" spans="1:21" x14ac:dyDescent="0.3">
      <c r="A137" s="3" t="s">
        <v>132</v>
      </c>
      <c r="B137" s="3" t="s">
        <v>10</v>
      </c>
      <c r="C137" s="3"/>
      <c r="D137" s="3" t="s">
        <v>212</v>
      </c>
      <c r="E137" s="3" t="s">
        <v>143</v>
      </c>
      <c r="F137" s="3" t="s">
        <v>7</v>
      </c>
      <c r="G137" s="4"/>
      <c r="H137" s="5" t="str">
        <f t="shared" si="2"/>
        <v>Defs</v>
      </c>
      <c r="I137" t="str">
        <f>IF(Table2[[#This Row],[!Type]]=I$1, I$1,"rg:None")</f>
        <v>rg:None</v>
      </c>
      <c r="J137" t="str">
        <f>IF(Table2[[#This Row],[!Type]]=J$1, J$1,"rg:None")</f>
        <v>rg:None</v>
      </c>
      <c r="K137" t="str">
        <f>IF(Table2[[#This Row],[!Type]]=K$1, K$1,"rg:None")</f>
        <v>rg:None</v>
      </c>
      <c r="L137" s="10" t="str">
        <f>IF(Table2[[#This Row],[!Type]]=L$1, L$1,"rg:None")</f>
        <v>rg:None</v>
      </c>
      <c r="M137" s="5" t="str">
        <f>IF(Table2[[#This Row],[!Type]]=M$1, M$1,"rg:None")</f>
        <v>rg:None</v>
      </c>
      <c r="N137" s="5" t="str">
        <f>IF(Table2[[#This Row],[!Type]]=N$1, N$1,"rg:None")</f>
        <v>rg:None</v>
      </c>
      <c r="O137" s="5" t="str">
        <f>IF(Table2[[#This Row],[!Type]]=O$1, O$1,"rg:None")</f>
        <v>string</v>
      </c>
      <c r="P137" s="5" t="str">
        <f>IF(Table2[[#This Row],[!Type]]=P$1, P$1,"rg:None")</f>
        <v>rg:None</v>
      </c>
      <c r="Q137" s="10" t="str">
        <f>IF(LEN(Table2[[#This Row],[!Length]]) &gt; 0, Table2[[#This Row],[!Length]], "rg:None")</f>
        <v>rg:None</v>
      </c>
      <c r="R137" s="10" t="str">
        <f>IF(LEN(Table2[[#This Row],[!Name]]) &gt; 0, Table2[[#This Row],[!Name]], "rg:None")</f>
        <v>RIPInspectionId</v>
      </c>
      <c r="S137" s="10" t="str">
        <f>IF(LEN(Table2[[#This Row],[!Description]]) &gt; 0, Table2[[#This Row],[!Description]], "rg:None")</f>
        <v>The ID of the RIP inspection. The expectation is that the user will manually enter a RIP ID such that an external URL can be formed to allow the user to open the RIP inspection and see the inspection details.</v>
      </c>
      <c r="T137" s="10" t="str">
        <f>IF(LEN(Table2[[#This Row],[!FK]])&gt;0,Table2[[#This Row],[!FK]],"rg:None")</f>
        <v>rg:None</v>
      </c>
      <c r="U137" s="10" t="str">
        <f>IF(LEN(concatif2(A:A,Table2[[#This Row],[!Table]],G:G,"Y",D:D,",")) &gt; 0,"rg:[ { 'req' : '"&amp;concatif2(A:A,Table2[[#This Row],[!Table]],G:G,"Y",D:D,"' }, { 'req': '")&amp;"'} ]","rg:[]")</f>
        <v>rg:[ { 'req' : 'id'} ]</v>
      </c>
    </row>
    <row r="138" spans="1:21" x14ac:dyDescent="0.3">
      <c r="A138" s="24" t="s">
        <v>132</v>
      </c>
      <c r="B138" s="24" t="s">
        <v>43</v>
      </c>
      <c r="C138" s="3"/>
      <c r="D138" s="24" t="s">
        <v>315</v>
      </c>
      <c r="E138" s="25" t="s">
        <v>316</v>
      </c>
      <c r="F138" s="6"/>
      <c r="G138" s="19"/>
      <c r="H138" s="4" t="str">
        <f>IF(LEN(A138) &gt; 0,"Defs","-")</f>
        <v>Defs</v>
      </c>
      <c r="I138" s="16" t="str">
        <f>IF(Table2[[#This Row],[!Type]]=I$1, I$1,"rg:None")</f>
        <v>rg:None</v>
      </c>
      <c r="J138" s="16" t="str">
        <f>IF(Table2[[#This Row],[!Type]]=J$1, J$1,"rg:None")</f>
        <v>datetime</v>
      </c>
      <c r="K138" s="16" t="str">
        <f>IF(Table2[[#This Row],[!Type]]=K$1, K$1,"rg:None")</f>
        <v>rg:None</v>
      </c>
      <c r="L138" s="16"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16" t="str">
        <f>IF(LEN(Table2[[#This Row],[!Length]]) &gt; 0, Table2[[#This Row],[!Length]], "rg:None")</f>
        <v>rg:None</v>
      </c>
      <c r="R138" s="16" t="str">
        <f>IF(LEN(Table2[[#This Row],[!Name]]) &gt; 0, Table2[[#This Row],[!Name]], "rg:None")</f>
        <v>createdDate</v>
      </c>
      <c r="S138" s="16" t="str">
        <f>IF(LEN(Table2[[#This Row],[!Description]]) &gt; 0, Table2[[#This Row],[!Description]], "rg:None")</f>
        <v>Record creation date</v>
      </c>
      <c r="T138" s="16" t="str">
        <f>IF(LEN(Table2[[#This Row],[!FK]])&gt;0,Table2[[#This Row],[!FK]],"rg:None")</f>
        <v>rg:None</v>
      </c>
      <c r="U138" s="16" t="str">
        <f>IF(LEN(concatif2(A:A,Table2[[#This Row],[!Table]],G:G,"Y",D:D,",")) &gt; 0,"rg:[ { 'req' : '"&amp;concatif2(A:A,Table2[[#This Row],[!Table]],G:G,"Y",D:D,"' }, { 'req': '")&amp;"'} ]","rg:[]")</f>
        <v>rg:[ { 'req' : 'id'} ]</v>
      </c>
    </row>
    <row r="139" spans="1:21" x14ac:dyDescent="0.3">
      <c r="A139" s="3" t="s">
        <v>144</v>
      </c>
      <c r="B139" s="3" t="s">
        <v>5</v>
      </c>
      <c r="C139" s="3"/>
      <c r="D139" s="3" t="s">
        <v>144</v>
      </c>
      <c r="E139" s="3" t="s">
        <v>250</v>
      </c>
      <c r="F139" s="3" t="s">
        <v>7</v>
      </c>
      <c r="G139" s="4"/>
      <c r="H139" s="5" t="str">
        <f t="shared" si="2"/>
        <v>Defs</v>
      </c>
      <c r="I139" t="str">
        <f>IF(Table2[[#This Row],[!Type]]=I$1, I$1,"rg:None")</f>
        <v>rg:None</v>
      </c>
      <c r="J139" t="str">
        <f>IF(Table2[[#This Row],[!Type]]=J$1, J$1,"rg:None")</f>
        <v>rg:None</v>
      </c>
      <c r="K139" t="str">
        <f>IF(Table2[[#This Row],[!Type]]=K$1, K$1,"rg:None")</f>
        <v>rg:None</v>
      </c>
      <c r="L139" s="10" t="str">
        <f>IF(Table2[[#This Row],[!Type]]=L$1, L$1,"rg:None")</f>
        <v>rg:None</v>
      </c>
      <c r="M139" s="5" t="str">
        <f>IF(Table2[[#This Row],[!Type]]=M$1, M$1,"rg:None")</f>
        <v>rg:None</v>
      </c>
      <c r="N139" s="5" t="str">
        <f>IF(Table2[[#This Row],[!Type]]=N$1, N$1,"rg:None")</f>
        <v>rg:None</v>
      </c>
      <c r="O139" s="5" t="str">
        <f>IF(Table2[[#This Row],[!Type]]=O$1, O$1,"rg:None")</f>
        <v>rg:None</v>
      </c>
      <c r="P139" s="5" t="str">
        <f>IF(Table2[[#This Row],[!Type]]=P$1, P$1,"rg:None")</f>
        <v>table</v>
      </c>
      <c r="Q139" s="10" t="str">
        <f>IF(LEN(Table2[[#This Row],[!Length]]) &gt; 0, Table2[[#This Row],[!Length]], "rg:None")</f>
        <v>rg:None</v>
      </c>
      <c r="R139" s="10" t="str">
        <f>IF(LEN(Table2[[#This Row],[!Name]]) &gt; 0, Table2[[#This Row],[!Name]], "rg:None")</f>
        <v>UserFavourite</v>
      </c>
      <c r="S139" s="10" t="str">
        <f>IF(LEN(Table2[[#This Row],[!Description]]) &gt; 0, Table2[[#This Row],[!Description]], "rg:None")</f>
        <v>User specific settings for a specific location in the UI. The location and saved settings are internally defined by the UI.</v>
      </c>
      <c r="T139" s="10" t="str">
        <f>IF(LEN(Table2[[#This Row],[!FK]])&gt;0,Table2[[#This Row],[!FK]],"rg:None")</f>
        <v>rg:None</v>
      </c>
      <c r="U139" s="10" t="str">
        <f>IF(LEN(concatif2(A:A,Table2[[#This Row],[!Table]],G:G,"Y",D:D,",")) &gt; 0,"rg:[ { 'req' : '"&amp;concatif2(A:A,Table2[[#This Row],[!Table]],G:G,"Y",D:D,"' }, { 'req': '")&amp;"'} ]","rg:[]")</f>
        <v>rg:[ { 'req' : 'id'} ]</v>
      </c>
    </row>
    <row r="140" spans="1:21" x14ac:dyDescent="0.3">
      <c r="A140" s="3" t="s">
        <v>144</v>
      </c>
      <c r="B140" s="3" t="s">
        <v>8</v>
      </c>
      <c r="C140" s="3"/>
      <c r="D140" s="3" t="s">
        <v>8</v>
      </c>
      <c r="E140" s="3" t="s">
        <v>9</v>
      </c>
      <c r="F140" s="3" t="s">
        <v>7</v>
      </c>
      <c r="G140" s="4" t="s">
        <v>211</v>
      </c>
      <c r="H140" s="5" t="str">
        <f t="shared" si="2"/>
        <v>Defs</v>
      </c>
      <c r="I140" t="str">
        <f>IF(Table2[[#This Row],[!Type]]=I$1, I$1,"rg:None")</f>
        <v>rg:None</v>
      </c>
      <c r="J140" t="str">
        <f>IF(Table2[[#This Row],[!Type]]=J$1, J$1,"rg:None")</f>
        <v>rg:None</v>
      </c>
      <c r="K140" t="str">
        <f>IF(Table2[[#This Row],[!Type]]=K$1, K$1,"rg:None")</f>
        <v>id</v>
      </c>
      <c r="L140" s="10" t="str">
        <f>IF(Table2[[#This Row],[!Type]]=L$1, L$1,"rg:None")</f>
        <v>rg:None</v>
      </c>
      <c r="M140" s="5" t="str">
        <f>IF(Table2[[#This Row],[!Type]]=M$1, M$1,"rg:None")</f>
        <v>rg:None</v>
      </c>
      <c r="N140" s="5" t="str">
        <f>IF(Table2[[#This Row],[!Type]]=N$1, N$1,"rg:None")</f>
        <v>rg:None</v>
      </c>
      <c r="O140" s="5" t="str">
        <f>IF(Table2[[#This Row],[!Type]]=O$1, O$1,"rg:None")</f>
        <v>rg:None</v>
      </c>
      <c r="P140" s="5" t="str">
        <f>IF(Table2[[#This Row],[!Type]]=P$1, P$1,"rg:None")</f>
        <v>rg:None</v>
      </c>
      <c r="Q140" s="10" t="str">
        <f>IF(LEN(Table2[[#This Row],[!Length]]) &gt; 0, Table2[[#This Row],[!Length]], "rg:None")</f>
        <v>rg:None</v>
      </c>
      <c r="R140" s="10" t="str">
        <f>IF(LEN(Table2[[#This Row],[!Name]]) &gt; 0, Table2[[#This Row],[!Name]], "rg:None")</f>
        <v>id</v>
      </c>
      <c r="S140" s="10" t="str">
        <f>IF(LEN(Table2[[#This Row],[!Description]]) &gt; 0, Table2[[#This Row],[!Description]], "rg:None")</f>
        <v>Primary Key</v>
      </c>
      <c r="T140" s="10" t="str">
        <f>IF(LEN(Table2[[#This Row],[!FK]])&gt;0,Table2[[#This Row],[!FK]],"rg:None")</f>
        <v>rg:None</v>
      </c>
      <c r="U140" s="10" t="str">
        <f>IF(LEN(concatif2(A:A,Table2[[#This Row],[!Table]],G:G,"Y",D:D,",")) &gt; 0,"rg:[ { 'req' : '"&amp;concatif2(A:A,Table2[[#This Row],[!Table]],G:G,"Y",D:D,"' }, { 'req': '")&amp;"'} ]","rg:[]")</f>
        <v>rg:[ { 'req' : 'id'} ]</v>
      </c>
    </row>
    <row r="141" spans="1:21" x14ac:dyDescent="0.3">
      <c r="A141" s="3" t="s">
        <v>144</v>
      </c>
      <c r="B141" s="3" t="s">
        <v>10</v>
      </c>
      <c r="C141" s="3"/>
      <c r="D141" s="20" t="s">
        <v>111</v>
      </c>
      <c r="E141" s="21" t="s">
        <v>314</v>
      </c>
      <c r="F141" s="6"/>
      <c r="G141" s="19"/>
      <c r="H141" s="4" t="str">
        <f>IF(LEN(A141) &gt; 0,"Defs","-")</f>
        <v>Defs</v>
      </c>
      <c r="I141" s="16" t="str">
        <f>IF(Table2[[#This Row],[!Type]]=I$1, I$1,"rg:None")</f>
        <v>rg:None</v>
      </c>
      <c r="J141" s="16" t="str">
        <f>IF(Table2[[#This Row],[!Type]]=J$1, J$1,"rg:None")</f>
        <v>rg:None</v>
      </c>
      <c r="K141" s="16" t="str">
        <f>IF(Table2[[#This Row],[!Type]]=K$1, K$1,"rg:None")</f>
        <v>rg:None</v>
      </c>
      <c r="L141" s="16" t="str">
        <f>IF(Table2[[#This Row],[!Type]]=L$1, L$1,"rg:None")</f>
        <v>rg:None</v>
      </c>
      <c r="M141" s="4" t="str">
        <f>IF(Table2[[#This Row],[!Type]]=M$1, M$1,"rg:None")</f>
        <v>rg:None</v>
      </c>
      <c r="N141" s="4" t="str">
        <f>IF(Table2[[#This Row],[!Type]]=N$1, N$1,"rg:None")</f>
        <v>rg:None</v>
      </c>
      <c r="O141" s="4" t="str">
        <f>IF(Table2[[#This Row],[!Type]]=O$1, O$1,"rg:None")</f>
        <v>string</v>
      </c>
      <c r="P141" s="4" t="str">
        <f>IF(Table2[[#This Row],[!Type]]=P$1, P$1,"rg:None")</f>
        <v>rg:None</v>
      </c>
      <c r="Q141" s="16" t="str">
        <f>IF(LEN(Table2[[#This Row],[!Length]]) &gt; 0, Table2[[#This Row],[!Length]], "rg:None")</f>
        <v>rg:None</v>
      </c>
      <c r="R141" s="16" t="str">
        <f>IF(LEN(Table2[[#This Row],[!Name]]) &gt; 0, Table2[[#This Row],[!Name]], "rg:None")</f>
        <v>type</v>
      </c>
      <c r="S141" s="16" t="str">
        <f>IF(LEN(Table2[[#This Row],[!Description]]) &gt; 0, Table2[[#This Row],[!Description]], "rg:None")</f>
        <v>The type of Favourite</v>
      </c>
      <c r="T141" s="16" t="str">
        <f>IF(LEN(Table2[[#This Row],[!FK]])&gt;0,Table2[[#This Row],[!FK]],"rg:None")</f>
        <v>rg:None</v>
      </c>
      <c r="U141" s="16" t="str">
        <f>IF(LEN(concatif2(A:A,Table2[[#This Row],[!Table]],G:G,"Y",D:D,",")) &gt; 0,"rg:[ { 'req' : '"&amp;concatif2(A:A,Table2[[#This Row],[!Table]],G:G,"Y",D:D,"' }, { 'req': '")&amp;"'} ]","rg:[]")</f>
        <v>rg:[ { 'req' : 'id'} ]</v>
      </c>
    </row>
    <row r="142" spans="1:21" x14ac:dyDescent="0.3">
      <c r="A142" s="3" t="s">
        <v>144</v>
      </c>
      <c r="B142" s="3" t="s">
        <v>10</v>
      </c>
      <c r="C142" s="3"/>
      <c r="D142" s="3" t="s">
        <v>84</v>
      </c>
      <c r="E142" s="3" t="s">
        <v>145</v>
      </c>
      <c r="F142" s="3" t="s">
        <v>7</v>
      </c>
      <c r="G142" s="4"/>
      <c r="H142" s="5" t="str">
        <f t="shared" si="2"/>
        <v>Defs</v>
      </c>
      <c r="I142" t="str">
        <f>IF(Table2[[#This Row],[!Type]]=I$1, I$1,"rg:None")</f>
        <v>rg:None</v>
      </c>
      <c r="J142" t="str">
        <f>IF(Table2[[#This Row],[!Type]]=J$1, J$1,"rg:None")</f>
        <v>rg:None</v>
      </c>
      <c r="K142" t="str">
        <f>IF(Table2[[#This Row],[!Type]]=K$1, K$1,"rg:None")</f>
        <v>rg:None</v>
      </c>
      <c r="L142" s="10" t="str">
        <f>IF(Table2[[#This Row],[!Type]]=L$1, L$1,"rg:None")</f>
        <v>rg:None</v>
      </c>
      <c r="M142" s="5" t="str">
        <f>IF(Table2[[#This Row],[!Type]]=M$1, M$1,"rg:None")</f>
        <v>rg:None</v>
      </c>
      <c r="N142" s="5" t="str">
        <f>IF(Table2[[#This Row],[!Type]]=N$1, N$1,"rg:None")</f>
        <v>rg:None</v>
      </c>
      <c r="O142" s="5" t="str">
        <f>IF(Table2[[#This Row],[!Type]]=O$1, O$1,"rg:None")</f>
        <v>string</v>
      </c>
      <c r="P142" s="5" t="str">
        <f>IF(Table2[[#This Row],[!Type]]=P$1, P$1,"rg:None")</f>
        <v>rg:None</v>
      </c>
      <c r="Q142" s="10" t="str">
        <f>IF(LEN(Table2[[#This Row],[!Length]]) &gt; 0, Table2[[#This Row],[!Length]], "rg:None")</f>
        <v>rg:None</v>
      </c>
      <c r="R142" s="10" t="str">
        <f>IF(LEN(Table2[[#This Row],[!Name]]) &gt; 0, Table2[[#This Row],[!Name]], "rg:None")</f>
        <v>name</v>
      </c>
      <c r="S142" s="10" t="str">
        <f>IF(LEN(Table2[[#This Row],[!Description]]) &gt; 0, Table2[[#This Row],[!Description]], "rg:None")</f>
        <v>The user-defined name for the recorded settings. Allows the user to save different groups of settings and access each one easily when needed.</v>
      </c>
      <c r="T142" s="10" t="str">
        <f>IF(LEN(Table2[[#This Row],[!FK]])&gt;0,Table2[[#This Row],[!FK]],"rg:None")</f>
        <v>rg:None</v>
      </c>
      <c r="U142" s="10" t="str">
        <f>IF(LEN(concatif2(A:A,Table2[[#This Row],[!Table]],G:G,"Y",D:D,",")) &gt; 0,"rg:[ { 'req' : '"&amp;concatif2(A:A,Table2[[#This Row],[!Table]],G:G,"Y",D:D,"' }, { 'req': '")&amp;"'} ]","rg:[]")</f>
        <v>rg:[ { 'req' : 'id'} ]</v>
      </c>
    </row>
    <row r="143" spans="1:21" x14ac:dyDescent="0.3">
      <c r="A143" s="3" t="s">
        <v>144</v>
      </c>
      <c r="B143" s="3" t="s">
        <v>10</v>
      </c>
      <c r="C143" s="3"/>
      <c r="D143" s="3" t="s">
        <v>146</v>
      </c>
      <c r="E143" s="3" t="s">
        <v>147</v>
      </c>
      <c r="F143" s="3" t="s">
        <v>7</v>
      </c>
      <c r="G143" s="4"/>
      <c r="H143" s="5" t="str">
        <f t="shared" si="2"/>
        <v>Defs</v>
      </c>
      <c r="I143" t="str">
        <f>IF(Table2[[#This Row],[!Type]]=I$1, I$1,"rg:None")</f>
        <v>rg:None</v>
      </c>
      <c r="J143" t="str">
        <f>IF(Table2[[#This Row],[!Type]]=J$1, J$1,"rg:None")</f>
        <v>rg:None</v>
      </c>
      <c r="K143" t="str">
        <f>IF(Table2[[#This Row],[!Type]]=K$1, K$1,"rg:None")</f>
        <v>rg:None</v>
      </c>
      <c r="L143" s="10" t="str">
        <f>IF(Table2[[#This Row],[!Type]]=L$1, L$1,"rg:None")</f>
        <v>rg:None</v>
      </c>
      <c r="M143" s="5" t="str">
        <f>IF(Table2[[#This Row],[!Type]]=M$1, M$1,"rg:None")</f>
        <v>rg:None</v>
      </c>
      <c r="N143" s="5" t="str">
        <f>IF(Table2[[#This Row],[!Type]]=N$1, N$1,"rg:None")</f>
        <v>rg:None</v>
      </c>
      <c r="O143" s="5" t="str">
        <f>IF(Table2[[#This Row],[!Type]]=O$1, O$1,"rg:None")</f>
        <v>string</v>
      </c>
      <c r="P143" s="5" t="str">
        <f>IF(Table2[[#This Row],[!Type]]=P$1, P$1,"rg:None")</f>
        <v>rg:None</v>
      </c>
      <c r="Q143" s="10" t="str">
        <f>IF(LEN(Table2[[#This Row],[!Length]]) &gt; 0, Table2[[#This Row],[!Length]], "rg:None")</f>
        <v>rg:None</v>
      </c>
      <c r="R143" s="10" t="str">
        <f>IF(LEN(Table2[[#This Row],[!Name]]) &gt; 0, Table2[[#This Row],[!Name]], "rg:None")</f>
        <v>value</v>
      </c>
      <c r="S143" s="10" t="str">
        <f>IF(LEN(Table2[[#This Row],[!Description]]) &gt; 0, Table2[[#This Row],[!Description]], "rg:None")</f>
        <v>The settings saved by the user. In general,  a UI defined chunk of json that stores the settings in place when the user created the favourite.</v>
      </c>
      <c r="T143" s="10" t="str">
        <f>IF(LEN(Table2[[#This Row],[!FK]])&gt;0,Table2[[#This Row],[!FK]],"rg:None")</f>
        <v>rg:None</v>
      </c>
      <c r="U143" s="10" t="str">
        <f>IF(LEN(concatif2(A:A,Table2[[#This Row],[!Table]],G:G,"Y",D:D,",")) &gt; 0,"rg:[ { 'req' : '"&amp;concatif2(A:A,Table2[[#This Row],[!Table]],G:G,"Y",D:D,"' }, { 'req': '")&amp;"'} ]","rg:[]")</f>
        <v>rg:[ { 'req' : 'id'} ]</v>
      </c>
    </row>
    <row r="144" spans="1:21" x14ac:dyDescent="0.3">
      <c r="A144" s="3" t="s">
        <v>144</v>
      </c>
      <c r="B144" s="3" t="s">
        <v>24</v>
      </c>
      <c r="C144" s="3"/>
      <c r="D144" s="3" t="s">
        <v>148</v>
      </c>
      <c r="E144" s="3" t="s">
        <v>149</v>
      </c>
      <c r="F144" s="3" t="s">
        <v>7</v>
      </c>
      <c r="G144" s="4"/>
      <c r="H144" s="5" t="str">
        <f t="shared" si="2"/>
        <v>Defs</v>
      </c>
      <c r="I144" t="str">
        <f>IF(Table2[[#This Row],[!Type]]=I$1, I$1,"rg:None")</f>
        <v>boolean</v>
      </c>
      <c r="J144" t="str">
        <f>IF(Table2[[#This Row],[!Type]]=J$1, J$1,"rg:None")</f>
        <v>rg:None</v>
      </c>
      <c r="K144" t="str">
        <f>IF(Table2[[#This Row],[!Type]]=K$1, K$1,"rg:None")</f>
        <v>rg:None</v>
      </c>
      <c r="L144" s="10" t="str">
        <f>IF(Table2[[#This Row],[!Type]]=L$1, L$1,"rg:None")</f>
        <v>rg:None</v>
      </c>
      <c r="M144" s="5" t="str">
        <f>IF(Table2[[#This Row],[!Type]]=M$1, M$1,"rg:None")</f>
        <v>rg:None</v>
      </c>
      <c r="N144" s="5" t="str">
        <f>IF(Table2[[#This Row],[!Type]]=N$1, N$1,"rg:None")</f>
        <v>rg:None</v>
      </c>
      <c r="O144" s="5" t="str">
        <f>IF(Table2[[#This Row],[!Type]]=O$1, O$1,"rg:None")</f>
        <v>rg:None</v>
      </c>
      <c r="P144" s="5" t="str">
        <f>IF(Table2[[#This Row],[!Type]]=P$1, P$1,"rg:None")</f>
        <v>rg:None</v>
      </c>
      <c r="Q144" s="10" t="str">
        <f>IF(LEN(Table2[[#This Row],[!Length]]) &gt; 0, Table2[[#This Row],[!Length]], "rg:None")</f>
        <v>rg:None</v>
      </c>
      <c r="R144" s="10" t="str">
        <f>IF(LEN(Table2[[#This Row],[!Name]]) &gt; 0, Table2[[#This Row],[!Name]], "rg:None")</f>
        <v>isDefault</v>
      </c>
      <c r="S144" s="10"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T144" s="10" t="str">
        <f>IF(LEN(Table2[[#This Row],[!FK]])&gt;0,Table2[[#This Row],[!FK]],"rg:None")</f>
        <v>rg:None</v>
      </c>
      <c r="U144" s="10" t="str">
        <f>IF(LEN(concatif2(A:A,Table2[[#This Row],[!Table]],G:G,"Y",D:D,",")) &gt; 0,"rg:[ { 'req' : '"&amp;concatif2(A:A,Table2[[#This Row],[!Table]],G:G,"Y",D:D,"' }, { 'req': '")&amp;"'} ]","rg:[]")</f>
        <v>rg:[ { 'req' : 'id'} ]</v>
      </c>
    </row>
    <row r="145" spans="1:21" x14ac:dyDescent="0.3">
      <c r="A145" s="3" t="s">
        <v>150</v>
      </c>
      <c r="B145" s="3" t="s">
        <v>5</v>
      </c>
      <c r="C145" s="3"/>
      <c r="D145" s="3" t="s">
        <v>150</v>
      </c>
      <c r="E145" s="3" t="s">
        <v>7</v>
      </c>
      <c r="F145" s="3" t="s">
        <v>7</v>
      </c>
      <c r="G145" s="4"/>
      <c r="H145" s="5" t="str">
        <f t="shared" si="2"/>
        <v>Defs</v>
      </c>
      <c r="I145" t="str">
        <f>IF(Table2[[#This Row],[!Type]]=I$1, I$1,"rg:None")</f>
        <v>rg:None</v>
      </c>
      <c r="J145" t="str">
        <f>IF(Table2[[#This Row],[!Type]]=J$1, J$1,"rg:None")</f>
        <v>rg:None</v>
      </c>
      <c r="K145" t="str">
        <f>IF(Table2[[#This Row],[!Type]]=K$1, K$1,"rg:None")</f>
        <v>rg:None</v>
      </c>
      <c r="L145" s="10" t="str">
        <f>IF(Table2[[#This Row],[!Type]]=L$1, L$1,"rg:None")</f>
        <v>rg:None</v>
      </c>
      <c r="M145" s="5" t="str">
        <f>IF(Table2[[#This Row],[!Type]]=M$1, M$1,"rg:None")</f>
        <v>rg:None</v>
      </c>
      <c r="N145" s="5" t="str">
        <f>IF(Table2[[#This Row],[!Type]]=N$1, N$1,"rg:None")</f>
        <v>rg:None</v>
      </c>
      <c r="O145" s="5" t="str">
        <f>IF(Table2[[#This Row],[!Type]]=O$1, O$1,"rg:None")</f>
        <v>rg:None</v>
      </c>
      <c r="P145" s="5" t="str">
        <f>IF(Table2[[#This Row],[!Type]]=P$1, P$1,"rg:None")</f>
        <v>table</v>
      </c>
      <c r="Q145" s="10" t="str">
        <f>IF(LEN(Table2[[#This Row],[!Length]]) &gt; 0, Table2[[#This Row],[!Length]], "rg:None")</f>
        <v>rg:None</v>
      </c>
      <c r="R145" s="10" t="str">
        <f>IF(LEN(Table2[[#This Row],[!Name]]) &gt; 0, Table2[[#This Row],[!Name]], "rg:None")</f>
        <v>Region</v>
      </c>
      <c r="S145" s="10" t="str">
        <f>IF(LEN(Table2[[#This Row],[!Description]]) &gt; 0, Table2[[#This Row],[!Description]], "rg:None")</f>
        <v>rg:None</v>
      </c>
      <c r="T145" s="10" t="str">
        <f>IF(LEN(Table2[[#This Row],[!FK]])&gt;0,Table2[[#This Row],[!FK]],"rg:None")</f>
        <v>rg:None</v>
      </c>
      <c r="U145" s="10" t="str">
        <f>IF(LEN(concatif2(A:A,Table2[[#This Row],[!Table]],G:G,"Y",D:D,",")) &gt; 0,"rg:[ { 'req' : '"&amp;concatif2(A:A,Table2[[#This Row],[!Table]],G:G,"Y",D:D,"' }, { 'req': '")&amp;"'} ]","rg:[]")</f>
        <v>rg:[ { 'req' : 'id'} ]</v>
      </c>
    </row>
    <row r="146" spans="1:21" x14ac:dyDescent="0.3">
      <c r="A146" s="3" t="s">
        <v>150</v>
      </c>
      <c r="B146" s="3" t="s">
        <v>8</v>
      </c>
      <c r="C146" s="3"/>
      <c r="D146" s="3" t="s">
        <v>8</v>
      </c>
      <c r="E146" s="3" t="s">
        <v>9</v>
      </c>
      <c r="F146" s="3" t="s">
        <v>7</v>
      </c>
      <c r="G146" s="4" t="s">
        <v>211</v>
      </c>
      <c r="H146" s="5" t="str">
        <f t="shared" si="2"/>
        <v>Defs</v>
      </c>
      <c r="I146" t="str">
        <f>IF(Table2[[#This Row],[!Type]]=I$1, I$1,"rg:None")</f>
        <v>rg:None</v>
      </c>
      <c r="J146" t="str">
        <f>IF(Table2[[#This Row],[!Type]]=J$1, J$1,"rg:None")</f>
        <v>rg:None</v>
      </c>
      <c r="K146" t="str">
        <f>IF(Table2[[#This Row],[!Type]]=K$1, K$1,"rg:None")</f>
        <v>id</v>
      </c>
      <c r="L146" s="10" t="str">
        <f>IF(Table2[[#This Row],[!Type]]=L$1, L$1,"rg:None")</f>
        <v>rg:None</v>
      </c>
      <c r="M146" s="5" t="str">
        <f>IF(Table2[[#This Row],[!Type]]=M$1, M$1,"rg:None")</f>
        <v>rg:None</v>
      </c>
      <c r="N146" s="5" t="str">
        <f>IF(Table2[[#This Row],[!Type]]=N$1, N$1,"rg:None")</f>
        <v>rg:None</v>
      </c>
      <c r="O146" s="5" t="str">
        <f>IF(Table2[[#This Row],[!Type]]=O$1, O$1,"rg:None")</f>
        <v>rg:None</v>
      </c>
      <c r="P146" s="5" t="str">
        <f>IF(Table2[[#This Row],[!Type]]=P$1, P$1,"rg:None")</f>
        <v>rg:None</v>
      </c>
      <c r="Q146" s="10" t="str">
        <f>IF(LEN(Table2[[#This Row],[!Length]]) &gt; 0, Table2[[#This Row],[!Length]], "rg:None")</f>
        <v>rg:None</v>
      </c>
      <c r="R146" s="10" t="str">
        <f>IF(LEN(Table2[[#This Row],[!Name]]) &gt; 0, Table2[[#This Row],[!Name]], "rg:None")</f>
        <v>id</v>
      </c>
      <c r="S146" s="10" t="str">
        <f>IF(LEN(Table2[[#This Row],[!Description]]) &gt; 0, Table2[[#This Row],[!Description]], "rg:None")</f>
        <v>Primary Key</v>
      </c>
      <c r="T146" s="10" t="str">
        <f>IF(LEN(Table2[[#This Row],[!FK]])&gt;0,Table2[[#This Row],[!FK]],"rg:None")</f>
        <v>rg:None</v>
      </c>
      <c r="U146" s="10" t="str">
        <f>IF(LEN(concatif2(A:A,Table2[[#This Row],[!Table]],G:G,"Y",D:D,",")) &gt; 0,"rg:[ { 'req' : '"&amp;concatif2(A:A,Table2[[#This Row],[!Table]],G:G,"Y",D:D,"' }, { 'req': '")&amp;"'} ]","rg:[]")</f>
        <v>rg:[ { 'req' : 'id'} ]</v>
      </c>
    </row>
    <row r="147" spans="1:21" x14ac:dyDescent="0.3">
      <c r="A147" s="3" t="s">
        <v>150</v>
      </c>
      <c r="B147" s="3" t="s">
        <v>62</v>
      </c>
      <c r="C147" s="3"/>
      <c r="D147" s="3" t="s">
        <v>151</v>
      </c>
      <c r="E147" s="3" t="s">
        <v>152</v>
      </c>
      <c r="F147" s="3" t="s">
        <v>7</v>
      </c>
      <c r="G147" s="4"/>
      <c r="H147" s="5" t="str">
        <f t="shared" si="2"/>
        <v>Defs</v>
      </c>
      <c r="I147" t="str">
        <f>IF(Table2[[#This Row],[!Type]]=I$1, I$1,"rg:None")</f>
        <v>rg:None</v>
      </c>
      <c r="J147" t="str">
        <f>IF(Table2[[#This Row],[!Type]]=J$1, J$1,"rg:None")</f>
        <v>rg:None</v>
      </c>
      <c r="K147" t="str">
        <f>IF(Table2[[#This Row],[!Type]]=K$1, K$1,"rg:None")</f>
        <v>rg:None</v>
      </c>
      <c r="L147" s="10" t="str">
        <f>IF(Table2[[#This Row],[!Type]]=L$1, L$1,"rg:None")</f>
        <v>integer</v>
      </c>
      <c r="M147" s="5" t="str">
        <f>IF(Table2[[#This Row],[!Type]]=M$1, M$1,"rg:None")</f>
        <v>rg:None</v>
      </c>
      <c r="N147" s="5" t="str">
        <f>IF(Table2[[#This Row],[!Type]]=N$1, N$1,"rg:None")</f>
        <v>rg:None</v>
      </c>
      <c r="O147" s="5" t="str">
        <f>IF(Table2[[#This Row],[!Type]]=O$1, O$1,"rg:None")</f>
        <v>rg:None</v>
      </c>
      <c r="P147" s="5" t="str">
        <f>IF(Table2[[#This Row],[!Type]]=P$1, P$1,"rg:None")</f>
        <v>rg:None</v>
      </c>
      <c r="Q147" s="10" t="str">
        <f>IF(LEN(Table2[[#This Row],[!Length]]) &gt; 0, Table2[[#This Row],[!Length]], "rg:None")</f>
        <v>rg:None</v>
      </c>
      <c r="R147" s="10" t="str">
        <f>IF(LEN(Table2[[#This Row],[!Name]]) &gt; 0, Table2[[#This Row],[!Name]], "rg:None")</f>
        <v>ministryRegionID</v>
      </c>
      <c r="S147" s="10" t="str">
        <f>IF(LEN(Table2[[#This Row],[!Description]]) &gt; 0, Table2[[#This Row],[!Description]], "rg:None")</f>
        <v>The Ministry ID for the Region</v>
      </c>
      <c r="T147" s="10" t="str">
        <f>IF(LEN(Table2[[#This Row],[!FK]])&gt;0,Table2[[#This Row],[!FK]],"rg:None")</f>
        <v>rg:None</v>
      </c>
      <c r="U147" s="10" t="str">
        <f>IF(LEN(concatif2(A:A,Table2[[#This Row],[!Table]],G:G,"Y",D:D,",")) &gt; 0,"rg:[ { 'req' : '"&amp;concatif2(A:A,Table2[[#This Row],[!Table]],G:G,"Y",D:D,"' }, { 'req': '")&amp;"'} ]","rg:[]")</f>
        <v>rg:[ { 'req' : 'id'} ]</v>
      </c>
    </row>
    <row r="148" spans="1:21" x14ac:dyDescent="0.3">
      <c r="A148" s="3" t="s">
        <v>150</v>
      </c>
      <c r="B148" s="3" t="s">
        <v>10</v>
      </c>
      <c r="C148" s="3"/>
      <c r="D148" s="3" t="s">
        <v>84</v>
      </c>
      <c r="E148" s="3" t="s">
        <v>153</v>
      </c>
      <c r="F148" s="3" t="s">
        <v>7</v>
      </c>
      <c r="G148" s="4"/>
      <c r="H148" s="5" t="str">
        <f t="shared" si="2"/>
        <v>Defs</v>
      </c>
      <c r="I148" t="str">
        <f>IF(Table2[[#This Row],[!Type]]=I$1, I$1,"rg:None")</f>
        <v>rg:None</v>
      </c>
      <c r="J148" t="str">
        <f>IF(Table2[[#This Row],[!Type]]=J$1, J$1,"rg:None")</f>
        <v>rg:None</v>
      </c>
      <c r="K148" t="str">
        <f>IF(Table2[[#This Row],[!Type]]=K$1, K$1,"rg:None")</f>
        <v>rg:None</v>
      </c>
      <c r="L148" s="10" t="str">
        <f>IF(Table2[[#This Row],[!Type]]=L$1, L$1,"rg:None")</f>
        <v>rg:None</v>
      </c>
      <c r="M148" s="5" t="str">
        <f>IF(Table2[[#This Row],[!Type]]=M$1, M$1,"rg:None")</f>
        <v>rg:None</v>
      </c>
      <c r="N148" s="5" t="str">
        <f>IF(Table2[[#This Row],[!Type]]=N$1, N$1,"rg:None")</f>
        <v>rg:None</v>
      </c>
      <c r="O148" s="5" t="str">
        <f>IF(Table2[[#This Row],[!Type]]=O$1, O$1,"rg:None")</f>
        <v>string</v>
      </c>
      <c r="P148" s="5" t="str">
        <f>IF(Table2[[#This Row],[!Type]]=P$1, P$1,"rg:None")</f>
        <v>rg:None</v>
      </c>
      <c r="Q148" s="10" t="str">
        <f>IF(LEN(Table2[[#This Row],[!Length]]) &gt; 0, Table2[[#This Row],[!Length]], "rg:None")</f>
        <v>rg:None</v>
      </c>
      <c r="R148" s="10" t="str">
        <f>IF(LEN(Table2[[#This Row],[!Name]]) &gt; 0, Table2[[#This Row],[!Name]], "rg:None")</f>
        <v>name</v>
      </c>
      <c r="S148" s="10" t="str">
        <f>IF(LEN(Table2[[#This Row],[!Description]]) &gt; 0, Table2[[#This Row],[!Description]], "rg:None")</f>
        <v>The name of the Region</v>
      </c>
      <c r="T148" s="10" t="str">
        <f>IF(LEN(Table2[[#This Row],[!FK]])&gt;0,Table2[[#This Row],[!FK]],"rg:None")</f>
        <v>rg:None</v>
      </c>
      <c r="U148" s="10" t="str">
        <f>IF(LEN(concatif2(A:A,Table2[[#This Row],[!Table]],G:G,"Y",D:D,",")) &gt; 0,"rg:[ { 'req' : '"&amp;concatif2(A:A,Table2[[#This Row],[!Table]],G:G,"Y",D:D,"' }, { 'req': '")&amp;"'} ]","rg:[]")</f>
        <v>rg:[ { 'req' : 'id'} ]</v>
      </c>
    </row>
    <row r="149" spans="1:21" x14ac:dyDescent="0.3">
      <c r="A149" s="3" t="s">
        <v>150</v>
      </c>
      <c r="B149" s="3" t="s">
        <v>43</v>
      </c>
      <c r="C149" s="3"/>
      <c r="D149" s="3" t="s">
        <v>154</v>
      </c>
      <c r="E149" s="3" t="s">
        <v>155</v>
      </c>
      <c r="F149" s="3" t="s">
        <v>7</v>
      </c>
      <c r="G149" s="4"/>
      <c r="H149" s="5" t="str">
        <f t="shared" si="2"/>
        <v>Defs</v>
      </c>
      <c r="I149" t="str">
        <f>IF(Table2[[#This Row],[!Type]]=I$1, I$1,"rg:None")</f>
        <v>rg:None</v>
      </c>
      <c r="J149" t="str">
        <f>IF(Table2[[#This Row],[!Type]]=J$1, J$1,"rg:None")</f>
        <v>datetime</v>
      </c>
      <c r="K149" t="str">
        <f>IF(Table2[[#This Row],[!Type]]=K$1, K$1,"rg:None")</f>
        <v>rg:None</v>
      </c>
      <c r="L149" s="10" t="str">
        <f>IF(Table2[[#This Row],[!Type]]=L$1, L$1,"rg:None")</f>
        <v>rg:None</v>
      </c>
      <c r="M149" s="5" t="str">
        <f>IF(Table2[[#This Row],[!Type]]=M$1, M$1,"rg:None")</f>
        <v>rg:None</v>
      </c>
      <c r="N149" s="5" t="str">
        <f>IF(Table2[[#This Row],[!Type]]=N$1, N$1,"rg:None")</f>
        <v>rg:None</v>
      </c>
      <c r="O149" s="5" t="str">
        <f>IF(Table2[[#This Row],[!Type]]=O$1, O$1,"rg:None")</f>
        <v>rg:None</v>
      </c>
      <c r="P149" s="5" t="str">
        <f>IF(Table2[[#This Row],[!Type]]=P$1, P$1,"rg:None")</f>
        <v>rg:None</v>
      </c>
      <c r="Q149" s="10" t="str">
        <f>IF(LEN(Table2[[#This Row],[!Length]]) &gt; 0, Table2[[#This Row],[!Length]], "rg:None")</f>
        <v>rg:None</v>
      </c>
      <c r="R149" s="10" t="str">
        <f>IF(LEN(Table2[[#This Row],[!Name]]) &gt; 0, Table2[[#This Row],[!Name]], "rg:None")</f>
        <v>startDate</v>
      </c>
      <c r="S149" s="10" t="str">
        <f>IF(LEN(Table2[[#This Row],[!Description]]) &gt; 0, Table2[[#This Row],[!Description]], "rg:None")</f>
        <v>The effective date of the Region - NOT CURRENTLY ENFORCED IN SCHOOL BUS</v>
      </c>
      <c r="T149" s="10" t="str">
        <f>IF(LEN(Table2[[#This Row],[!FK]])&gt;0,Table2[[#This Row],[!FK]],"rg:None")</f>
        <v>rg:None</v>
      </c>
      <c r="U149" s="10" t="str">
        <f>IF(LEN(concatif2(A:A,Table2[[#This Row],[!Table]],G:G,"Y",D:D,",")) &gt; 0,"rg:[ { 'req' : '"&amp;concatif2(A:A,Table2[[#This Row],[!Table]],G:G,"Y",D:D,"' }, { 'req': '")&amp;"'} ]","rg:[]")</f>
        <v>rg:[ { 'req' : 'id'} ]</v>
      </c>
    </row>
    <row r="150" spans="1:21" x14ac:dyDescent="0.3">
      <c r="A150" s="3" t="s">
        <v>150</v>
      </c>
      <c r="B150" s="3" t="s">
        <v>43</v>
      </c>
      <c r="C150" s="3"/>
      <c r="D150" s="3" t="s">
        <v>156</v>
      </c>
      <c r="E150" s="3" t="s">
        <v>157</v>
      </c>
      <c r="F150" s="3" t="s">
        <v>7</v>
      </c>
      <c r="G150" s="4"/>
      <c r="H150" s="5" t="str">
        <f t="shared" si="2"/>
        <v>Defs</v>
      </c>
      <c r="I150" t="str">
        <f>IF(Table2[[#This Row],[!Type]]=I$1, I$1,"rg:None")</f>
        <v>rg:None</v>
      </c>
      <c r="J150" t="str">
        <f>IF(Table2[[#This Row],[!Type]]=J$1, J$1,"rg:None")</f>
        <v>datetime</v>
      </c>
      <c r="K150" t="str">
        <f>IF(Table2[[#This Row],[!Type]]=K$1, K$1,"rg:None")</f>
        <v>rg:None</v>
      </c>
      <c r="L150" s="10" t="str">
        <f>IF(Table2[[#This Row],[!Type]]=L$1, L$1,"rg:None")</f>
        <v>rg:None</v>
      </c>
      <c r="M150" s="5" t="str">
        <f>IF(Table2[[#This Row],[!Type]]=M$1, M$1,"rg:None")</f>
        <v>rg:None</v>
      </c>
      <c r="N150" s="5" t="str">
        <f>IF(Table2[[#This Row],[!Type]]=N$1, N$1,"rg:None")</f>
        <v>rg:None</v>
      </c>
      <c r="O150" s="5" t="str">
        <f>IF(Table2[[#This Row],[!Type]]=O$1, O$1,"rg:None")</f>
        <v>rg:None</v>
      </c>
      <c r="P150" s="5" t="str">
        <f>IF(Table2[[#This Row],[!Type]]=P$1, P$1,"rg:None")</f>
        <v>rg:None</v>
      </c>
      <c r="Q150" s="10" t="str">
        <f>IF(LEN(Table2[[#This Row],[!Length]]) &gt; 0, Table2[[#This Row],[!Length]], "rg:None")</f>
        <v>rg:None</v>
      </c>
      <c r="R150" s="10" t="str">
        <f>IF(LEN(Table2[[#This Row],[!Name]]) &gt; 0, Table2[[#This Row],[!Name]], "rg:None")</f>
        <v>endDate</v>
      </c>
      <c r="S150" s="10" t="str">
        <f>IF(LEN(Table2[[#This Row],[!Description]]) &gt; 0, Table2[[#This Row],[!Description]], "rg:None")</f>
        <v>The end date of the Region; null if active - NOT CURRENTLY ENFORCED IN SCHOOL BUS</v>
      </c>
      <c r="T150" s="10" t="str">
        <f>IF(LEN(Table2[[#This Row],[!FK]])&gt;0,Table2[[#This Row],[!FK]],"rg:None")</f>
        <v>rg:None</v>
      </c>
      <c r="U150" s="10" t="str">
        <f>IF(LEN(concatif2(A:A,Table2[[#This Row],[!Table]],G:G,"Y",D:D,",")) &gt; 0,"rg:[ { 'req' : '"&amp;concatif2(A:A,Table2[[#This Row],[!Table]],G:G,"Y",D:D,"' }, { 'req': '")&amp;"'} ]","rg:[]")</f>
        <v>rg:[ { 'req' : 'id'} ]</v>
      </c>
    </row>
    <row r="151" spans="1:21" x14ac:dyDescent="0.3">
      <c r="A151" s="3" t="s">
        <v>158</v>
      </c>
      <c r="B151" s="3" t="s">
        <v>5</v>
      </c>
      <c r="C151" s="3"/>
      <c r="D151" s="3" t="s">
        <v>158</v>
      </c>
      <c r="E151" s="3" t="s">
        <v>7</v>
      </c>
      <c r="F151" s="3" t="s">
        <v>7</v>
      </c>
      <c r="G151" s="4"/>
      <c r="H151" s="5" t="str">
        <f t="shared" si="2"/>
        <v>Defs</v>
      </c>
      <c r="I151" t="str">
        <f>IF(Table2[[#This Row],[!Type]]=I$1, I$1,"rg:None")</f>
        <v>rg:None</v>
      </c>
      <c r="J151" t="str">
        <f>IF(Table2[[#This Row],[!Type]]=J$1, J$1,"rg:None")</f>
        <v>rg:None</v>
      </c>
      <c r="K151" t="str">
        <f>IF(Table2[[#This Row],[!Type]]=K$1, K$1,"rg:None")</f>
        <v>rg:None</v>
      </c>
      <c r="L151" s="10" t="str">
        <f>IF(Table2[[#This Row],[!Type]]=L$1, L$1,"rg:None")</f>
        <v>rg:None</v>
      </c>
      <c r="M151" s="5" t="str">
        <f>IF(Table2[[#This Row],[!Type]]=M$1, M$1,"rg:None")</f>
        <v>rg:None</v>
      </c>
      <c r="N151" s="5" t="str">
        <f>IF(Table2[[#This Row],[!Type]]=N$1, N$1,"rg:None")</f>
        <v>rg:None</v>
      </c>
      <c r="O151" s="5" t="str">
        <f>IF(Table2[[#This Row],[!Type]]=O$1, O$1,"rg:None")</f>
        <v>rg:None</v>
      </c>
      <c r="P151" s="5" t="str">
        <f>IF(Table2[[#This Row],[!Type]]=P$1, P$1,"rg:None")</f>
        <v>table</v>
      </c>
      <c r="Q151" s="10" t="str">
        <f>IF(LEN(Table2[[#This Row],[!Length]]) &gt; 0, Table2[[#This Row],[!Length]], "rg:None")</f>
        <v>rg:None</v>
      </c>
      <c r="R151" s="10" t="str">
        <f>IF(LEN(Table2[[#This Row],[!Name]]) &gt; 0, Table2[[#This Row],[!Name]], "rg:None")</f>
        <v>District</v>
      </c>
      <c r="S151" s="10" t="str">
        <f>IF(LEN(Table2[[#This Row],[!Description]]) &gt; 0, Table2[[#This Row],[!Description]], "rg:None")</f>
        <v>rg:None</v>
      </c>
      <c r="T151" s="10" t="str">
        <f>IF(LEN(Table2[[#This Row],[!FK]])&gt;0,Table2[[#This Row],[!FK]],"rg:None")</f>
        <v>rg:None</v>
      </c>
      <c r="U151" s="10" t="str">
        <f>IF(LEN(concatif2(A:A,Table2[[#This Row],[!Table]],G:G,"Y",D:D,",")) &gt; 0,"rg:[ { 'req' : '"&amp;concatif2(A:A,Table2[[#This Row],[!Table]],G:G,"Y",D:D,"' }, { 'req': '")&amp;"'} ]","rg:[]")</f>
        <v>rg:[ { 'req' : 'id'} ]</v>
      </c>
    </row>
    <row r="152" spans="1:21" x14ac:dyDescent="0.3">
      <c r="A152" s="3" t="s">
        <v>158</v>
      </c>
      <c r="B152" s="3" t="s">
        <v>8</v>
      </c>
      <c r="C152" s="3"/>
      <c r="D152" s="3" t="s">
        <v>8</v>
      </c>
      <c r="E152" s="3" t="s">
        <v>9</v>
      </c>
      <c r="F152" s="3" t="s">
        <v>7</v>
      </c>
      <c r="G152" s="4" t="s">
        <v>211</v>
      </c>
      <c r="H152" s="5" t="str">
        <f t="shared" si="2"/>
        <v>Defs</v>
      </c>
      <c r="I152" t="str">
        <f>IF(Table2[[#This Row],[!Type]]=I$1, I$1,"rg:None")</f>
        <v>rg:None</v>
      </c>
      <c r="J152" t="str">
        <f>IF(Table2[[#This Row],[!Type]]=J$1, J$1,"rg:None")</f>
        <v>rg:None</v>
      </c>
      <c r="K152" t="str">
        <f>IF(Table2[[#This Row],[!Type]]=K$1, K$1,"rg:None")</f>
        <v>id</v>
      </c>
      <c r="L152" s="10" t="str">
        <f>IF(Table2[[#This Row],[!Type]]=L$1, L$1,"rg:None")</f>
        <v>rg:None</v>
      </c>
      <c r="M152" s="5" t="str">
        <f>IF(Table2[[#This Row],[!Type]]=M$1, M$1,"rg:None")</f>
        <v>rg:None</v>
      </c>
      <c r="N152" s="5" t="str">
        <f>IF(Table2[[#This Row],[!Type]]=N$1, N$1,"rg:None")</f>
        <v>rg:None</v>
      </c>
      <c r="O152" s="5" t="str">
        <f>IF(Table2[[#This Row],[!Type]]=O$1, O$1,"rg:None")</f>
        <v>rg:None</v>
      </c>
      <c r="P152" s="5" t="str">
        <f>IF(Table2[[#This Row],[!Type]]=P$1, P$1,"rg:None")</f>
        <v>rg:None</v>
      </c>
      <c r="Q152" s="10" t="str">
        <f>IF(LEN(Table2[[#This Row],[!Length]]) &gt; 0, Table2[[#This Row],[!Length]], "rg:None")</f>
        <v>rg:None</v>
      </c>
      <c r="R152" s="10" t="str">
        <f>IF(LEN(Table2[[#This Row],[!Name]]) &gt; 0, Table2[[#This Row],[!Name]], "rg:None")</f>
        <v>id</v>
      </c>
      <c r="S152" s="10" t="str">
        <f>IF(LEN(Table2[[#This Row],[!Description]]) &gt; 0, Table2[[#This Row],[!Description]], "rg:None")</f>
        <v>Primary Key</v>
      </c>
      <c r="T152" s="10" t="str">
        <f>IF(LEN(Table2[[#This Row],[!FK]])&gt;0,Table2[[#This Row],[!FK]],"rg:None")</f>
        <v>rg:None</v>
      </c>
      <c r="U152" s="10" t="str">
        <f>IF(LEN(concatif2(A:A,Table2[[#This Row],[!Table]],G:G,"Y",D:D,",")) &gt; 0,"rg:[ { 'req' : '"&amp;concatif2(A:A,Table2[[#This Row],[!Table]],G:G,"Y",D:D,"' }, { 'req': '")&amp;"'} ]","rg:[]")</f>
        <v>rg:[ { 'req' : 'id'} ]</v>
      </c>
    </row>
    <row r="153" spans="1:21" x14ac:dyDescent="0.3">
      <c r="A153" s="3" t="s">
        <v>158</v>
      </c>
      <c r="B153" s="3" t="s">
        <v>62</v>
      </c>
      <c r="C153" s="3"/>
      <c r="D153" s="3" t="s">
        <v>159</v>
      </c>
      <c r="E153" s="3" t="s">
        <v>160</v>
      </c>
      <c r="F153" s="3" t="s">
        <v>7</v>
      </c>
      <c r="G153" s="4"/>
      <c r="H153" s="5" t="str">
        <f t="shared" si="2"/>
        <v>Defs</v>
      </c>
      <c r="I153" t="str">
        <f>IF(Table2[[#This Row],[!Type]]=I$1, I$1,"rg:None")</f>
        <v>rg:None</v>
      </c>
      <c r="J153" t="str">
        <f>IF(Table2[[#This Row],[!Type]]=J$1, J$1,"rg:None")</f>
        <v>rg:None</v>
      </c>
      <c r="K153" t="str">
        <f>IF(Table2[[#This Row],[!Type]]=K$1, K$1,"rg:None")</f>
        <v>rg:None</v>
      </c>
      <c r="L153" s="10" t="str">
        <f>IF(Table2[[#This Row],[!Type]]=L$1, L$1,"rg:None")</f>
        <v>integer</v>
      </c>
      <c r="M153" s="5" t="str">
        <f>IF(Table2[[#This Row],[!Type]]=M$1, M$1,"rg:None")</f>
        <v>rg:None</v>
      </c>
      <c r="N153" s="5" t="str">
        <f>IF(Table2[[#This Row],[!Type]]=N$1, N$1,"rg:None")</f>
        <v>rg:None</v>
      </c>
      <c r="O153" s="5" t="str">
        <f>IF(Table2[[#This Row],[!Type]]=O$1, O$1,"rg:None")</f>
        <v>rg:None</v>
      </c>
      <c r="P153" s="5" t="str">
        <f>IF(Table2[[#This Row],[!Type]]=P$1, P$1,"rg:None")</f>
        <v>rg:None</v>
      </c>
      <c r="Q153" s="10" t="str">
        <f>IF(LEN(Table2[[#This Row],[!Length]]) &gt; 0, Table2[[#This Row],[!Length]], "rg:None")</f>
        <v>rg:None</v>
      </c>
      <c r="R153" s="10" t="str">
        <f>IF(LEN(Table2[[#This Row],[!Name]]) &gt; 0, Table2[[#This Row],[!Name]], "rg:None")</f>
        <v>ministryDistrictID</v>
      </c>
      <c r="S153" s="10" t="str">
        <f>IF(LEN(Table2[[#This Row],[!Description]]) &gt; 0, Table2[[#This Row],[!Description]], "rg:None")</f>
        <v>The Ministry ID for the District</v>
      </c>
      <c r="T153" s="10" t="str">
        <f>IF(LEN(Table2[[#This Row],[!FK]])&gt;0,Table2[[#This Row],[!FK]],"rg:None")</f>
        <v>rg:None</v>
      </c>
      <c r="U153" s="10" t="str">
        <f>IF(LEN(concatif2(A:A,Table2[[#This Row],[!Table]],G:G,"Y",D:D,",")) &gt; 0,"rg:[ { 'req' : '"&amp;concatif2(A:A,Table2[[#This Row],[!Table]],G:G,"Y",D:D,"' }, { 'req': '")&amp;"'} ]","rg:[]")</f>
        <v>rg:[ { 'req' : 'id'} ]</v>
      </c>
    </row>
    <row r="154" spans="1:21" x14ac:dyDescent="0.3">
      <c r="A154" s="3" t="s">
        <v>158</v>
      </c>
      <c r="B154" s="3" t="s">
        <v>10</v>
      </c>
      <c r="C154" s="3"/>
      <c r="D154" s="3" t="s">
        <v>84</v>
      </c>
      <c r="E154" s="3" t="s">
        <v>161</v>
      </c>
      <c r="F154" s="3" t="s">
        <v>7</v>
      </c>
      <c r="G154" s="4"/>
      <c r="H154" s="5" t="str">
        <f t="shared" si="2"/>
        <v>Defs</v>
      </c>
      <c r="I154" t="str">
        <f>IF(Table2[[#This Row],[!Type]]=I$1, I$1,"rg:None")</f>
        <v>rg:None</v>
      </c>
      <c r="J154" t="str">
        <f>IF(Table2[[#This Row],[!Type]]=J$1, J$1,"rg:None")</f>
        <v>rg:None</v>
      </c>
      <c r="K154" t="str">
        <f>IF(Table2[[#This Row],[!Type]]=K$1, K$1,"rg:None")</f>
        <v>rg:None</v>
      </c>
      <c r="L154" s="10" t="str">
        <f>IF(Table2[[#This Row],[!Type]]=L$1, L$1,"rg:None")</f>
        <v>rg:None</v>
      </c>
      <c r="M154" s="5" t="str">
        <f>IF(Table2[[#This Row],[!Type]]=M$1, M$1,"rg:None")</f>
        <v>rg:None</v>
      </c>
      <c r="N154" s="5" t="str">
        <f>IF(Table2[[#This Row],[!Type]]=N$1, N$1,"rg:None")</f>
        <v>rg:None</v>
      </c>
      <c r="O154" s="5" t="str">
        <f>IF(Table2[[#This Row],[!Type]]=O$1, O$1,"rg:None")</f>
        <v>string</v>
      </c>
      <c r="P154" s="5" t="str">
        <f>IF(Table2[[#This Row],[!Type]]=P$1, P$1,"rg:None")</f>
        <v>rg:None</v>
      </c>
      <c r="Q154" s="10" t="str">
        <f>IF(LEN(Table2[[#This Row],[!Length]]) &gt; 0, Table2[[#This Row],[!Length]], "rg:None")</f>
        <v>rg:None</v>
      </c>
      <c r="R154" s="10" t="str">
        <f>IF(LEN(Table2[[#This Row],[!Name]]) &gt; 0, Table2[[#This Row],[!Name]], "rg:None")</f>
        <v>name</v>
      </c>
      <c r="S154" s="10" t="str">
        <f>IF(LEN(Table2[[#This Row],[!Description]]) &gt; 0, Table2[[#This Row],[!Description]], "rg:None")</f>
        <v>The name of the District</v>
      </c>
      <c r="T154" s="10" t="str">
        <f>IF(LEN(Table2[[#This Row],[!FK]])&gt;0,Table2[[#This Row],[!FK]],"rg:None")</f>
        <v>rg:None</v>
      </c>
      <c r="U154" s="10" t="str">
        <f>IF(LEN(concatif2(A:A,Table2[[#This Row],[!Table]],G:G,"Y",D:D,",")) &gt; 0,"rg:[ { 'req' : '"&amp;concatif2(A:A,Table2[[#This Row],[!Table]],G:G,"Y",D:D,"' }, { 'req': '")&amp;"'} ]","rg:[]")</f>
        <v>rg:[ { 'req' : 'id'} ]</v>
      </c>
    </row>
    <row r="155" spans="1:21" x14ac:dyDescent="0.3">
      <c r="A155" s="3" t="s">
        <v>158</v>
      </c>
      <c r="B155" s="3" t="s">
        <v>17</v>
      </c>
      <c r="C155" s="3"/>
      <c r="D155" s="3" t="s">
        <v>162</v>
      </c>
      <c r="E155" s="3" t="s">
        <v>163</v>
      </c>
      <c r="F155" s="3" t="s">
        <v>150</v>
      </c>
      <c r="G155" s="4"/>
      <c r="H155" s="5" t="str">
        <f t="shared" si="2"/>
        <v>Defs</v>
      </c>
      <c r="I155" t="str">
        <f>IF(Table2[[#This Row],[!Type]]=I$1, I$1,"rg:None")</f>
        <v>rg:None</v>
      </c>
      <c r="J155" t="str">
        <f>IF(Table2[[#This Row],[!Type]]=J$1, J$1,"rg:None")</f>
        <v>rg:None</v>
      </c>
      <c r="K155" t="str">
        <f>IF(Table2[[#This Row],[!Type]]=K$1, K$1,"rg:None")</f>
        <v>rg:None</v>
      </c>
      <c r="L155" s="10" t="str">
        <f>IF(Table2[[#This Row],[!Type]]=L$1, L$1,"rg:None")</f>
        <v>rg:None</v>
      </c>
      <c r="M155" s="5" t="str">
        <f>IF(Table2[[#This Row],[!Type]]=M$1, M$1,"rg:None")</f>
        <v>rg:None</v>
      </c>
      <c r="N155" s="5" t="str">
        <f>IF(Table2[[#This Row],[!Type]]=N$1, N$1,"rg:None")</f>
        <v>ref</v>
      </c>
      <c r="O155" s="5" t="str">
        <f>IF(Table2[[#This Row],[!Type]]=O$1, O$1,"rg:None")</f>
        <v>rg:None</v>
      </c>
      <c r="P155" s="5" t="str">
        <f>IF(Table2[[#This Row],[!Type]]=P$1, P$1,"rg:None")</f>
        <v>rg:None</v>
      </c>
      <c r="Q155" s="10" t="str">
        <f>IF(LEN(Table2[[#This Row],[!Length]]) &gt; 0, Table2[[#This Row],[!Length]], "rg:None")</f>
        <v>rg:None</v>
      </c>
      <c r="R155" s="10" t="str">
        <f>IF(LEN(Table2[[#This Row],[!Name]]) &gt; 0, Table2[[#This Row],[!Name]], "rg:None")</f>
        <v>region</v>
      </c>
      <c r="S155" s="10" t="str">
        <f>IF(LEN(Table2[[#This Row],[!Description]]) &gt; 0, Table2[[#This Row],[!Description]], "rg:None")</f>
        <v>The region in which the District is found.</v>
      </c>
      <c r="T155" s="10" t="str">
        <f>IF(LEN(Table2[[#This Row],[!FK]])&gt;0,Table2[[#This Row],[!FK]],"rg:None")</f>
        <v>Region</v>
      </c>
      <c r="U155" s="10" t="str">
        <f>IF(LEN(concatif2(A:A,Table2[[#This Row],[!Table]],G:G,"Y",D:D,",")) &gt; 0,"rg:[ { 'req' : '"&amp;concatif2(A:A,Table2[[#This Row],[!Table]],G:G,"Y",D:D,"' }, { 'req': '")&amp;"'} ]","rg:[]")</f>
        <v>rg:[ { 'req' : 'id'} ]</v>
      </c>
    </row>
    <row r="156" spans="1:21" x14ac:dyDescent="0.3">
      <c r="A156" s="3" t="s">
        <v>158</v>
      </c>
      <c r="B156" s="3" t="s">
        <v>43</v>
      </c>
      <c r="C156" s="3"/>
      <c r="D156" s="3" t="s">
        <v>154</v>
      </c>
      <c r="E156" s="3" t="s">
        <v>164</v>
      </c>
      <c r="F156" s="3" t="s">
        <v>7</v>
      </c>
      <c r="G156" s="4"/>
      <c r="H156" s="5" t="str">
        <f t="shared" si="2"/>
        <v>Defs</v>
      </c>
      <c r="I156" t="str">
        <f>IF(Table2[[#This Row],[!Type]]=I$1, I$1,"rg:None")</f>
        <v>rg:None</v>
      </c>
      <c r="J156" t="str">
        <f>IF(Table2[[#This Row],[!Type]]=J$1, J$1,"rg:None")</f>
        <v>datetime</v>
      </c>
      <c r="K156" t="str">
        <f>IF(Table2[[#This Row],[!Type]]=K$1, K$1,"rg:None")</f>
        <v>rg:None</v>
      </c>
      <c r="L156" s="10" t="str">
        <f>IF(Table2[[#This Row],[!Type]]=L$1, L$1,"rg:None")</f>
        <v>rg:None</v>
      </c>
      <c r="M156" s="5" t="str">
        <f>IF(Table2[[#This Row],[!Type]]=M$1, M$1,"rg:None")</f>
        <v>rg:None</v>
      </c>
      <c r="N156" s="5" t="str">
        <f>IF(Table2[[#This Row],[!Type]]=N$1, N$1,"rg:None")</f>
        <v>rg:None</v>
      </c>
      <c r="O156" s="5" t="str">
        <f>IF(Table2[[#This Row],[!Type]]=O$1, O$1,"rg:None")</f>
        <v>rg:None</v>
      </c>
      <c r="P156" s="5" t="str">
        <f>IF(Table2[[#This Row],[!Type]]=P$1, P$1,"rg:None")</f>
        <v>rg:None</v>
      </c>
      <c r="Q156" s="10" t="str">
        <f>IF(LEN(Table2[[#This Row],[!Length]]) &gt; 0, Table2[[#This Row],[!Length]], "rg:None")</f>
        <v>rg:None</v>
      </c>
      <c r="R156" s="10" t="str">
        <f>IF(LEN(Table2[[#This Row],[!Name]]) &gt; 0, Table2[[#This Row],[!Name]], "rg:None")</f>
        <v>startDate</v>
      </c>
      <c r="S156" s="10" t="str">
        <f>IF(LEN(Table2[[#This Row],[!Description]]) &gt; 0, Table2[[#This Row],[!Description]], "rg:None")</f>
        <v>The effective date of the District ID - NOT CURRENTLY ENFORCED IN SCHOOL BUS</v>
      </c>
      <c r="T156" s="10" t="str">
        <f>IF(LEN(Table2[[#This Row],[!FK]])&gt;0,Table2[[#This Row],[!FK]],"rg:None")</f>
        <v>rg:None</v>
      </c>
      <c r="U156" s="10" t="str">
        <f>IF(LEN(concatif2(A:A,Table2[[#This Row],[!Table]],G:G,"Y",D:D,",")) &gt; 0,"rg:[ { 'req' : '"&amp;concatif2(A:A,Table2[[#This Row],[!Table]],G:G,"Y",D:D,"' }, { 'req': '")&amp;"'} ]","rg:[]")</f>
        <v>rg:[ { 'req' : 'id'} ]</v>
      </c>
    </row>
    <row r="157" spans="1:21" x14ac:dyDescent="0.3">
      <c r="A157" s="3" t="s">
        <v>158</v>
      </c>
      <c r="B157" s="3" t="s">
        <v>43</v>
      </c>
      <c r="C157" s="3"/>
      <c r="D157" s="3" t="s">
        <v>156</v>
      </c>
      <c r="E157" s="3" t="s">
        <v>165</v>
      </c>
      <c r="F157" s="3" t="s">
        <v>7</v>
      </c>
      <c r="G157" s="4"/>
      <c r="H157" s="5" t="str">
        <f t="shared" si="2"/>
        <v>Defs</v>
      </c>
      <c r="I157" t="str">
        <f>IF(Table2[[#This Row],[!Type]]=I$1, I$1,"rg:None")</f>
        <v>rg:None</v>
      </c>
      <c r="J157" t="str">
        <f>IF(Table2[[#This Row],[!Type]]=J$1, J$1,"rg:None")</f>
        <v>datetime</v>
      </c>
      <c r="K157" t="str">
        <f>IF(Table2[[#This Row],[!Type]]=K$1, K$1,"rg:None")</f>
        <v>rg:None</v>
      </c>
      <c r="L157" s="10" t="str">
        <f>IF(Table2[[#This Row],[!Type]]=L$1, L$1,"rg:None")</f>
        <v>rg:None</v>
      </c>
      <c r="M157" s="5" t="str">
        <f>IF(Table2[[#This Row],[!Type]]=M$1, M$1,"rg:None")</f>
        <v>rg:None</v>
      </c>
      <c r="N157" s="5" t="str">
        <f>IF(Table2[[#This Row],[!Type]]=N$1, N$1,"rg:None")</f>
        <v>rg:None</v>
      </c>
      <c r="O157" s="5" t="str">
        <f>IF(Table2[[#This Row],[!Type]]=O$1, O$1,"rg:None")</f>
        <v>rg:None</v>
      </c>
      <c r="P157" s="5" t="str">
        <f>IF(Table2[[#This Row],[!Type]]=P$1, P$1,"rg:None")</f>
        <v>rg:None</v>
      </c>
      <c r="Q157" s="10" t="str">
        <f>IF(LEN(Table2[[#This Row],[!Length]]) &gt; 0, Table2[[#This Row],[!Length]], "rg:None")</f>
        <v>rg:None</v>
      </c>
      <c r="R157" s="10" t="str">
        <f>IF(LEN(Table2[[#This Row],[!Name]]) &gt; 0, Table2[[#This Row],[!Name]], "rg:None")</f>
        <v>endDate</v>
      </c>
      <c r="S157" s="10" t="str">
        <f>IF(LEN(Table2[[#This Row],[!Description]]) &gt; 0, Table2[[#This Row],[!Description]], "rg:None")</f>
        <v>The end date of the District; null if active - NOT CURRENTLY ENFORCED IN SCHOOL BUS</v>
      </c>
      <c r="T157" s="10" t="str">
        <f>IF(LEN(Table2[[#This Row],[!FK]])&gt;0,Table2[[#This Row],[!FK]],"rg:None")</f>
        <v>rg:None</v>
      </c>
      <c r="U157" s="10" t="str">
        <f>IF(LEN(concatif2(A:A,Table2[[#This Row],[!Table]],G:G,"Y",D:D,",")) &gt; 0,"rg:[ { 'req' : '"&amp;concatif2(A:A,Table2[[#This Row],[!Table]],G:G,"Y",D:D,"' }, { 'req': '")&amp;"'} ]","rg:[]")</f>
        <v>rg:[ { 'req' : 'id'} ]</v>
      </c>
    </row>
    <row r="158" spans="1:21" x14ac:dyDescent="0.3">
      <c r="A158" s="3" t="s">
        <v>27</v>
      </c>
      <c r="B158" s="3" t="s">
        <v>5</v>
      </c>
      <c r="C158" s="3"/>
      <c r="D158" s="3" t="s">
        <v>27</v>
      </c>
      <c r="E158" s="3" t="s">
        <v>7</v>
      </c>
      <c r="F158" s="3" t="s">
        <v>7</v>
      </c>
      <c r="G158" s="4"/>
      <c r="H158" s="5" t="str">
        <f t="shared" si="2"/>
        <v>Defs</v>
      </c>
      <c r="I158" t="str">
        <f>IF(Table2[[#This Row],[!Type]]=I$1, I$1,"rg:None")</f>
        <v>rg:None</v>
      </c>
      <c r="J158" t="str">
        <f>IF(Table2[[#This Row],[!Type]]=J$1, J$1,"rg:None")</f>
        <v>rg:None</v>
      </c>
      <c r="K158" t="str">
        <f>IF(Table2[[#This Row],[!Type]]=K$1, K$1,"rg:None")</f>
        <v>rg:None</v>
      </c>
      <c r="L158" s="10" t="str">
        <f>IF(Table2[[#This Row],[!Type]]=L$1, L$1,"rg:None")</f>
        <v>rg:None</v>
      </c>
      <c r="M158" s="5" t="str">
        <f>IF(Table2[[#This Row],[!Type]]=M$1, M$1,"rg:None")</f>
        <v>rg:None</v>
      </c>
      <c r="N158" s="5" t="str">
        <f>IF(Table2[[#This Row],[!Type]]=N$1, N$1,"rg:None")</f>
        <v>rg:None</v>
      </c>
      <c r="O158" s="5" t="str">
        <f>IF(Table2[[#This Row],[!Type]]=O$1, O$1,"rg:None")</f>
        <v>rg:None</v>
      </c>
      <c r="P158" s="5" t="str">
        <f>IF(Table2[[#This Row],[!Type]]=P$1, P$1,"rg:None")</f>
        <v>table</v>
      </c>
      <c r="Q158" s="10" t="str">
        <f>IF(LEN(Table2[[#This Row],[!Length]]) &gt; 0, Table2[[#This Row],[!Length]], "rg:None")</f>
        <v>rg:None</v>
      </c>
      <c r="R158" s="10" t="str">
        <f>IF(LEN(Table2[[#This Row],[!Name]]) &gt; 0, Table2[[#This Row],[!Name]], "rg:None")</f>
        <v>ServiceArea</v>
      </c>
      <c r="S158" s="10" t="str">
        <f>IF(LEN(Table2[[#This Row],[!Description]]) &gt; 0, Table2[[#This Row],[!Description]], "rg:None")</f>
        <v>rg:None</v>
      </c>
      <c r="T158" s="10" t="str">
        <f>IF(LEN(Table2[[#This Row],[!FK]])&gt;0,Table2[[#This Row],[!FK]],"rg:None")</f>
        <v>rg:None</v>
      </c>
      <c r="U158" s="10" t="str">
        <f>IF(LEN(concatif2(A:A,Table2[[#This Row],[!Table]],G:G,"Y",D:D,",")) &gt; 0,"rg:[ { 'req' : '"&amp;concatif2(A:A,Table2[[#This Row],[!Table]],G:G,"Y",D:D,"' }, { 'req': '")&amp;"'} ]","rg:[]")</f>
        <v>rg:[ { 'req' : 'id'} ]</v>
      </c>
    </row>
    <row r="159" spans="1:21" x14ac:dyDescent="0.3">
      <c r="A159" s="3" t="s">
        <v>27</v>
      </c>
      <c r="B159" s="3" t="s">
        <v>8</v>
      </c>
      <c r="C159" s="3"/>
      <c r="D159" s="3" t="s">
        <v>8</v>
      </c>
      <c r="E159" s="3" t="s">
        <v>9</v>
      </c>
      <c r="F159" s="3" t="s">
        <v>7</v>
      </c>
      <c r="G159" s="4" t="s">
        <v>211</v>
      </c>
      <c r="H159" s="5" t="str">
        <f t="shared" si="2"/>
        <v>Defs</v>
      </c>
      <c r="I159" t="str">
        <f>IF(Table2[[#This Row],[!Type]]=I$1, I$1,"rg:None")</f>
        <v>rg:None</v>
      </c>
      <c r="J159" t="str">
        <f>IF(Table2[[#This Row],[!Type]]=J$1, J$1,"rg:None")</f>
        <v>rg:None</v>
      </c>
      <c r="K159" t="str">
        <f>IF(Table2[[#This Row],[!Type]]=K$1, K$1,"rg:None")</f>
        <v>id</v>
      </c>
      <c r="L159" s="10" t="str">
        <f>IF(Table2[[#This Row],[!Type]]=L$1, L$1,"rg:None")</f>
        <v>rg:None</v>
      </c>
      <c r="M159" s="5" t="str">
        <f>IF(Table2[[#This Row],[!Type]]=M$1, M$1,"rg:None")</f>
        <v>rg:None</v>
      </c>
      <c r="N159" s="5" t="str">
        <f>IF(Table2[[#This Row],[!Type]]=N$1, N$1,"rg:None")</f>
        <v>rg:None</v>
      </c>
      <c r="O159" s="5" t="str">
        <f>IF(Table2[[#This Row],[!Type]]=O$1, O$1,"rg:None")</f>
        <v>rg:None</v>
      </c>
      <c r="P159" s="5" t="str">
        <f>IF(Table2[[#This Row],[!Type]]=P$1, P$1,"rg:None")</f>
        <v>rg:None</v>
      </c>
      <c r="Q159" s="10" t="str">
        <f>IF(LEN(Table2[[#This Row],[!Length]]) &gt; 0, Table2[[#This Row],[!Length]], "rg:None")</f>
        <v>rg:None</v>
      </c>
      <c r="R159" s="10" t="str">
        <f>IF(LEN(Table2[[#This Row],[!Name]]) &gt; 0, Table2[[#This Row],[!Name]], "rg:None")</f>
        <v>id</v>
      </c>
      <c r="S159" s="10" t="str">
        <f>IF(LEN(Table2[[#This Row],[!Description]]) &gt; 0, Table2[[#This Row],[!Description]], "rg:None")</f>
        <v>Primary Key</v>
      </c>
      <c r="T159" s="10" t="str">
        <f>IF(LEN(Table2[[#This Row],[!FK]])&gt;0,Table2[[#This Row],[!FK]],"rg:None")</f>
        <v>rg:None</v>
      </c>
      <c r="U159" s="10" t="str">
        <f>IF(LEN(concatif2(A:A,Table2[[#This Row],[!Table]],G:G,"Y",D:D,",")) &gt; 0,"rg:[ { 'req' : '"&amp;concatif2(A:A,Table2[[#This Row],[!Table]],G:G,"Y",D:D,"' }, { 'req': '")&amp;"'} ]","rg:[]")</f>
        <v>rg:[ { 'req' : 'id'} ]</v>
      </c>
    </row>
    <row r="160" spans="1:21" x14ac:dyDescent="0.3">
      <c r="A160" s="3" t="s">
        <v>27</v>
      </c>
      <c r="B160" s="3" t="s">
        <v>62</v>
      </c>
      <c r="C160" s="3"/>
      <c r="D160" s="3" t="s">
        <v>166</v>
      </c>
      <c r="E160" s="3" t="s">
        <v>167</v>
      </c>
      <c r="F160" s="3" t="s">
        <v>7</v>
      </c>
      <c r="G160" s="4"/>
      <c r="H160" s="5" t="str">
        <f t="shared" si="2"/>
        <v>Defs</v>
      </c>
      <c r="I160" t="str">
        <f>IF(Table2[[#This Row],[!Type]]=I$1, I$1,"rg:None")</f>
        <v>rg:None</v>
      </c>
      <c r="J160" t="str">
        <f>IF(Table2[[#This Row],[!Type]]=J$1, J$1,"rg:None")</f>
        <v>rg:None</v>
      </c>
      <c r="K160" t="str">
        <f>IF(Table2[[#This Row],[!Type]]=K$1, K$1,"rg:None")</f>
        <v>rg:None</v>
      </c>
      <c r="L160" s="10" t="str">
        <f>IF(Table2[[#This Row],[!Type]]=L$1, L$1,"rg:None")</f>
        <v>integer</v>
      </c>
      <c r="M160" s="5" t="str">
        <f>IF(Table2[[#This Row],[!Type]]=M$1, M$1,"rg:None")</f>
        <v>rg:None</v>
      </c>
      <c r="N160" s="5" t="str">
        <f>IF(Table2[[#This Row],[!Type]]=N$1, N$1,"rg:None")</f>
        <v>rg:None</v>
      </c>
      <c r="O160" s="5" t="str">
        <f>IF(Table2[[#This Row],[!Type]]=O$1, O$1,"rg:None")</f>
        <v>rg:None</v>
      </c>
      <c r="P160" s="5" t="str">
        <f>IF(Table2[[#This Row],[!Type]]=P$1, P$1,"rg:None")</f>
        <v>rg:None</v>
      </c>
      <c r="Q160" s="10" t="str">
        <f>IF(LEN(Table2[[#This Row],[!Length]]) &gt; 0, Table2[[#This Row],[!Length]], "rg:None")</f>
        <v>rg:None</v>
      </c>
      <c r="R160" s="10" t="str">
        <f>IF(LEN(Table2[[#This Row],[!Name]]) &gt; 0, Table2[[#This Row],[!Name]], "rg:None")</f>
        <v>ministryServiceAreaID</v>
      </c>
      <c r="S160" s="10" t="str">
        <f>IF(LEN(Table2[[#This Row],[!Description]]) &gt; 0, Table2[[#This Row],[!Description]], "rg:None")</f>
        <v>The Ministry ID for the Service Area</v>
      </c>
      <c r="T160" s="10" t="str">
        <f>IF(LEN(Table2[[#This Row],[!FK]])&gt;0,Table2[[#This Row],[!FK]],"rg:None")</f>
        <v>rg:None</v>
      </c>
      <c r="U160" s="10" t="str">
        <f>IF(LEN(concatif2(A:A,Table2[[#This Row],[!Table]],G:G,"Y",D:D,",")) &gt; 0,"rg:[ { 'req' : '"&amp;concatif2(A:A,Table2[[#This Row],[!Table]],G:G,"Y",D:D,"' }, { 'req': '")&amp;"'} ]","rg:[]")</f>
        <v>rg:[ { 'req' : 'id'} ]</v>
      </c>
    </row>
    <row r="161" spans="1:21" x14ac:dyDescent="0.3">
      <c r="A161" s="3" t="s">
        <v>27</v>
      </c>
      <c r="B161" s="3" t="s">
        <v>10</v>
      </c>
      <c r="C161" s="3"/>
      <c r="D161" s="3" t="s">
        <v>84</v>
      </c>
      <c r="E161" s="3" t="s">
        <v>168</v>
      </c>
      <c r="F161" s="3" t="s">
        <v>7</v>
      </c>
      <c r="G161" s="4"/>
      <c r="H161" s="5" t="str">
        <f t="shared" si="2"/>
        <v>Defs</v>
      </c>
      <c r="I161" t="str">
        <f>IF(Table2[[#This Row],[!Type]]=I$1, I$1,"rg:None")</f>
        <v>rg:None</v>
      </c>
      <c r="J161" t="str">
        <f>IF(Table2[[#This Row],[!Type]]=J$1, J$1,"rg:None")</f>
        <v>rg:None</v>
      </c>
      <c r="K161" t="str">
        <f>IF(Table2[[#This Row],[!Type]]=K$1, K$1,"rg:None")</f>
        <v>rg:None</v>
      </c>
      <c r="L161" s="10" t="str">
        <f>IF(Table2[[#This Row],[!Type]]=L$1, L$1,"rg:None")</f>
        <v>rg:None</v>
      </c>
      <c r="M161" s="5" t="str">
        <f>IF(Table2[[#This Row],[!Type]]=M$1, M$1,"rg:None")</f>
        <v>rg:None</v>
      </c>
      <c r="N161" s="5" t="str">
        <f>IF(Table2[[#This Row],[!Type]]=N$1, N$1,"rg:None")</f>
        <v>rg:None</v>
      </c>
      <c r="O161" s="5" t="str">
        <f>IF(Table2[[#This Row],[!Type]]=O$1, O$1,"rg:None")</f>
        <v>string</v>
      </c>
      <c r="P161" s="5" t="str">
        <f>IF(Table2[[#This Row],[!Type]]=P$1, P$1,"rg:None")</f>
        <v>rg:None</v>
      </c>
      <c r="Q161" s="10" t="str">
        <f>IF(LEN(Table2[[#This Row],[!Length]]) &gt; 0, Table2[[#This Row],[!Length]], "rg:None")</f>
        <v>rg:None</v>
      </c>
      <c r="R161" s="10" t="str">
        <f>IF(LEN(Table2[[#This Row],[!Name]]) &gt; 0, Table2[[#This Row],[!Name]], "rg:None")</f>
        <v>name</v>
      </c>
      <c r="S161" s="10" t="str">
        <f>IF(LEN(Table2[[#This Row],[!Description]]) &gt; 0, Table2[[#This Row],[!Description]], "rg:None")</f>
        <v>The name of the Service Area</v>
      </c>
      <c r="T161" s="10" t="str">
        <f>IF(LEN(Table2[[#This Row],[!FK]])&gt;0,Table2[[#This Row],[!FK]],"rg:None")</f>
        <v>rg:None</v>
      </c>
      <c r="U161" s="10" t="str">
        <f>IF(LEN(concatif2(A:A,Table2[[#This Row],[!Table]],G:G,"Y",D:D,",")) &gt; 0,"rg:[ { 'req' : '"&amp;concatif2(A:A,Table2[[#This Row],[!Table]],G:G,"Y",D:D,"' }, { 'req': '")&amp;"'} ]","rg:[]")</f>
        <v>rg:[ { 'req' : 'id'} ]</v>
      </c>
    </row>
    <row r="162" spans="1:21" x14ac:dyDescent="0.3">
      <c r="A162" s="3" t="s">
        <v>27</v>
      </c>
      <c r="B162" s="3" t="s">
        <v>17</v>
      </c>
      <c r="C162" s="3"/>
      <c r="D162" s="3" t="s">
        <v>169</v>
      </c>
      <c r="E162" s="3" t="s">
        <v>170</v>
      </c>
      <c r="F162" s="3" t="s">
        <v>158</v>
      </c>
      <c r="G162" s="4"/>
      <c r="H162" s="5" t="str">
        <f t="shared" si="2"/>
        <v>Defs</v>
      </c>
      <c r="I162" t="str">
        <f>IF(Table2[[#This Row],[!Type]]=I$1, I$1,"rg:None")</f>
        <v>rg:None</v>
      </c>
      <c r="J162" t="str">
        <f>IF(Table2[[#This Row],[!Type]]=J$1, J$1,"rg:None")</f>
        <v>rg:None</v>
      </c>
      <c r="K162" t="str">
        <f>IF(Table2[[#This Row],[!Type]]=K$1, K$1,"rg:None")</f>
        <v>rg:None</v>
      </c>
      <c r="L162" s="10" t="str">
        <f>IF(Table2[[#This Row],[!Type]]=L$1, L$1,"rg:None")</f>
        <v>rg:None</v>
      </c>
      <c r="M162" s="5" t="str">
        <f>IF(Table2[[#This Row],[!Type]]=M$1, M$1,"rg:None")</f>
        <v>rg:None</v>
      </c>
      <c r="N162" s="5" t="str">
        <f>IF(Table2[[#This Row],[!Type]]=N$1, N$1,"rg:None")</f>
        <v>ref</v>
      </c>
      <c r="O162" s="5" t="str">
        <f>IF(Table2[[#This Row],[!Type]]=O$1, O$1,"rg:None")</f>
        <v>rg:None</v>
      </c>
      <c r="P162" s="5" t="str">
        <f>IF(Table2[[#This Row],[!Type]]=P$1, P$1,"rg:None")</f>
        <v>rg:None</v>
      </c>
      <c r="Q162" s="10" t="str">
        <f>IF(LEN(Table2[[#This Row],[!Length]]) &gt; 0, Table2[[#This Row],[!Length]], "rg:None")</f>
        <v>rg:None</v>
      </c>
      <c r="R162" s="10" t="str">
        <f>IF(LEN(Table2[[#This Row],[!Name]]) &gt; 0, Table2[[#This Row],[!Name]], "rg:None")</f>
        <v>district</v>
      </c>
      <c r="S162" s="10" t="str">
        <f>IF(LEN(Table2[[#This Row],[!Description]]) &gt; 0, Table2[[#This Row],[!Description]], "rg:None")</f>
        <v>The district in which the Service Area is found.</v>
      </c>
      <c r="T162" s="10" t="str">
        <f>IF(LEN(Table2[[#This Row],[!FK]])&gt;0,Table2[[#This Row],[!FK]],"rg:None")</f>
        <v>District</v>
      </c>
      <c r="U162" s="10" t="str">
        <f>IF(LEN(concatif2(A:A,Table2[[#This Row],[!Table]],G:G,"Y",D:D,",")) &gt; 0,"rg:[ { 'req' : '"&amp;concatif2(A:A,Table2[[#This Row],[!Table]],G:G,"Y",D:D,"' }, { 'req': '")&amp;"'} ]","rg:[]")</f>
        <v>rg:[ { 'req' : 'id'} ]</v>
      </c>
    </row>
    <row r="163" spans="1:21" x14ac:dyDescent="0.3">
      <c r="A163" s="3" t="s">
        <v>27</v>
      </c>
      <c r="B163" s="3" t="s">
        <v>43</v>
      </c>
      <c r="C163" s="3"/>
      <c r="D163" s="3" t="s">
        <v>154</v>
      </c>
      <c r="E163" s="3" t="s">
        <v>171</v>
      </c>
      <c r="F163" s="3" t="s">
        <v>7</v>
      </c>
      <c r="G163" s="4"/>
      <c r="H163" s="5" t="str">
        <f t="shared" si="2"/>
        <v>Defs</v>
      </c>
      <c r="I163" t="str">
        <f>IF(Table2[[#This Row],[!Type]]=I$1, I$1,"rg:None")</f>
        <v>rg:None</v>
      </c>
      <c r="J163" t="str">
        <f>IF(Table2[[#This Row],[!Type]]=J$1, J$1,"rg:None")</f>
        <v>datetime</v>
      </c>
      <c r="K163" t="str">
        <f>IF(Table2[[#This Row],[!Type]]=K$1, K$1,"rg:None")</f>
        <v>rg:None</v>
      </c>
      <c r="L163" s="10" t="str">
        <f>IF(Table2[[#This Row],[!Type]]=L$1, L$1,"rg:None")</f>
        <v>rg:None</v>
      </c>
      <c r="M163" s="5" t="str">
        <f>IF(Table2[[#This Row],[!Type]]=M$1, M$1,"rg:None")</f>
        <v>rg:None</v>
      </c>
      <c r="N163" s="5" t="str">
        <f>IF(Table2[[#This Row],[!Type]]=N$1, N$1,"rg:None")</f>
        <v>rg:None</v>
      </c>
      <c r="O163" s="5" t="str">
        <f>IF(Table2[[#This Row],[!Type]]=O$1, O$1,"rg:None")</f>
        <v>rg:None</v>
      </c>
      <c r="P163" s="5" t="str">
        <f>IF(Table2[[#This Row],[!Type]]=P$1, P$1,"rg:None")</f>
        <v>rg:None</v>
      </c>
      <c r="Q163" s="10" t="str">
        <f>IF(LEN(Table2[[#This Row],[!Length]]) &gt; 0, Table2[[#This Row],[!Length]], "rg:None")</f>
        <v>rg:None</v>
      </c>
      <c r="R163" s="10" t="str">
        <f>IF(LEN(Table2[[#This Row],[!Name]]) &gt; 0, Table2[[#This Row],[!Name]], "rg:None")</f>
        <v>startDate</v>
      </c>
      <c r="S163" s="10" t="str">
        <f>IF(LEN(Table2[[#This Row],[!Description]]) &gt; 0, Table2[[#This Row],[!Description]], "rg:None")</f>
        <v>The effective date of the Service Area - NOT CURRENTLY ENFORCED IN SCHOOL BUS</v>
      </c>
      <c r="T163" s="10" t="str">
        <f>IF(LEN(Table2[[#This Row],[!FK]])&gt;0,Table2[[#This Row],[!FK]],"rg:None")</f>
        <v>rg:None</v>
      </c>
      <c r="U163" s="10" t="str">
        <f>IF(LEN(concatif2(A:A,Table2[[#This Row],[!Table]],G:G,"Y",D:D,",")) &gt; 0,"rg:[ { 'req' : '"&amp;concatif2(A:A,Table2[[#This Row],[!Table]],G:G,"Y",D:D,"' }, { 'req': '")&amp;"'} ]","rg:[]")</f>
        <v>rg:[ { 'req' : 'id'} ]</v>
      </c>
    </row>
    <row r="164" spans="1:21" x14ac:dyDescent="0.3">
      <c r="A164" s="3" t="s">
        <v>27</v>
      </c>
      <c r="B164" s="3" t="s">
        <v>43</v>
      </c>
      <c r="C164" s="3"/>
      <c r="D164" s="3" t="s">
        <v>156</v>
      </c>
      <c r="E164" s="3" t="s">
        <v>172</v>
      </c>
      <c r="F164" s="3" t="s">
        <v>7</v>
      </c>
      <c r="G164" s="4"/>
      <c r="H164" s="5" t="str">
        <f t="shared" si="2"/>
        <v>Defs</v>
      </c>
      <c r="I164" t="str">
        <f>IF(Table2[[#This Row],[!Type]]=I$1, I$1,"rg:None")</f>
        <v>rg:None</v>
      </c>
      <c r="J164" t="str">
        <f>IF(Table2[[#This Row],[!Type]]=J$1, J$1,"rg:None")</f>
        <v>datetime</v>
      </c>
      <c r="K164" t="str">
        <f>IF(Table2[[#This Row],[!Type]]=K$1, K$1,"rg:None")</f>
        <v>rg:None</v>
      </c>
      <c r="L164" s="10" t="str">
        <f>IF(Table2[[#This Row],[!Type]]=L$1, L$1,"rg:None")</f>
        <v>rg:None</v>
      </c>
      <c r="M164" s="5" t="str">
        <f>IF(Table2[[#This Row],[!Type]]=M$1, M$1,"rg:None")</f>
        <v>rg:None</v>
      </c>
      <c r="N164" s="5" t="str">
        <f>IF(Table2[[#This Row],[!Type]]=N$1, N$1,"rg:None")</f>
        <v>rg:None</v>
      </c>
      <c r="O164" s="5" t="str">
        <f>IF(Table2[[#This Row],[!Type]]=O$1, O$1,"rg:None")</f>
        <v>rg:None</v>
      </c>
      <c r="P164" s="5" t="str">
        <f>IF(Table2[[#This Row],[!Type]]=P$1, P$1,"rg:None")</f>
        <v>rg:None</v>
      </c>
      <c r="Q164" s="10" t="str">
        <f>IF(LEN(Table2[[#This Row],[!Length]]) &gt; 0, Table2[[#This Row],[!Length]], "rg:None")</f>
        <v>rg:None</v>
      </c>
      <c r="R164" s="10" t="str">
        <f>IF(LEN(Table2[[#This Row],[!Name]]) &gt; 0, Table2[[#This Row],[!Name]], "rg:None")</f>
        <v>endDate</v>
      </c>
      <c r="S164" s="10" t="str">
        <f>IF(LEN(Table2[[#This Row],[!Description]]) &gt; 0, Table2[[#This Row],[!Description]], "rg:None")</f>
        <v>The end date of the Service Area; null if active - NOT CURRENTLY ENFORCED IN SCHOOL BUS</v>
      </c>
      <c r="T164" s="10" t="str">
        <f>IF(LEN(Table2[[#This Row],[!FK]])&gt;0,Table2[[#This Row],[!FK]],"rg:None")</f>
        <v>rg:None</v>
      </c>
      <c r="U164" s="10" t="str">
        <f>IF(LEN(concatif2(A:A,Table2[[#This Row],[!Table]],G:G,"Y",D:D,",")) &gt; 0,"rg:[ { 'req' : '"&amp;concatif2(A:A,Table2[[#This Row],[!Table]],G:G,"Y",D:D,"' }, { 'req': '")&amp;"'} ]","rg:[]")</f>
        <v>rg:[ { 'req' : 'id'} ]</v>
      </c>
    </row>
    <row r="165" spans="1:21" x14ac:dyDescent="0.3">
      <c r="A165" s="3" t="s">
        <v>50</v>
      </c>
      <c r="B165" s="3" t="s">
        <v>5</v>
      </c>
      <c r="C165" s="3"/>
      <c r="D165" s="3" t="s">
        <v>50</v>
      </c>
      <c r="E165" s="17" t="s">
        <v>309</v>
      </c>
      <c r="F165" s="3" t="s">
        <v>7</v>
      </c>
      <c r="G165" s="4"/>
      <c r="H165" s="5" t="str">
        <f t="shared" si="2"/>
        <v>Defs</v>
      </c>
      <c r="I165" t="str">
        <f>IF(Table2[[#This Row],[!Type]]=I$1, I$1,"rg:None")</f>
        <v>rg:None</v>
      </c>
      <c r="J165" t="str">
        <f>IF(Table2[[#This Row],[!Type]]=J$1, J$1,"rg:None")</f>
        <v>rg:None</v>
      </c>
      <c r="K165" t="str">
        <f>IF(Table2[[#This Row],[!Type]]=K$1, K$1,"rg:None")</f>
        <v>rg:None</v>
      </c>
      <c r="L165" s="10" t="str">
        <f>IF(Table2[[#This Row],[!Type]]=L$1, L$1,"rg:None")</f>
        <v>rg:None</v>
      </c>
      <c r="M165" s="5" t="str">
        <f>IF(Table2[[#This Row],[!Type]]=M$1, M$1,"rg:None")</f>
        <v>rg:None</v>
      </c>
      <c r="N165" s="5" t="str">
        <f>IF(Table2[[#This Row],[!Type]]=N$1, N$1,"rg:None")</f>
        <v>rg:None</v>
      </c>
      <c r="O165" s="5" t="str">
        <f>IF(Table2[[#This Row],[!Type]]=O$1, O$1,"rg:None")</f>
        <v>rg:None</v>
      </c>
      <c r="P165" s="5" t="str">
        <f>IF(Table2[[#This Row],[!Type]]=P$1, P$1,"rg:None")</f>
        <v>table</v>
      </c>
      <c r="Q165" s="10" t="str">
        <f>IF(LEN(Table2[[#This Row],[!Length]]) &gt; 0, Table2[[#This Row],[!Length]], "rg:None")</f>
        <v>rg:None</v>
      </c>
      <c r="R165" s="10" t="str">
        <f>IF(LEN(Table2[[#This Row],[!Name]]) &gt; 0, Table2[[#This Row],[!Name]], "rg:None")</f>
        <v>SchoolDistrict</v>
      </c>
      <c r="S165" s="10" t="str">
        <f>IF(LEN(Table2[[#This Row],[!Description]]) &gt; 0, Table2[[#This Row],[!Description]], "rg:None")</f>
        <v>A list of School Districts in the Province of BC. Authoritative source to be determined.</v>
      </c>
      <c r="T165" s="10" t="str">
        <f>IF(LEN(Table2[[#This Row],[!FK]])&gt;0,Table2[[#This Row],[!FK]],"rg:None")</f>
        <v>rg:None</v>
      </c>
      <c r="U165" s="10" t="str">
        <f>IF(LEN(concatif2(A:A,Table2[[#This Row],[!Table]],G:G,"Y",D:D,",")) &gt; 0,"rg:[ { 'req' : '"&amp;concatif2(A:A,Table2[[#This Row],[!Table]],G:G,"Y",D:D,"' }, { 'req': '")&amp;"'} ]","rg:[]")</f>
        <v>rg:[ { 'req' : 'id'} ]</v>
      </c>
    </row>
    <row r="166" spans="1:21" x14ac:dyDescent="0.3">
      <c r="A166" s="3" t="s">
        <v>50</v>
      </c>
      <c r="B166" s="3" t="s">
        <v>8</v>
      </c>
      <c r="C166" s="3"/>
      <c r="D166" s="3" t="s">
        <v>8</v>
      </c>
      <c r="E166" s="3" t="s">
        <v>9</v>
      </c>
      <c r="F166" s="3" t="s">
        <v>7</v>
      </c>
      <c r="G166" s="4" t="s">
        <v>211</v>
      </c>
      <c r="H166" s="5" t="str">
        <f t="shared" si="2"/>
        <v>Defs</v>
      </c>
      <c r="I166" t="str">
        <f>IF(Table2[[#This Row],[!Type]]=I$1, I$1,"rg:None")</f>
        <v>rg:None</v>
      </c>
      <c r="J166" t="str">
        <f>IF(Table2[[#This Row],[!Type]]=J$1, J$1,"rg:None")</f>
        <v>rg:None</v>
      </c>
      <c r="K166" t="str">
        <f>IF(Table2[[#This Row],[!Type]]=K$1, K$1,"rg:None")</f>
        <v>id</v>
      </c>
      <c r="L166" s="10" t="str">
        <f>IF(Table2[[#This Row],[!Type]]=L$1, L$1,"rg:None")</f>
        <v>rg:None</v>
      </c>
      <c r="M166" s="5" t="str">
        <f>IF(Table2[[#This Row],[!Type]]=M$1, M$1,"rg:None")</f>
        <v>rg:None</v>
      </c>
      <c r="N166" s="5" t="str">
        <f>IF(Table2[[#This Row],[!Type]]=N$1, N$1,"rg:None")</f>
        <v>rg:None</v>
      </c>
      <c r="O166" s="5" t="str">
        <f>IF(Table2[[#This Row],[!Type]]=O$1, O$1,"rg:None")</f>
        <v>rg:None</v>
      </c>
      <c r="P166" s="5" t="str">
        <f>IF(Table2[[#This Row],[!Type]]=P$1, P$1,"rg:None")</f>
        <v>rg:None</v>
      </c>
      <c r="Q166" s="10" t="str">
        <f>IF(LEN(Table2[[#This Row],[!Length]]) &gt; 0, Table2[[#This Row],[!Length]], "rg:None")</f>
        <v>rg:None</v>
      </c>
      <c r="R166" s="10" t="str">
        <f>IF(LEN(Table2[[#This Row],[!Name]]) &gt; 0, Table2[[#This Row],[!Name]], "rg:None")</f>
        <v>id</v>
      </c>
      <c r="S166" s="10" t="str">
        <f>IF(LEN(Table2[[#This Row],[!Description]]) &gt; 0, Table2[[#This Row],[!Description]], "rg:None")</f>
        <v>Primary Key</v>
      </c>
      <c r="T166" s="10" t="str">
        <f>IF(LEN(Table2[[#This Row],[!FK]])&gt;0,Table2[[#This Row],[!FK]],"rg:None")</f>
        <v>rg:None</v>
      </c>
      <c r="U166" s="10" t="str">
        <f>IF(LEN(concatif2(A:A,Table2[[#This Row],[!Table]],G:G,"Y",D:D,",")) &gt; 0,"rg:[ { 'req' : '"&amp;concatif2(A:A,Table2[[#This Row],[!Table]],G:G,"Y",D:D,"' }, { 'req': '")&amp;"'} ]","rg:[]")</f>
        <v>rg:[ { 'req' : 'id'} ]</v>
      </c>
    </row>
    <row r="167" spans="1:21" x14ac:dyDescent="0.3">
      <c r="A167" s="3" t="s">
        <v>50</v>
      </c>
      <c r="B167" s="3" t="s">
        <v>10</v>
      </c>
      <c r="C167" s="3"/>
      <c r="D167" s="3" t="s">
        <v>84</v>
      </c>
      <c r="E167" s="3" t="s">
        <v>173</v>
      </c>
      <c r="F167" s="3" t="s">
        <v>7</v>
      </c>
      <c r="G167" s="4"/>
      <c r="H167" s="5" t="str">
        <f t="shared" si="2"/>
        <v>Defs</v>
      </c>
      <c r="I167" t="str">
        <f>IF(Table2[[#This Row],[!Type]]=I$1, I$1,"rg:None")</f>
        <v>rg:None</v>
      </c>
      <c r="J167" t="str">
        <f>IF(Table2[[#This Row],[!Type]]=J$1, J$1,"rg:None")</f>
        <v>rg:None</v>
      </c>
      <c r="K167" t="str">
        <f>IF(Table2[[#This Row],[!Type]]=K$1, K$1,"rg:None")</f>
        <v>rg:None</v>
      </c>
      <c r="L167" s="10" t="str">
        <f>IF(Table2[[#This Row],[!Type]]=L$1, L$1,"rg:None")</f>
        <v>rg:None</v>
      </c>
      <c r="M167" s="5" t="str">
        <f>IF(Table2[[#This Row],[!Type]]=M$1, M$1,"rg:None")</f>
        <v>rg:None</v>
      </c>
      <c r="N167" s="5" t="str">
        <f>IF(Table2[[#This Row],[!Type]]=N$1, N$1,"rg:None")</f>
        <v>rg:None</v>
      </c>
      <c r="O167" s="5" t="str">
        <f>IF(Table2[[#This Row],[!Type]]=O$1, O$1,"rg:None")</f>
        <v>string</v>
      </c>
      <c r="P167" s="5" t="str">
        <f>IF(Table2[[#This Row],[!Type]]=P$1, P$1,"rg:None")</f>
        <v>rg:None</v>
      </c>
      <c r="Q167" s="10" t="str">
        <f>IF(LEN(Table2[[#This Row],[!Length]]) &gt; 0, Table2[[#This Row],[!Length]], "rg:None")</f>
        <v>rg:None</v>
      </c>
      <c r="R167" s="10" t="str">
        <f>IF(LEN(Table2[[#This Row],[!Name]]) &gt; 0, Table2[[#This Row],[!Name]], "rg:None")</f>
        <v>name</v>
      </c>
      <c r="S167" s="10" t="str">
        <f>IF(LEN(Table2[[#This Row],[!Description]]) &gt; 0, Table2[[#This Row],[!Description]], "rg:None")</f>
        <v>The full name of the School District</v>
      </c>
      <c r="T167" s="10" t="str">
        <f>IF(LEN(Table2[[#This Row],[!FK]])&gt;0,Table2[[#This Row],[!FK]],"rg:None")</f>
        <v>rg:None</v>
      </c>
      <c r="U167" s="10" t="str">
        <f>IF(LEN(concatif2(A:A,Table2[[#This Row],[!Table]],G:G,"Y",D:D,",")) &gt; 0,"rg:[ { 'req' : '"&amp;concatif2(A:A,Table2[[#This Row],[!Table]],G:G,"Y",D:D,"' }, { 'req': '")&amp;"'} ]","rg:[]")</f>
        <v>rg:[ { 'req' : 'id'} ]</v>
      </c>
    </row>
    <row r="168" spans="1:21" x14ac:dyDescent="0.3">
      <c r="A168" s="3" t="s">
        <v>50</v>
      </c>
      <c r="B168" s="3" t="s">
        <v>10</v>
      </c>
      <c r="C168" s="3"/>
      <c r="D168" s="3" t="s">
        <v>174</v>
      </c>
      <c r="E168" s="3" t="s">
        <v>175</v>
      </c>
      <c r="F168" s="3" t="s">
        <v>7</v>
      </c>
      <c r="G168" s="4"/>
      <c r="H168" s="5" t="str">
        <f t="shared" si="2"/>
        <v>Defs</v>
      </c>
      <c r="I168" t="str">
        <f>IF(Table2[[#This Row],[!Type]]=I$1, I$1,"rg:None")</f>
        <v>rg:None</v>
      </c>
      <c r="J168" t="str">
        <f>IF(Table2[[#This Row],[!Type]]=J$1, J$1,"rg:None")</f>
        <v>rg:None</v>
      </c>
      <c r="K168" t="str">
        <f>IF(Table2[[#This Row],[!Type]]=K$1, K$1,"rg:None")</f>
        <v>rg:None</v>
      </c>
      <c r="L168" s="10" t="str">
        <f>IF(Table2[[#This Row],[!Type]]=L$1, L$1,"rg:None")</f>
        <v>rg:None</v>
      </c>
      <c r="M168" s="5" t="str">
        <f>IF(Table2[[#This Row],[!Type]]=M$1, M$1,"rg:None")</f>
        <v>rg:None</v>
      </c>
      <c r="N168" s="5" t="str">
        <f>IF(Table2[[#This Row],[!Type]]=N$1, N$1,"rg:None")</f>
        <v>rg:None</v>
      </c>
      <c r="O168" s="5" t="str">
        <f>IF(Table2[[#This Row],[!Type]]=O$1, O$1,"rg:None")</f>
        <v>string</v>
      </c>
      <c r="P168" s="5" t="str">
        <f>IF(Table2[[#This Row],[!Type]]=P$1, P$1,"rg:None")</f>
        <v>rg:None</v>
      </c>
      <c r="Q168" s="10" t="str">
        <f>IF(LEN(Table2[[#This Row],[!Length]]) &gt; 0, Table2[[#This Row],[!Length]], "rg:None")</f>
        <v>rg:None</v>
      </c>
      <c r="R168" s="10" t="str">
        <f>IF(LEN(Table2[[#This Row],[!Name]]) &gt; 0, Table2[[#This Row],[!Name]], "rg:None")</f>
        <v>shortName</v>
      </c>
      <c r="S168" s="10" t="str">
        <f>IF(LEN(Table2[[#This Row],[!Description]]) &gt; 0, Table2[[#This Row],[!Description]], "rg:None")</f>
        <v>A short name for the School District useful in some areas of the UI. Usually with format \&amp;quot;SD 61\&amp;quot;.</v>
      </c>
      <c r="T168" s="10" t="str">
        <f>IF(LEN(Table2[[#This Row],[!FK]])&gt;0,Table2[[#This Row],[!FK]],"rg:None")</f>
        <v>rg:None</v>
      </c>
      <c r="U168" s="10" t="str">
        <f>IF(LEN(concatif2(A:A,Table2[[#This Row],[!Table]],G:G,"Y",D:D,",")) &gt; 0,"rg:[ { 'req' : '"&amp;concatif2(A:A,Table2[[#This Row],[!Table]],G:G,"Y",D:D,"' }, { 'req': '")&amp;"'} ]","rg:[]")</f>
        <v>rg:[ { 'req' : 'id'} ]</v>
      </c>
    </row>
    <row r="169" spans="1:21" x14ac:dyDescent="0.3">
      <c r="A169" s="3" t="s">
        <v>34</v>
      </c>
      <c r="B169" s="3" t="s">
        <v>5</v>
      </c>
      <c r="C169" s="3"/>
      <c r="D169" s="3" t="s">
        <v>34</v>
      </c>
      <c r="E169" s="3" t="s">
        <v>251</v>
      </c>
      <c r="F169" s="3" t="s">
        <v>7</v>
      </c>
      <c r="G169" s="4"/>
      <c r="H169" s="5" t="str">
        <f t="shared" si="2"/>
        <v>Defs</v>
      </c>
      <c r="I169" t="str">
        <f>IF(Table2[[#This Row],[!Type]]=I$1, I$1,"rg:None")</f>
        <v>rg:None</v>
      </c>
      <c r="J169" t="str">
        <f>IF(Table2[[#This Row],[!Type]]=J$1, J$1,"rg:None")</f>
        <v>rg:None</v>
      </c>
      <c r="K169" t="str">
        <f>IF(Table2[[#This Row],[!Type]]=K$1, K$1,"rg:None")</f>
        <v>rg:None</v>
      </c>
      <c r="L169" s="10" t="str">
        <f>IF(Table2[[#This Row],[!Type]]=L$1, L$1,"rg:None")</f>
        <v>rg:None</v>
      </c>
      <c r="M169" s="5" t="str">
        <f>IF(Table2[[#This Row],[!Type]]=M$1, M$1,"rg:None")</f>
        <v>rg:None</v>
      </c>
      <c r="N169" s="5" t="str">
        <f>IF(Table2[[#This Row],[!Type]]=N$1, N$1,"rg:None")</f>
        <v>rg:None</v>
      </c>
      <c r="O169" s="5" t="str">
        <f>IF(Table2[[#This Row],[!Type]]=O$1, O$1,"rg:None")</f>
        <v>rg:None</v>
      </c>
      <c r="P169" s="5" t="str">
        <f>IF(Table2[[#This Row],[!Type]]=P$1, P$1,"rg:None")</f>
        <v>table</v>
      </c>
      <c r="Q169" s="10" t="str">
        <f>IF(LEN(Table2[[#This Row],[!Length]]) &gt; 0, Table2[[#This Row],[!Length]], "rg:None")</f>
        <v>rg:None</v>
      </c>
      <c r="R169" s="10" t="str">
        <f>IF(LEN(Table2[[#This Row],[!Name]]) &gt; 0, Table2[[#This Row],[!Name]], "rg:None")</f>
        <v>City</v>
      </c>
      <c r="S169" s="10" t="str">
        <f>IF(LEN(Table2[[#This Row],[!Description]]) &gt; 0, Table2[[#This Row],[!Description]], "rg:None")</f>
        <v>A list of cities in BC. Authoritative source to be determined.</v>
      </c>
      <c r="T169" s="10" t="str">
        <f>IF(LEN(Table2[[#This Row],[!FK]])&gt;0,Table2[[#This Row],[!FK]],"rg:None")</f>
        <v>rg:None</v>
      </c>
      <c r="U169" s="10" t="str">
        <f>IF(LEN(concatif2(A:A,Table2[[#This Row],[!Table]],G:G,"Y",D:D,",")) &gt; 0,"rg:[ { 'req' : '"&amp;concatif2(A:A,Table2[[#This Row],[!Table]],G:G,"Y",D:D,"' }, { 'req': '")&amp;"'} ]","rg:[]")</f>
        <v>rg:[ { 'req' : 'id'} ]</v>
      </c>
    </row>
    <row r="170" spans="1:21" x14ac:dyDescent="0.3">
      <c r="A170" s="3" t="s">
        <v>34</v>
      </c>
      <c r="B170" s="3" t="s">
        <v>8</v>
      </c>
      <c r="C170" s="3"/>
      <c r="D170" s="3" t="s">
        <v>8</v>
      </c>
      <c r="E170" s="3" t="s">
        <v>9</v>
      </c>
      <c r="F170" s="3" t="s">
        <v>7</v>
      </c>
      <c r="G170" s="4" t="s">
        <v>211</v>
      </c>
      <c r="H170" s="5" t="str">
        <f t="shared" si="2"/>
        <v>Defs</v>
      </c>
      <c r="I170" t="str">
        <f>IF(Table2[[#This Row],[!Type]]=I$1, I$1,"rg:None")</f>
        <v>rg:None</v>
      </c>
      <c r="J170" t="str">
        <f>IF(Table2[[#This Row],[!Type]]=J$1, J$1,"rg:None")</f>
        <v>rg:None</v>
      </c>
      <c r="K170" t="str">
        <f>IF(Table2[[#This Row],[!Type]]=K$1, K$1,"rg:None")</f>
        <v>id</v>
      </c>
      <c r="L170" s="10" t="str">
        <f>IF(Table2[[#This Row],[!Type]]=L$1, L$1,"rg:None")</f>
        <v>rg:None</v>
      </c>
      <c r="M170" s="5" t="str">
        <f>IF(Table2[[#This Row],[!Type]]=M$1, M$1,"rg:None")</f>
        <v>rg:None</v>
      </c>
      <c r="N170" s="5" t="str">
        <f>IF(Table2[[#This Row],[!Type]]=N$1, N$1,"rg:None")</f>
        <v>rg:None</v>
      </c>
      <c r="O170" s="5" t="str">
        <f>IF(Table2[[#This Row],[!Type]]=O$1, O$1,"rg:None")</f>
        <v>rg:None</v>
      </c>
      <c r="P170" s="5" t="str">
        <f>IF(Table2[[#This Row],[!Type]]=P$1, P$1,"rg:None")</f>
        <v>rg:None</v>
      </c>
      <c r="Q170" s="10" t="str">
        <f>IF(LEN(Table2[[#This Row],[!Length]]) &gt; 0, Table2[[#This Row],[!Length]], "rg:None")</f>
        <v>rg:None</v>
      </c>
      <c r="R170" s="10" t="str">
        <f>IF(LEN(Table2[[#This Row],[!Name]]) &gt; 0, Table2[[#This Row],[!Name]], "rg:None")</f>
        <v>id</v>
      </c>
      <c r="S170" s="10" t="str">
        <f>IF(LEN(Table2[[#This Row],[!Description]]) &gt; 0, Table2[[#This Row],[!Description]], "rg:None")</f>
        <v>Primary Key</v>
      </c>
      <c r="T170" s="10" t="str">
        <f>IF(LEN(Table2[[#This Row],[!FK]])&gt;0,Table2[[#This Row],[!FK]],"rg:None")</f>
        <v>rg:None</v>
      </c>
      <c r="U170" s="10" t="str">
        <f>IF(LEN(concatif2(A:A,Table2[[#This Row],[!Table]],G:G,"Y",D:D,",")) &gt; 0,"rg:[ { 'req' : '"&amp;concatif2(A:A,Table2[[#This Row],[!Table]],G:G,"Y",D:D,"' }, { 'req': '")&amp;"'} ]","rg:[]")</f>
        <v>rg:[ { 'req' : 'id'} ]</v>
      </c>
    </row>
    <row r="171" spans="1:21" x14ac:dyDescent="0.3">
      <c r="A171" s="3" t="s">
        <v>34</v>
      </c>
      <c r="B171" s="3" t="s">
        <v>10</v>
      </c>
      <c r="C171" s="3"/>
      <c r="D171" s="3" t="s">
        <v>84</v>
      </c>
      <c r="E171" s="3" t="s">
        <v>176</v>
      </c>
      <c r="F171" s="3" t="s">
        <v>7</v>
      </c>
      <c r="G171" s="4"/>
      <c r="H171" s="5" t="str">
        <f t="shared" si="2"/>
        <v>Defs</v>
      </c>
      <c r="I171" t="str">
        <f>IF(Table2[[#This Row],[!Type]]=I$1, I$1,"rg:None")</f>
        <v>rg:None</v>
      </c>
      <c r="J171" t="str">
        <f>IF(Table2[[#This Row],[!Type]]=J$1, J$1,"rg:None")</f>
        <v>rg:None</v>
      </c>
      <c r="K171" t="str">
        <f>IF(Table2[[#This Row],[!Type]]=K$1, K$1,"rg:None")</f>
        <v>rg:None</v>
      </c>
      <c r="L171" s="10" t="str">
        <f>IF(Table2[[#This Row],[!Type]]=L$1, L$1,"rg:None")</f>
        <v>rg:None</v>
      </c>
      <c r="M171" s="5" t="str">
        <f>IF(Table2[[#This Row],[!Type]]=M$1, M$1,"rg:None")</f>
        <v>rg:None</v>
      </c>
      <c r="N171" s="5" t="str">
        <f>IF(Table2[[#This Row],[!Type]]=N$1, N$1,"rg:None")</f>
        <v>rg:None</v>
      </c>
      <c r="O171" s="5" t="str">
        <f>IF(Table2[[#This Row],[!Type]]=O$1, O$1,"rg:None")</f>
        <v>string</v>
      </c>
      <c r="P171" s="5" t="str">
        <f>IF(Table2[[#This Row],[!Type]]=P$1, P$1,"rg:None")</f>
        <v>rg:None</v>
      </c>
      <c r="Q171" s="10" t="str">
        <f>IF(LEN(Table2[[#This Row],[!Length]]) &gt; 0, Table2[[#This Row],[!Length]], "rg:None")</f>
        <v>rg:None</v>
      </c>
      <c r="R171" s="10" t="str">
        <f>IF(LEN(Table2[[#This Row],[!Name]]) &gt; 0, Table2[[#This Row],[!Name]], "rg:None")</f>
        <v>name</v>
      </c>
      <c r="S171" s="10" t="str">
        <f>IF(LEN(Table2[[#This Row],[!Description]]) &gt; 0, Table2[[#This Row],[!Description]], "rg:None")</f>
        <v>The name of the City</v>
      </c>
      <c r="T171" s="10" t="str">
        <f>IF(LEN(Table2[[#This Row],[!FK]])&gt;0,Table2[[#This Row],[!FK]],"rg:None")</f>
        <v>rg:None</v>
      </c>
      <c r="U171" s="10" t="str">
        <f>IF(LEN(concatif2(A:A,Table2[[#This Row],[!Table]],G:G,"Y",D:D,",")) &gt; 0,"rg:[ { 'req' : '"&amp;concatif2(A:A,Table2[[#This Row],[!Table]],G:G,"Y",D:D,"' }, { 'req': '")&amp;"'} ]","rg:[]")</f>
        <v>rg:[ { 'req' : 'id'} ]</v>
      </c>
    </row>
    <row r="172" spans="1:21" x14ac:dyDescent="0.3">
      <c r="A172" s="3" t="s">
        <v>177</v>
      </c>
      <c r="B172" s="3" t="s">
        <v>5</v>
      </c>
      <c r="C172" s="3"/>
      <c r="D172" s="3" t="s">
        <v>177</v>
      </c>
      <c r="E172" s="3" t="s">
        <v>7</v>
      </c>
      <c r="F172" s="3" t="s">
        <v>7</v>
      </c>
      <c r="G172" s="4"/>
      <c r="H172" s="5" t="str">
        <f t="shared" si="2"/>
        <v>Defs</v>
      </c>
      <c r="I172" t="str">
        <f>IF(Table2[[#This Row],[!Type]]=I$1, I$1,"rg:None")</f>
        <v>rg:None</v>
      </c>
      <c r="J172" t="str">
        <f>IF(Table2[[#This Row],[!Type]]=J$1, J$1,"rg:None")</f>
        <v>rg:None</v>
      </c>
      <c r="K172" t="str">
        <f>IF(Table2[[#This Row],[!Type]]=K$1, K$1,"rg:None")</f>
        <v>rg:None</v>
      </c>
      <c r="L172" s="10" t="str">
        <f>IF(Table2[[#This Row],[!Type]]=L$1, L$1,"rg:None")</f>
        <v>rg:None</v>
      </c>
      <c r="M172" s="5" t="str">
        <f>IF(Table2[[#This Row],[!Type]]=M$1, M$1,"rg:None")</f>
        <v>rg:None</v>
      </c>
      <c r="N172" s="5" t="str">
        <f>IF(Table2[[#This Row],[!Type]]=N$1, N$1,"rg:None")</f>
        <v>rg:None</v>
      </c>
      <c r="O172" s="5" t="str">
        <f>IF(Table2[[#This Row],[!Type]]=O$1, O$1,"rg:None")</f>
        <v>rg:None</v>
      </c>
      <c r="P172" s="5" t="str">
        <f>IF(Table2[[#This Row],[!Type]]=P$1, P$1,"rg:None")</f>
        <v>table</v>
      </c>
      <c r="Q172" s="10" t="str">
        <f>IF(LEN(Table2[[#This Row],[!Length]]) &gt; 0, Table2[[#This Row],[!Length]], "rg:None")</f>
        <v>rg:None</v>
      </c>
      <c r="R172" s="10" t="str">
        <f>IF(LEN(Table2[[#This Row],[!Name]]) &gt; 0, Table2[[#This Row],[!Name]], "rg:None")</f>
        <v>Notification</v>
      </c>
      <c r="S172" s="10" t="str">
        <f>IF(LEN(Table2[[#This Row],[!Description]]) &gt; 0, Table2[[#This Row],[!Description]], "rg:None")</f>
        <v>rg:None</v>
      </c>
      <c r="T172" s="10" t="str">
        <f>IF(LEN(Table2[[#This Row],[!FK]])&gt;0,Table2[[#This Row],[!FK]],"rg:None")</f>
        <v>rg:None</v>
      </c>
      <c r="U172" s="10" t="str">
        <f>IF(LEN(concatif2(A:A,Table2[[#This Row],[!Table]],G:G,"Y",D:D,",")) &gt; 0,"rg:[ { 'req' : '"&amp;concatif2(A:A,Table2[[#This Row],[!Table]],G:G,"Y",D:D,"' }, { 'req': '")&amp;"'} ]","rg:[]")</f>
        <v>rg:[ { 'req' : 'id'} ]</v>
      </c>
    </row>
    <row r="173" spans="1:21" x14ac:dyDescent="0.3">
      <c r="A173" s="3" t="s">
        <v>177</v>
      </c>
      <c r="B173" s="3" t="s">
        <v>8</v>
      </c>
      <c r="C173" s="3"/>
      <c r="D173" s="3" t="s">
        <v>8</v>
      </c>
      <c r="E173" s="3" t="s">
        <v>9</v>
      </c>
      <c r="F173" s="3" t="s">
        <v>7</v>
      </c>
      <c r="G173" s="4" t="s">
        <v>211</v>
      </c>
      <c r="H173" s="5" t="str">
        <f t="shared" si="2"/>
        <v>Defs</v>
      </c>
      <c r="I173" t="str">
        <f>IF(Table2[[#This Row],[!Type]]=I$1, I$1,"rg:None")</f>
        <v>rg:None</v>
      </c>
      <c r="J173" t="str">
        <f>IF(Table2[[#This Row],[!Type]]=J$1, J$1,"rg:None")</f>
        <v>rg:None</v>
      </c>
      <c r="K173" t="str">
        <f>IF(Table2[[#This Row],[!Type]]=K$1, K$1,"rg:None")</f>
        <v>id</v>
      </c>
      <c r="L173" s="10" t="str">
        <f>IF(Table2[[#This Row],[!Type]]=L$1, L$1,"rg:None")</f>
        <v>rg:None</v>
      </c>
      <c r="M173" s="5" t="str">
        <f>IF(Table2[[#This Row],[!Type]]=M$1, M$1,"rg:None")</f>
        <v>rg:None</v>
      </c>
      <c r="N173" s="5" t="str">
        <f>IF(Table2[[#This Row],[!Type]]=N$1, N$1,"rg:None")</f>
        <v>rg:None</v>
      </c>
      <c r="O173" s="5" t="str">
        <f>IF(Table2[[#This Row],[!Type]]=O$1, O$1,"rg:None")</f>
        <v>rg:None</v>
      </c>
      <c r="P173" s="5" t="str">
        <f>IF(Table2[[#This Row],[!Type]]=P$1, P$1,"rg:None")</f>
        <v>rg:None</v>
      </c>
      <c r="Q173" s="10" t="str">
        <f>IF(LEN(Table2[[#This Row],[!Length]]) &gt; 0, Table2[[#This Row],[!Length]], "rg:None")</f>
        <v>rg:None</v>
      </c>
      <c r="R173" s="10" t="str">
        <f>IF(LEN(Table2[[#This Row],[!Name]]) &gt; 0, Table2[[#This Row],[!Name]], "rg:None")</f>
        <v>id</v>
      </c>
      <c r="S173" s="10" t="str">
        <f>IF(LEN(Table2[[#This Row],[!Description]]) &gt; 0, Table2[[#This Row],[!Description]], "rg:None")</f>
        <v>Primary Key</v>
      </c>
      <c r="T173" s="10" t="str">
        <f>IF(LEN(Table2[[#This Row],[!FK]])&gt;0,Table2[[#This Row],[!FK]],"rg:None")</f>
        <v>rg:None</v>
      </c>
      <c r="U173" s="10" t="str">
        <f>IF(LEN(concatif2(A:A,Table2[[#This Row],[!Table]],G:G,"Y",D:D,",")) &gt; 0,"rg:[ { 'req' : '"&amp;concatif2(A:A,Table2[[#This Row],[!Table]],G:G,"Y",D:D,"' }, { 'req': '")&amp;"'} ]","rg:[]")</f>
        <v>rg:[ { 'req' : 'id'} ]</v>
      </c>
    </row>
    <row r="174" spans="1:21" x14ac:dyDescent="0.3">
      <c r="A174" s="3" t="s">
        <v>177</v>
      </c>
      <c r="B174" s="3" t="s">
        <v>17</v>
      </c>
      <c r="C174" s="3"/>
      <c r="D174" s="3" t="s">
        <v>178</v>
      </c>
      <c r="E174" s="3" t="s">
        <v>7</v>
      </c>
      <c r="F174" s="3" t="s">
        <v>179</v>
      </c>
      <c r="G174" s="4"/>
      <c r="H174" s="5" t="str">
        <f t="shared" si="2"/>
        <v>Defs</v>
      </c>
      <c r="I174" t="str">
        <f>IF(Table2[[#This Row],[!Type]]=I$1, I$1,"rg:None")</f>
        <v>rg:None</v>
      </c>
      <c r="J174" t="str">
        <f>IF(Table2[[#This Row],[!Type]]=J$1, J$1,"rg:None")</f>
        <v>rg:None</v>
      </c>
      <c r="K174" t="str">
        <f>IF(Table2[[#This Row],[!Type]]=K$1, K$1,"rg:None")</f>
        <v>rg:None</v>
      </c>
      <c r="L174" s="10" t="str">
        <f>IF(Table2[[#This Row],[!Type]]=L$1, L$1,"rg:None")</f>
        <v>rg:None</v>
      </c>
      <c r="M174" s="5" t="str">
        <f>IF(Table2[[#This Row],[!Type]]=M$1, M$1,"rg:None")</f>
        <v>rg:None</v>
      </c>
      <c r="N174" s="5" t="str">
        <f>IF(Table2[[#This Row],[!Type]]=N$1, N$1,"rg:None")</f>
        <v>ref</v>
      </c>
      <c r="O174" s="5" t="str">
        <f>IF(Table2[[#This Row],[!Type]]=O$1, O$1,"rg:None")</f>
        <v>rg:None</v>
      </c>
      <c r="P174" s="5" t="str">
        <f>IF(Table2[[#This Row],[!Type]]=P$1, P$1,"rg:None")</f>
        <v>rg:None</v>
      </c>
      <c r="Q174" s="10" t="str">
        <f>IF(LEN(Table2[[#This Row],[!Length]]) &gt; 0, Table2[[#This Row],[!Length]], "rg:None")</f>
        <v>rg:None</v>
      </c>
      <c r="R174" s="10" t="str">
        <f>IF(LEN(Table2[[#This Row],[!Name]]) &gt; 0, Table2[[#This Row],[!Name]], "rg:None")</f>
        <v>event</v>
      </c>
      <c r="S174" s="10" t="str">
        <f>IF(LEN(Table2[[#This Row],[!Description]]) &gt; 0, Table2[[#This Row],[!Description]], "rg:None")</f>
        <v>rg:None</v>
      </c>
      <c r="T174" s="10" t="str">
        <f>IF(LEN(Table2[[#This Row],[!FK]])&gt;0,Table2[[#This Row],[!FK]],"rg:None")</f>
        <v>NotificationEvent</v>
      </c>
      <c r="U174" s="10" t="str">
        <f>IF(LEN(concatif2(A:A,Table2[[#This Row],[!Table]],G:G,"Y",D:D,",")) &gt; 0,"rg:[ { 'req' : '"&amp;concatif2(A:A,Table2[[#This Row],[!Table]],G:G,"Y",D:D,"' }, { 'req': '")&amp;"'} ]","rg:[]")</f>
        <v>rg:[ { 'req' : 'id'} ]</v>
      </c>
    </row>
    <row r="175" spans="1:21" x14ac:dyDescent="0.3">
      <c r="A175" s="3" t="s">
        <v>177</v>
      </c>
      <c r="B175" s="3" t="s">
        <v>17</v>
      </c>
      <c r="C175" s="3"/>
      <c r="D175" s="3" t="s">
        <v>180</v>
      </c>
      <c r="E175" s="3" t="s">
        <v>7</v>
      </c>
      <c r="F175" s="3" t="s">
        <v>179</v>
      </c>
      <c r="G175" s="4"/>
      <c r="H175" s="5" t="str">
        <f t="shared" si="2"/>
        <v>Defs</v>
      </c>
      <c r="I175" t="str">
        <f>IF(Table2[[#This Row],[!Type]]=I$1, I$1,"rg:None")</f>
        <v>rg:None</v>
      </c>
      <c r="J175" t="str">
        <f>IF(Table2[[#This Row],[!Type]]=J$1, J$1,"rg:None")</f>
        <v>rg:None</v>
      </c>
      <c r="K175" t="str">
        <f>IF(Table2[[#This Row],[!Type]]=K$1, K$1,"rg:None")</f>
        <v>rg:None</v>
      </c>
      <c r="L175" s="10" t="str">
        <f>IF(Table2[[#This Row],[!Type]]=L$1, L$1,"rg:None")</f>
        <v>rg:None</v>
      </c>
      <c r="M175" s="5" t="str">
        <f>IF(Table2[[#This Row],[!Type]]=M$1, M$1,"rg:None")</f>
        <v>rg:None</v>
      </c>
      <c r="N175" s="5" t="str">
        <f>IF(Table2[[#This Row],[!Type]]=N$1, N$1,"rg:None")</f>
        <v>ref</v>
      </c>
      <c r="O175" s="5" t="str">
        <f>IF(Table2[[#This Row],[!Type]]=O$1, O$1,"rg:None")</f>
        <v>rg:None</v>
      </c>
      <c r="P175" s="5" t="str">
        <f>IF(Table2[[#This Row],[!Type]]=P$1, P$1,"rg:None")</f>
        <v>rg:None</v>
      </c>
      <c r="Q175" s="10" t="str">
        <f>IF(LEN(Table2[[#This Row],[!Length]]) &gt; 0, Table2[[#This Row],[!Length]], "rg:None")</f>
        <v>rg:None</v>
      </c>
      <c r="R175" s="10" t="str">
        <f>IF(LEN(Table2[[#This Row],[!Name]]) &gt; 0, Table2[[#This Row],[!Name]], "rg:None")</f>
        <v>event2</v>
      </c>
      <c r="S175" s="10" t="str">
        <f>IF(LEN(Table2[[#This Row],[!Description]]) &gt; 0, Table2[[#This Row],[!Description]], "rg:None")</f>
        <v>rg:None</v>
      </c>
      <c r="T175" s="10" t="str">
        <f>IF(LEN(Table2[[#This Row],[!FK]])&gt;0,Table2[[#This Row],[!FK]],"rg:None")</f>
        <v>NotificationEvent</v>
      </c>
      <c r="U175" s="10" t="str">
        <f>IF(LEN(concatif2(A:A,Table2[[#This Row],[!Table]],G:G,"Y",D:D,",")) &gt; 0,"rg:[ { 'req' : '"&amp;concatif2(A:A,Table2[[#This Row],[!Table]],G:G,"Y",D:D,"' }, { 'req': '")&amp;"'} ]","rg:[]")</f>
        <v>rg:[ { 'req' : 'id'} ]</v>
      </c>
    </row>
    <row r="176" spans="1:21" x14ac:dyDescent="0.3">
      <c r="A176" s="3" t="s">
        <v>177</v>
      </c>
      <c r="B176" s="3" t="s">
        <v>24</v>
      </c>
      <c r="C176" s="3"/>
      <c r="D176" s="3" t="s">
        <v>181</v>
      </c>
      <c r="E176" s="3" t="s">
        <v>7</v>
      </c>
      <c r="F176" s="3" t="s">
        <v>7</v>
      </c>
      <c r="G176" s="4"/>
      <c r="H176" s="5" t="str">
        <f t="shared" si="2"/>
        <v>Defs</v>
      </c>
      <c r="I176" t="str">
        <f>IF(Table2[[#This Row],[!Type]]=I$1, I$1,"rg:None")</f>
        <v>boolean</v>
      </c>
      <c r="J176" t="str">
        <f>IF(Table2[[#This Row],[!Type]]=J$1, J$1,"rg:None")</f>
        <v>rg:None</v>
      </c>
      <c r="K176" t="str">
        <f>IF(Table2[[#This Row],[!Type]]=K$1, K$1,"rg:None")</f>
        <v>rg:None</v>
      </c>
      <c r="L176" s="10" t="str">
        <f>IF(Table2[[#This Row],[!Type]]=L$1, L$1,"rg:None")</f>
        <v>rg:None</v>
      </c>
      <c r="M176" s="5" t="str">
        <f>IF(Table2[[#This Row],[!Type]]=M$1, M$1,"rg:None")</f>
        <v>rg:None</v>
      </c>
      <c r="N176" s="5" t="str">
        <f>IF(Table2[[#This Row],[!Type]]=N$1, N$1,"rg:None")</f>
        <v>rg:None</v>
      </c>
      <c r="O176" s="5" t="str">
        <f>IF(Table2[[#This Row],[!Type]]=O$1, O$1,"rg:None")</f>
        <v>rg:None</v>
      </c>
      <c r="P176" s="5" t="str">
        <f>IF(Table2[[#This Row],[!Type]]=P$1, P$1,"rg:None")</f>
        <v>rg:None</v>
      </c>
      <c r="Q176" s="10" t="str">
        <f>IF(LEN(Table2[[#This Row],[!Length]]) &gt; 0, Table2[[#This Row],[!Length]], "rg:None")</f>
        <v>rg:None</v>
      </c>
      <c r="R176" s="10" t="str">
        <f>IF(LEN(Table2[[#This Row],[!Name]]) &gt; 0, Table2[[#This Row],[!Name]], "rg:None")</f>
        <v>hasBeenViewed</v>
      </c>
      <c r="S176" s="10" t="str">
        <f>IF(LEN(Table2[[#This Row],[!Description]]) &gt; 0, Table2[[#This Row],[!Description]], "rg:None")</f>
        <v>rg:None</v>
      </c>
      <c r="T176" s="10" t="str">
        <f>IF(LEN(Table2[[#This Row],[!FK]])&gt;0,Table2[[#This Row],[!FK]],"rg:None")</f>
        <v>rg:None</v>
      </c>
      <c r="U176" s="10" t="str">
        <f>IF(LEN(concatif2(A:A,Table2[[#This Row],[!Table]],G:G,"Y",D:D,",")) &gt; 0,"rg:[ { 'req' : '"&amp;concatif2(A:A,Table2[[#This Row],[!Table]],G:G,"Y",D:D,"' }, { 'req': '")&amp;"'} ]","rg:[]")</f>
        <v>rg:[ { 'req' : 'id'} ]</v>
      </c>
    </row>
    <row r="177" spans="1:21" x14ac:dyDescent="0.3">
      <c r="A177" s="3" t="s">
        <v>177</v>
      </c>
      <c r="B177" s="3" t="s">
        <v>24</v>
      </c>
      <c r="C177" s="3"/>
      <c r="D177" s="3" t="s">
        <v>182</v>
      </c>
      <c r="E177" s="3" t="s">
        <v>7</v>
      </c>
      <c r="F177" s="3" t="s">
        <v>7</v>
      </c>
      <c r="G177" s="4"/>
      <c r="H177" s="5" t="str">
        <f t="shared" si="2"/>
        <v>Defs</v>
      </c>
      <c r="I177" t="str">
        <f>IF(Table2[[#This Row],[!Type]]=I$1, I$1,"rg:None")</f>
        <v>boolean</v>
      </c>
      <c r="J177" t="str">
        <f>IF(Table2[[#This Row],[!Type]]=J$1, J$1,"rg:None")</f>
        <v>rg:None</v>
      </c>
      <c r="K177" t="str">
        <f>IF(Table2[[#This Row],[!Type]]=K$1, K$1,"rg:None")</f>
        <v>rg:None</v>
      </c>
      <c r="L177" s="10" t="str">
        <f>IF(Table2[[#This Row],[!Type]]=L$1, L$1,"rg:None")</f>
        <v>rg:None</v>
      </c>
      <c r="M177" s="5" t="str">
        <f>IF(Table2[[#This Row],[!Type]]=M$1, M$1,"rg:None")</f>
        <v>rg:None</v>
      </c>
      <c r="N177" s="5" t="str">
        <f>IF(Table2[[#This Row],[!Type]]=N$1, N$1,"rg:None")</f>
        <v>rg:None</v>
      </c>
      <c r="O177" s="5" t="str">
        <f>IF(Table2[[#This Row],[!Type]]=O$1, O$1,"rg:None")</f>
        <v>rg:None</v>
      </c>
      <c r="P177" s="5" t="str">
        <f>IF(Table2[[#This Row],[!Type]]=P$1, P$1,"rg:None")</f>
        <v>rg:None</v>
      </c>
      <c r="Q177" s="10" t="str">
        <f>IF(LEN(Table2[[#This Row],[!Length]]) &gt; 0, Table2[[#This Row],[!Length]], "rg:None")</f>
        <v>rg:None</v>
      </c>
      <c r="R177" s="10" t="str">
        <f>IF(LEN(Table2[[#This Row],[!Name]]) &gt; 0, Table2[[#This Row],[!Name]], "rg:None")</f>
        <v>isWatchNotification</v>
      </c>
      <c r="S177" s="10" t="str">
        <f>IF(LEN(Table2[[#This Row],[!Description]]) &gt; 0, Table2[[#This Row],[!Description]], "rg:None")</f>
        <v>rg:None</v>
      </c>
      <c r="T177" s="10" t="str">
        <f>IF(LEN(Table2[[#This Row],[!FK]])&gt;0,Table2[[#This Row],[!FK]],"rg:None")</f>
        <v>rg:None</v>
      </c>
      <c r="U177" s="10" t="str">
        <f>IF(LEN(concatif2(A:A,Table2[[#This Row],[!Table]],G:G,"Y",D:D,",")) &gt; 0,"rg:[ { 'req' : '"&amp;concatif2(A:A,Table2[[#This Row],[!Table]],G:G,"Y",D:D,"' }, { 'req': '")&amp;"'} ]","rg:[]")</f>
        <v>rg:[ { 'req' : 'id'} ]</v>
      </c>
    </row>
    <row r="178" spans="1:21" x14ac:dyDescent="0.3">
      <c r="A178" s="3" t="s">
        <v>177</v>
      </c>
      <c r="B178" s="3" t="s">
        <v>24</v>
      </c>
      <c r="C178" s="3"/>
      <c r="D178" s="3" t="s">
        <v>183</v>
      </c>
      <c r="E178" s="3" t="s">
        <v>7</v>
      </c>
      <c r="F178" s="3" t="s">
        <v>7</v>
      </c>
      <c r="G178" s="4"/>
      <c r="H178" s="5" t="str">
        <f t="shared" si="2"/>
        <v>Defs</v>
      </c>
      <c r="I178" t="str">
        <f>IF(Table2[[#This Row],[!Type]]=I$1, I$1,"rg:None")</f>
        <v>boolean</v>
      </c>
      <c r="J178" t="str">
        <f>IF(Table2[[#This Row],[!Type]]=J$1, J$1,"rg:None")</f>
        <v>rg:None</v>
      </c>
      <c r="K178" t="str">
        <f>IF(Table2[[#This Row],[!Type]]=K$1, K$1,"rg:None")</f>
        <v>rg:None</v>
      </c>
      <c r="L178" s="10" t="str">
        <f>IF(Table2[[#This Row],[!Type]]=L$1, L$1,"rg:None")</f>
        <v>rg:None</v>
      </c>
      <c r="M178" s="5" t="str">
        <f>IF(Table2[[#This Row],[!Type]]=M$1, M$1,"rg:None")</f>
        <v>rg:None</v>
      </c>
      <c r="N178" s="5" t="str">
        <f>IF(Table2[[#This Row],[!Type]]=N$1, N$1,"rg:None")</f>
        <v>rg:None</v>
      </c>
      <c r="O178" s="5" t="str">
        <f>IF(Table2[[#This Row],[!Type]]=O$1, O$1,"rg:None")</f>
        <v>rg:None</v>
      </c>
      <c r="P178" s="5" t="str">
        <f>IF(Table2[[#This Row],[!Type]]=P$1, P$1,"rg:None")</f>
        <v>rg:None</v>
      </c>
      <c r="Q178" s="10" t="str">
        <f>IF(LEN(Table2[[#This Row],[!Length]]) &gt; 0, Table2[[#This Row],[!Length]], "rg:None")</f>
        <v>rg:None</v>
      </c>
      <c r="R178" s="10" t="str">
        <f>IF(LEN(Table2[[#This Row],[!Name]]) &gt; 0, Table2[[#This Row],[!Name]], "rg:None")</f>
        <v>isExpired</v>
      </c>
      <c r="S178" s="10" t="str">
        <f>IF(LEN(Table2[[#This Row],[!Description]]) &gt; 0, Table2[[#This Row],[!Description]], "rg:None")</f>
        <v>rg:None</v>
      </c>
      <c r="T178" s="10" t="str">
        <f>IF(LEN(Table2[[#This Row],[!FK]])&gt;0,Table2[[#This Row],[!FK]],"rg:None")</f>
        <v>rg:None</v>
      </c>
      <c r="U178" s="10" t="str">
        <f>IF(LEN(concatif2(A:A,Table2[[#This Row],[!Table]],G:G,"Y",D:D,",")) &gt; 0,"rg:[ { 'req' : '"&amp;concatif2(A:A,Table2[[#This Row],[!Table]],G:G,"Y",D:D,"' }, { 'req': '")&amp;"'} ]","rg:[]")</f>
        <v>rg:[ { 'req' : 'id'} ]</v>
      </c>
    </row>
    <row r="179" spans="1:21" x14ac:dyDescent="0.3">
      <c r="A179" s="3" t="s">
        <v>177</v>
      </c>
      <c r="B179" s="3" t="s">
        <v>24</v>
      </c>
      <c r="C179" s="3"/>
      <c r="D179" s="3" t="s">
        <v>184</v>
      </c>
      <c r="E179" s="3" t="s">
        <v>7</v>
      </c>
      <c r="F179" s="3" t="s">
        <v>7</v>
      </c>
      <c r="G179" s="4"/>
      <c r="H179" s="5" t="str">
        <f t="shared" si="2"/>
        <v>Defs</v>
      </c>
      <c r="I179" t="str">
        <f>IF(Table2[[#This Row],[!Type]]=I$1, I$1,"rg:None")</f>
        <v>boolean</v>
      </c>
      <c r="J179" t="str">
        <f>IF(Table2[[#This Row],[!Type]]=J$1, J$1,"rg:None")</f>
        <v>rg:None</v>
      </c>
      <c r="K179" t="str">
        <f>IF(Table2[[#This Row],[!Type]]=K$1, K$1,"rg:None")</f>
        <v>rg:None</v>
      </c>
      <c r="L179" s="10" t="str">
        <f>IF(Table2[[#This Row],[!Type]]=L$1, L$1,"rg:None")</f>
        <v>rg:None</v>
      </c>
      <c r="M179" s="5" t="str">
        <f>IF(Table2[[#This Row],[!Type]]=M$1, M$1,"rg:None")</f>
        <v>rg:None</v>
      </c>
      <c r="N179" s="5" t="str">
        <f>IF(Table2[[#This Row],[!Type]]=N$1, N$1,"rg:None")</f>
        <v>rg:None</v>
      </c>
      <c r="O179" s="5" t="str">
        <f>IF(Table2[[#This Row],[!Type]]=O$1, O$1,"rg:None")</f>
        <v>rg:None</v>
      </c>
      <c r="P179" s="5" t="str">
        <f>IF(Table2[[#This Row],[!Type]]=P$1, P$1,"rg:None")</f>
        <v>rg:None</v>
      </c>
      <c r="Q179" s="10" t="str">
        <f>IF(LEN(Table2[[#This Row],[!Length]]) &gt; 0, Table2[[#This Row],[!Length]], "rg:None")</f>
        <v>rg:None</v>
      </c>
      <c r="R179" s="10" t="str">
        <f>IF(LEN(Table2[[#This Row],[!Name]]) &gt; 0, Table2[[#This Row],[!Name]], "rg:None")</f>
        <v>isAllDay</v>
      </c>
      <c r="S179" s="10" t="str">
        <f>IF(LEN(Table2[[#This Row],[!Description]]) &gt; 0, Table2[[#This Row],[!Description]], "rg:None")</f>
        <v>rg:None</v>
      </c>
      <c r="T179" s="10" t="str">
        <f>IF(LEN(Table2[[#This Row],[!FK]])&gt;0,Table2[[#This Row],[!FK]],"rg:None")</f>
        <v>rg:None</v>
      </c>
      <c r="U179" s="10" t="str">
        <f>IF(LEN(concatif2(A:A,Table2[[#This Row],[!Table]],G:G,"Y",D:D,",")) &gt; 0,"rg:[ { 'req' : '"&amp;concatif2(A:A,Table2[[#This Row],[!Table]],G:G,"Y",D:D,"' }, { 'req': '")&amp;"'} ]","rg:[]")</f>
        <v>rg:[ { 'req' : 'id'} ]</v>
      </c>
    </row>
    <row r="180" spans="1:21" x14ac:dyDescent="0.3">
      <c r="A180" s="3" t="s">
        <v>177</v>
      </c>
      <c r="B180" s="3" t="s">
        <v>10</v>
      </c>
      <c r="C180" s="3"/>
      <c r="D180" s="3" t="s">
        <v>185</v>
      </c>
      <c r="E180" s="3" t="s">
        <v>7</v>
      </c>
      <c r="F180" s="3" t="s">
        <v>7</v>
      </c>
      <c r="G180" s="4"/>
      <c r="H180" s="5" t="str">
        <f t="shared" si="2"/>
        <v>Defs</v>
      </c>
      <c r="I180" t="str">
        <f>IF(Table2[[#This Row],[!Type]]=I$1, I$1,"rg:None")</f>
        <v>rg:None</v>
      </c>
      <c r="J180" t="str">
        <f>IF(Table2[[#This Row],[!Type]]=J$1, J$1,"rg:None")</f>
        <v>rg:None</v>
      </c>
      <c r="K180" t="str">
        <f>IF(Table2[[#This Row],[!Type]]=K$1, K$1,"rg:None")</f>
        <v>rg:None</v>
      </c>
      <c r="L180" s="10" t="str">
        <f>IF(Table2[[#This Row],[!Type]]=L$1, L$1,"rg:None")</f>
        <v>rg:None</v>
      </c>
      <c r="M180" s="5" t="str">
        <f>IF(Table2[[#This Row],[!Type]]=M$1, M$1,"rg:None")</f>
        <v>rg:None</v>
      </c>
      <c r="N180" s="5" t="str">
        <f>IF(Table2[[#This Row],[!Type]]=N$1, N$1,"rg:None")</f>
        <v>rg:None</v>
      </c>
      <c r="O180" s="5" t="str">
        <f>IF(Table2[[#This Row],[!Type]]=O$1, O$1,"rg:None")</f>
        <v>string</v>
      </c>
      <c r="P180" s="5" t="str">
        <f>IF(Table2[[#This Row],[!Type]]=P$1, P$1,"rg:None")</f>
        <v>rg:None</v>
      </c>
      <c r="Q180" s="10" t="str">
        <f>IF(LEN(Table2[[#This Row],[!Length]]) &gt; 0, Table2[[#This Row],[!Length]], "rg:None")</f>
        <v>rg:None</v>
      </c>
      <c r="R180" s="10" t="str">
        <f>IF(LEN(Table2[[#This Row],[!Name]]) &gt; 0, Table2[[#This Row],[!Name]], "rg:None")</f>
        <v>priorityCode</v>
      </c>
      <c r="S180" s="10" t="str">
        <f>IF(LEN(Table2[[#This Row],[!Description]]) &gt; 0, Table2[[#This Row],[!Description]], "rg:None")</f>
        <v>rg:None</v>
      </c>
      <c r="T180" s="10" t="str">
        <f>IF(LEN(Table2[[#This Row],[!FK]])&gt;0,Table2[[#This Row],[!FK]],"rg:None")</f>
        <v>rg:None</v>
      </c>
      <c r="U180" s="10" t="str">
        <f>IF(LEN(concatif2(A:A,Table2[[#This Row],[!Table]],G:G,"Y",D:D,",")) &gt; 0,"rg:[ { 'req' : '"&amp;concatif2(A:A,Table2[[#This Row],[!Table]],G:G,"Y",D:D,"' }, { 'req': '")&amp;"'} ]","rg:[]")</f>
        <v>rg:[ { 'req' : 'id'} ]</v>
      </c>
    </row>
    <row r="181" spans="1:21" x14ac:dyDescent="0.3">
      <c r="A181" s="3" t="s">
        <v>177</v>
      </c>
      <c r="B181" s="3" t="s">
        <v>17</v>
      </c>
      <c r="C181" s="3"/>
      <c r="D181" s="3" t="s">
        <v>186</v>
      </c>
      <c r="E181" s="3" t="s">
        <v>7</v>
      </c>
      <c r="F181" s="3" t="s">
        <v>0</v>
      </c>
      <c r="G181" s="4"/>
      <c r="H181" s="5" t="str">
        <f t="shared" si="2"/>
        <v>Defs</v>
      </c>
      <c r="I181" t="str">
        <f>IF(Table2[[#This Row],[!Type]]=I$1, I$1,"rg:None")</f>
        <v>rg:None</v>
      </c>
      <c r="J181" t="str">
        <f>IF(Table2[[#This Row],[!Type]]=J$1, J$1,"rg:None")</f>
        <v>rg:None</v>
      </c>
      <c r="K181" t="str">
        <f>IF(Table2[[#This Row],[!Type]]=K$1, K$1,"rg:None")</f>
        <v>rg:None</v>
      </c>
      <c r="L181" s="10" t="str">
        <f>IF(Table2[[#This Row],[!Type]]=L$1, L$1,"rg:None")</f>
        <v>rg:None</v>
      </c>
      <c r="M181" s="5" t="str">
        <f>IF(Table2[[#This Row],[!Type]]=M$1, M$1,"rg:None")</f>
        <v>rg:None</v>
      </c>
      <c r="N181" s="5" t="str">
        <f>IF(Table2[[#This Row],[!Type]]=N$1, N$1,"rg:None")</f>
        <v>ref</v>
      </c>
      <c r="O181" s="5" t="str">
        <f>IF(Table2[[#This Row],[!Type]]=O$1, O$1,"rg:None")</f>
        <v>rg:None</v>
      </c>
      <c r="P181" s="5" t="str">
        <f>IF(Table2[[#This Row],[!Type]]=P$1, P$1,"rg:None")</f>
        <v>rg:None</v>
      </c>
      <c r="Q181" s="10" t="str">
        <f>IF(LEN(Table2[[#This Row],[!Length]]) &gt; 0, Table2[[#This Row],[!Length]], "rg:None")</f>
        <v>rg:None</v>
      </c>
      <c r="R181" s="10" t="str">
        <f>IF(LEN(Table2[[#This Row],[!Name]]) &gt; 0, Table2[[#This Row],[!Name]], "rg:None")</f>
        <v>user</v>
      </c>
      <c r="S181" s="10" t="str">
        <f>IF(LEN(Table2[[#This Row],[!Description]]) &gt; 0, Table2[[#This Row],[!Description]], "rg:None")</f>
        <v>rg:None</v>
      </c>
      <c r="T181" s="10" t="str">
        <f>IF(LEN(Table2[[#This Row],[!FK]])&gt;0,Table2[[#This Row],[!FK]],"rg:None")</f>
        <v>User</v>
      </c>
      <c r="U181" s="10" t="str">
        <f>IF(LEN(concatif2(A:A,Table2[[#This Row],[!Table]],G:G,"Y",D:D,",")) &gt; 0,"rg:[ { 'req' : '"&amp;concatif2(A:A,Table2[[#This Row],[!Table]],G:G,"Y",D:D,"' }, { 'req': '")&amp;"'} ]","rg:[]")</f>
        <v>rg:[ { 'req' : 'id'} ]</v>
      </c>
    </row>
    <row r="182" spans="1:21" x14ac:dyDescent="0.3">
      <c r="A182" s="3" t="s">
        <v>179</v>
      </c>
      <c r="B182" s="3" t="s">
        <v>5</v>
      </c>
      <c r="C182" s="3"/>
      <c r="D182" s="3" t="s">
        <v>179</v>
      </c>
      <c r="E182" s="3" t="s">
        <v>7</v>
      </c>
      <c r="F182" s="3" t="s">
        <v>7</v>
      </c>
      <c r="G182" s="4"/>
      <c r="H182" s="5" t="str">
        <f t="shared" si="2"/>
        <v>Defs</v>
      </c>
      <c r="I182" t="str">
        <f>IF(Table2[[#This Row],[!Type]]=I$1, I$1,"rg:None")</f>
        <v>rg:None</v>
      </c>
      <c r="J182" t="str">
        <f>IF(Table2[[#This Row],[!Type]]=J$1, J$1,"rg:None")</f>
        <v>rg:None</v>
      </c>
      <c r="K182" t="str">
        <f>IF(Table2[[#This Row],[!Type]]=K$1, K$1,"rg:None")</f>
        <v>rg:None</v>
      </c>
      <c r="L182" s="10" t="str">
        <f>IF(Table2[[#This Row],[!Type]]=L$1, L$1,"rg:None")</f>
        <v>rg:None</v>
      </c>
      <c r="M182" s="5" t="str">
        <f>IF(Table2[[#This Row],[!Type]]=M$1, M$1,"rg:None")</f>
        <v>rg:None</v>
      </c>
      <c r="N182" s="5" t="str">
        <f>IF(Table2[[#This Row],[!Type]]=N$1, N$1,"rg:None")</f>
        <v>rg:None</v>
      </c>
      <c r="O182" s="5" t="str">
        <f>IF(Table2[[#This Row],[!Type]]=O$1, O$1,"rg:None")</f>
        <v>rg:None</v>
      </c>
      <c r="P182" s="5" t="str">
        <f>IF(Table2[[#This Row],[!Type]]=P$1, P$1,"rg:None")</f>
        <v>table</v>
      </c>
      <c r="Q182" s="10" t="str">
        <f>IF(LEN(Table2[[#This Row],[!Length]]) &gt; 0, Table2[[#This Row],[!Length]], "rg:None")</f>
        <v>rg:None</v>
      </c>
      <c r="R182" s="10" t="str">
        <f>IF(LEN(Table2[[#This Row],[!Name]]) &gt; 0, Table2[[#This Row],[!Name]], "rg:None")</f>
        <v>NotificationEvent</v>
      </c>
      <c r="S182" s="10" t="str">
        <f>IF(LEN(Table2[[#This Row],[!Description]]) &gt; 0, Table2[[#This Row],[!Description]], "rg:None")</f>
        <v>rg:None</v>
      </c>
      <c r="T182" s="10" t="str">
        <f>IF(LEN(Table2[[#This Row],[!FK]])&gt;0,Table2[[#This Row],[!FK]],"rg:None")</f>
        <v>rg:None</v>
      </c>
      <c r="U182" s="10" t="str">
        <f>IF(LEN(concatif2(A:A,Table2[[#This Row],[!Table]],G:G,"Y",D:D,",")) &gt; 0,"rg:[ { 'req' : '"&amp;concatif2(A:A,Table2[[#This Row],[!Table]],G:G,"Y",D:D,"' }, { 'req': '")&amp;"'} ]","rg:[]")</f>
        <v>rg:[ { 'req' : 'id'} ]</v>
      </c>
    </row>
    <row r="183" spans="1:21" x14ac:dyDescent="0.3">
      <c r="A183" s="3" t="s">
        <v>179</v>
      </c>
      <c r="B183" s="3" t="s">
        <v>8</v>
      </c>
      <c r="C183" s="3"/>
      <c r="D183" s="3" t="s">
        <v>8</v>
      </c>
      <c r="E183" s="3" t="s">
        <v>9</v>
      </c>
      <c r="F183" s="3" t="s">
        <v>7</v>
      </c>
      <c r="G183" s="4" t="s">
        <v>211</v>
      </c>
      <c r="H183" s="5" t="str">
        <f t="shared" si="2"/>
        <v>Defs</v>
      </c>
      <c r="I183" t="str">
        <f>IF(Table2[[#This Row],[!Type]]=I$1, I$1,"rg:None")</f>
        <v>rg:None</v>
      </c>
      <c r="J183" t="str">
        <f>IF(Table2[[#This Row],[!Type]]=J$1, J$1,"rg:None")</f>
        <v>rg:None</v>
      </c>
      <c r="K183" t="str">
        <f>IF(Table2[[#This Row],[!Type]]=K$1, K$1,"rg:None")</f>
        <v>id</v>
      </c>
      <c r="L183" s="10" t="str">
        <f>IF(Table2[[#This Row],[!Type]]=L$1, L$1,"rg:None")</f>
        <v>rg:None</v>
      </c>
      <c r="M183" s="5" t="str">
        <f>IF(Table2[[#This Row],[!Type]]=M$1, M$1,"rg:None")</f>
        <v>rg:None</v>
      </c>
      <c r="N183" s="5" t="str">
        <f>IF(Table2[[#This Row],[!Type]]=N$1, N$1,"rg:None")</f>
        <v>rg:None</v>
      </c>
      <c r="O183" s="5" t="str">
        <f>IF(Table2[[#This Row],[!Type]]=O$1, O$1,"rg:None")</f>
        <v>rg:None</v>
      </c>
      <c r="P183" s="5" t="str">
        <f>IF(Table2[[#This Row],[!Type]]=P$1, P$1,"rg:None")</f>
        <v>rg:None</v>
      </c>
      <c r="Q183" s="10" t="str">
        <f>IF(LEN(Table2[[#This Row],[!Length]]) &gt; 0, Table2[[#This Row],[!Length]], "rg:None")</f>
        <v>rg:None</v>
      </c>
      <c r="R183" s="10" t="str">
        <f>IF(LEN(Table2[[#This Row],[!Name]]) &gt; 0, Table2[[#This Row],[!Name]], "rg:None")</f>
        <v>id</v>
      </c>
      <c r="S183" s="10" t="str">
        <f>IF(LEN(Table2[[#This Row],[!Description]]) &gt; 0, Table2[[#This Row],[!Description]], "rg:None")</f>
        <v>Primary Key</v>
      </c>
      <c r="T183" s="10" t="str">
        <f>IF(LEN(Table2[[#This Row],[!FK]])&gt;0,Table2[[#This Row],[!FK]],"rg:None")</f>
        <v>rg:None</v>
      </c>
      <c r="U183" s="10" t="str">
        <f>IF(LEN(concatif2(A:A,Table2[[#This Row],[!Table]],G:G,"Y",D:D,",")) &gt; 0,"rg:[ { 'req' : '"&amp;concatif2(A:A,Table2[[#This Row],[!Table]],G:G,"Y",D:D,"' }, { 'req': '")&amp;"'} ]","rg:[]")</f>
        <v>rg:[ { 'req' : 'id'} ]</v>
      </c>
    </row>
    <row r="184" spans="1:21" x14ac:dyDescent="0.3">
      <c r="A184" s="3" t="s">
        <v>179</v>
      </c>
      <c r="B184" s="8" t="s">
        <v>43</v>
      </c>
      <c r="C184" s="3"/>
      <c r="D184" s="3" t="s">
        <v>187</v>
      </c>
      <c r="E184" s="3" t="s">
        <v>7</v>
      </c>
      <c r="F184" s="3" t="s">
        <v>7</v>
      </c>
      <c r="G184" s="4"/>
      <c r="H184" s="5" t="str">
        <f t="shared" si="2"/>
        <v>Defs</v>
      </c>
      <c r="I184" t="str">
        <f>IF(Table2[[#This Row],[!Type]]=I$1, I$1,"rg:None")</f>
        <v>rg:None</v>
      </c>
      <c r="J184" t="str">
        <f>IF(Table2[[#This Row],[!Type]]=J$1, J$1,"rg:None")</f>
        <v>datetime</v>
      </c>
      <c r="K184" t="str">
        <f>IF(Table2[[#This Row],[!Type]]=K$1, K$1,"rg:None")</f>
        <v>rg:None</v>
      </c>
      <c r="L184" s="10" t="str">
        <f>IF(Table2[[#This Row],[!Type]]=L$1, L$1,"rg:None")</f>
        <v>rg:None</v>
      </c>
      <c r="M184" s="5" t="str">
        <f>IF(Table2[[#This Row],[!Type]]=M$1, M$1,"rg:None")</f>
        <v>rg:None</v>
      </c>
      <c r="N184" s="5" t="str">
        <f>IF(Table2[[#This Row],[!Type]]=N$1, N$1,"rg:None")</f>
        <v>rg:None</v>
      </c>
      <c r="O184" s="5" t="str">
        <f>IF(Table2[[#This Row],[!Type]]=O$1, O$1,"rg:None")</f>
        <v>rg:None</v>
      </c>
      <c r="P184" s="5" t="str">
        <f>IF(Table2[[#This Row],[!Type]]=P$1, P$1,"rg:None")</f>
        <v>rg:None</v>
      </c>
      <c r="Q184" s="10" t="str">
        <f>IF(LEN(Table2[[#This Row],[!Length]]) &gt; 0, Table2[[#This Row],[!Length]], "rg:None")</f>
        <v>rg:None</v>
      </c>
      <c r="R184" s="10" t="str">
        <f>IF(LEN(Table2[[#This Row],[!Name]]) &gt; 0, Table2[[#This Row],[!Name]], "rg:None")</f>
        <v>eventTime</v>
      </c>
      <c r="S184" s="10" t="str">
        <f>IF(LEN(Table2[[#This Row],[!Description]]) &gt; 0, Table2[[#This Row],[!Description]], "rg:None")</f>
        <v>rg:None</v>
      </c>
      <c r="T184" s="10" t="str">
        <f>IF(LEN(Table2[[#This Row],[!FK]])&gt;0,Table2[[#This Row],[!FK]],"rg:None")</f>
        <v>rg:None</v>
      </c>
      <c r="U184" s="10" t="str">
        <f>IF(LEN(concatif2(A:A,Table2[[#This Row],[!Table]],G:G,"Y",D:D,",")) &gt; 0,"rg:[ { 'req' : '"&amp;concatif2(A:A,Table2[[#This Row],[!Table]],G:G,"Y",D:D,"' }, { 'req': '")&amp;"'} ]","rg:[]")</f>
        <v>rg:[ { 'req' : 'id'} ]</v>
      </c>
    </row>
    <row r="185" spans="1:21" x14ac:dyDescent="0.3">
      <c r="A185" s="3" t="s">
        <v>179</v>
      </c>
      <c r="B185" s="3" t="s">
        <v>10</v>
      </c>
      <c r="C185" s="3"/>
      <c r="D185" s="3" t="s">
        <v>188</v>
      </c>
      <c r="E185" s="3" t="s">
        <v>7</v>
      </c>
      <c r="F185" s="3" t="s">
        <v>7</v>
      </c>
      <c r="G185" s="4"/>
      <c r="H185" s="5" t="str">
        <f t="shared" si="2"/>
        <v>Defs</v>
      </c>
      <c r="I185" t="str">
        <f>IF(Table2[[#This Row],[!Type]]=I$1, I$1,"rg:None")</f>
        <v>rg:None</v>
      </c>
      <c r="J185" t="str">
        <f>IF(Table2[[#This Row],[!Type]]=J$1, J$1,"rg:None")</f>
        <v>rg:None</v>
      </c>
      <c r="K185" t="str">
        <f>IF(Table2[[#This Row],[!Type]]=K$1, K$1,"rg:None")</f>
        <v>rg:None</v>
      </c>
      <c r="L185" s="10" t="str">
        <f>IF(Table2[[#This Row],[!Type]]=L$1, L$1,"rg:None")</f>
        <v>rg:None</v>
      </c>
      <c r="M185" s="5" t="str">
        <f>IF(Table2[[#This Row],[!Type]]=M$1, M$1,"rg:None")</f>
        <v>rg:None</v>
      </c>
      <c r="N185" s="5" t="str">
        <f>IF(Table2[[#This Row],[!Type]]=N$1, N$1,"rg:None")</f>
        <v>rg:None</v>
      </c>
      <c r="O185" s="5" t="str">
        <f>IF(Table2[[#This Row],[!Type]]=O$1, O$1,"rg:None")</f>
        <v>string</v>
      </c>
      <c r="P185" s="5" t="str">
        <f>IF(Table2[[#This Row],[!Type]]=P$1, P$1,"rg:None")</f>
        <v>rg:None</v>
      </c>
      <c r="Q185" s="10" t="str">
        <f>IF(LEN(Table2[[#This Row],[!Length]]) &gt; 0, Table2[[#This Row],[!Length]], "rg:None")</f>
        <v>rg:None</v>
      </c>
      <c r="R185" s="10" t="str">
        <f>IF(LEN(Table2[[#This Row],[!Name]]) &gt; 0, Table2[[#This Row],[!Name]], "rg:None")</f>
        <v>eventTypeCode</v>
      </c>
      <c r="S185" s="10" t="str">
        <f>IF(LEN(Table2[[#This Row],[!Description]]) &gt; 0, Table2[[#This Row],[!Description]], "rg:None")</f>
        <v>rg:None</v>
      </c>
      <c r="T185" s="10" t="str">
        <f>IF(LEN(Table2[[#This Row],[!FK]])&gt;0,Table2[[#This Row],[!FK]],"rg:None")</f>
        <v>rg:None</v>
      </c>
      <c r="U185" s="10" t="str">
        <f>IF(LEN(concatif2(A:A,Table2[[#This Row],[!Table]],G:G,"Y",D:D,",")) &gt; 0,"rg:[ { 'req' : '"&amp;concatif2(A:A,Table2[[#This Row],[!Table]],G:G,"Y",D:D,"' }, { 'req': '")&amp;"'} ]","rg:[]")</f>
        <v>rg:[ { 'req' : 'id'} ]</v>
      </c>
    </row>
    <row r="186" spans="1:21" x14ac:dyDescent="0.3">
      <c r="A186" s="3" t="s">
        <v>179</v>
      </c>
      <c r="B186" s="3" t="s">
        <v>10</v>
      </c>
      <c r="C186" s="3"/>
      <c r="D186" s="3" t="s">
        <v>189</v>
      </c>
      <c r="E186" s="3" t="s">
        <v>7</v>
      </c>
      <c r="F186" s="3" t="s">
        <v>7</v>
      </c>
      <c r="G186" s="4"/>
      <c r="H186" s="5" t="str">
        <f t="shared" si="2"/>
        <v>Defs</v>
      </c>
      <c r="I186" t="str">
        <f>IF(Table2[[#This Row],[!Type]]=I$1, I$1,"rg:None")</f>
        <v>rg:None</v>
      </c>
      <c r="J186" t="str">
        <f>IF(Table2[[#This Row],[!Type]]=J$1, J$1,"rg:None")</f>
        <v>rg:None</v>
      </c>
      <c r="K186" t="str">
        <f>IF(Table2[[#This Row],[!Type]]=K$1, K$1,"rg:None")</f>
        <v>rg:None</v>
      </c>
      <c r="L186" s="10" t="str">
        <f>IF(Table2[[#This Row],[!Type]]=L$1, L$1,"rg:None")</f>
        <v>rg:None</v>
      </c>
      <c r="M186" s="5" t="str">
        <f>IF(Table2[[#This Row],[!Type]]=M$1, M$1,"rg:None")</f>
        <v>rg:None</v>
      </c>
      <c r="N186" s="5" t="str">
        <f>IF(Table2[[#This Row],[!Type]]=N$1, N$1,"rg:None")</f>
        <v>rg:None</v>
      </c>
      <c r="O186" s="5" t="str">
        <f>IF(Table2[[#This Row],[!Type]]=O$1, O$1,"rg:None")</f>
        <v>string</v>
      </c>
      <c r="P186" s="5" t="str">
        <f>IF(Table2[[#This Row],[!Type]]=P$1, P$1,"rg:None")</f>
        <v>rg:None</v>
      </c>
      <c r="Q186" s="10" t="str">
        <f>IF(LEN(Table2[[#This Row],[!Length]]) &gt; 0, Table2[[#This Row],[!Length]], "rg:None")</f>
        <v>rg:None</v>
      </c>
      <c r="R186" s="10" t="str">
        <f>IF(LEN(Table2[[#This Row],[!Name]]) &gt; 0, Table2[[#This Row],[!Name]], "rg:None")</f>
        <v>eventSubTypeCode</v>
      </c>
      <c r="S186" s="10" t="str">
        <f>IF(LEN(Table2[[#This Row],[!Description]]) &gt; 0, Table2[[#This Row],[!Description]], "rg:None")</f>
        <v>rg:None</v>
      </c>
      <c r="T186" s="10" t="str">
        <f>IF(LEN(Table2[[#This Row],[!FK]])&gt;0,Table2[[#This Row],[!FK]],"rg:None")</f>
        <v>rg:None</v>
      </c>
      <c r="U186" s="10" t="str">
        <f>IF(LEN(concatif2(A:A,Table2[[#This Row],[!Table]],G:G,"Y",D:D,",")) &gt; 0,"rg:[ { 'req' : '"&amp;concatif2(A:A,Table2[[#This Row],[!Table]],G:G,"Y",D:D,"' }, { 'req': '")&amp;"'} ]","rg:[]")</f>
        <v>rg:[ { 'req' : 'id'} ]</v>
      </c>
    </row>
    <row r="187" spans="1:21" x14ac:dyDescent="0.3">
      <c r="A187" s="3" t="s">
        <v>179</v>
      </c>
      <c r="B187" s="3" t="s">
        <v>10</v>
      </c>
      <c r="C187" s="3"/>
      <c r="D187" s="3" t="s">
        <v>105</v>
      </c>
      <c r="E187" s="3" t="s">
        <v>7</v>
      </c>
      <c r="F187" s="3" t="s">
        <v>7</v>
      </c>
      <c r="G187" s="4"/>
      <c r="H187" s="5" t="str">
        <f t="shared" si="2"/>
        <v>Defs</v>
      </c>
      <c r="I187" t="str">
        <f>IF(Table2[[#This Row],[!Type]]=I$1, I$1,"rg:None")</f>
        <v>rg:None</v>
      </c>
      <c r="J187" t="str">
        <f>IF(Table2[[#This Row],[!Type]]=J$1, J$1,"rg:None")</f>
        <v>rg:None</v>
      </c>
      <c r="K187" t="str">
        <f>IF(Table2[[#This Row],[!Type]]=K$1, K$1,"rg:None")</f>
        <v>rg:None</v>
      </c>
      <c r="L187" s="10" t="str">
        <f>IF(Table2[[#This Row],[!Type]]=L$1, L$1,"rg:None")</f>
        <v>rg:None</v>
      </c>
      <c r="M187" s="5" t="str">
        <f>IF(Table2[[#This Row],[!Type]]=M$1, M$1,"rg:None")</f>
        <v>rg:None</v>
      </c>
      <c r="N187" s="5" t="str">
        <f>IF(Table2[[#This Row],[!Type]]=N$1, N$1,"rg:None")</f>
        <v>rg:None</v>
      </c>
      <c r="O187" s="5" t="str">
        <f>IF(Table2[[#This Row],[!Type]]=O$1, O$1,"rg:None")</f>
        <v>string</v>
      </c>
      <c r="P187" s="5" t="str">
        <f>IF(Table2[[#This Row],[!Type]]=P$1, P$1,"rg:None")</f>
        <v>rg:None</v>
      </c>
      <c r="Q187" s="10" t="str">
        <f>IF(LEN(Table2[[#This Row],[!Length]]) &gt; 0, Table2[[#This Row],[!Length]], "rg:None")</f>
        <v>rg:None</v>
      </c>
      <c r="R187" s="10" t="str">
        <f>IF(LEN(Table2[[#This Row],[!Name]]) &gt; 0, Table2[[#This Row],[!Name]], "rg:None")</f>
        <v>notes</v>
      </c>
      <c r="S187" s="10" t="str">
        <f>IF(LEN(Table2[[#This Row],[!Description]]) &gt; 0, Table2[[#This Row],[!Description]], "rg:None")</f>
        <v>rg:None</v>
      </c>
      <c r="T187" s="10" t="str">
        <f>IF(LEN(Table2[[#This Row],[!FK]])&gt;0,Table2[[#This Row],[!FK]],"rg:None")</f>
        <v>rg:None</v>
      </c>
      <c r="U187" s="10" t="str">
        <f>IF(LEN(concatif2(A:A,Table2[[#This Row],[!Table]],G:G,"Y",D:D,",")) &gt; 0,"rg:[ { 'req' : '"&amp;concatif2(A:A,Table2[[#This Row],[!Table]],G:G,"Y",D:D,"' }, { 'req': '")&amp;"'} ]","rg:[]")</f>
        <v>rg:[ { 'req' : 'id'} ]</v>
      </c>
    </row>
    <row r="188" spans="1:21" x14ac:dyDescent="0.3">
      <c r="A188" s="3" t="s">
        <v>179</v>
      </c>
      <c r="B188" s="3" t="s">
        <v>24</v>
      </c>
      <c r="C188" s="3"/>
      <c r="D188" s="3" t="s">
        <v>190</v>
      </c>
      <c r="E188" s="3" t="s">
        <v>7</v>
      </c>
      <c r="F188" s="3" t="s">
        <v>7</v>
      </c>
      <c r="G188" s="4"/>
      <c r="H188" s="5" t="str">
        <f t="shared" si="2"/>
        <v>Defs</v>
      </c>
      <c r="I188" t="str">
        <f>IF(Table2[[#This Row],[!Type]]=I$1, I$1,"rg:None")</f>
        <v>boolean</v>
      </c>
      <c r="J188" t="str">
        <f>IF(Table2[[#This Row],[!Type]]=J$1, J$1,"rg:None")</f>
        <v>rg:None</v>
      </c>
      <c r="K188" t="str">
        <f>IF(Table2[[#This Row],[!Type]]=K$1, K$1,"rg:None")</f>
        <v>rg:None</v>
      </c>
      <c r="L188" s="10" t="str">
        <f>IF(Table2[[#This Row],[!Type]]=L$1, L$1,"rg:None")</f>
        <v>rg:None</v>
      </c>
      <c r="M188" s="5" t="str">
        <f>IF(Table2[[#This Row],[!Type]]=M$1, M$1,"rg:None")</f>
        <v>rg:None</v>
      </c>
      <c r="N188" s="5" t="str">
        <f>IF(Table2[[#This Row],[!Type]]=N$1, N$1,"rg:None")</f>
        <v>rg:None</v>
      </c>
      <c r="O188" s="5" t="str">
        <f>IF(Table2[[#This Row],[!Type]]=O$1, O$1,"rg:None")</f>
        <v>rg:None</v>
      </c>
      <c r="P188" s="5" t="str">
        <f>IF(Table2[[#This Row],[!Type]]=P$1, P$1,"rg:None")</f>
        <v>rg:None</v>
      </c>
      <c r="Q188" s="10" t="str">
        <f>IF(LEN(Table2[[#This Row],[!Length]]) &gt; 0, Table2[[#This Row],[!Length]], "rg:None")</f>
        <v>rg:None</v>
      </c>
      <c r="R188" s="10" t="str">
        <f>IF(LEN(Table2[[#This Row],[!Name]]) &gt; 0, Table2[[#This Row],[!Name]], "rg:None")</f>
        <v>notificationGenerated</v>
      </c>
      <c r="S188" s="10" t="str">
        <f>IF(LEN(Table2[[#This Row],[!Description]]) &gt; 0, Table2[[#This Row],[!Description]], "rg:None")</f>
        <v>rg:None</v>
      </c>
      <c r="T188" s="10" t="str">
        <f>IF(LEN(Table2[[#This Row],[!FK]])&gt;0,Table2[[#This Row],[!FK]],"rg:None")</f>
        <v>rg:None</v>
      </c>
      <c r="U188" s="10" t="str">
        <f>IF(LEN(concatif2(A:A,Table2[[#This Row],[!Table]],G:G,"Y",D:D,",")) &gt; 0,"rg:[ { 'req' : '"&amp;concatif2(A:A,Table2[[#This Row],[!Table]],G:G,"Y",D:D,"' }, { 'req': '")&amp;"'} ]","rg:[]")</f>
        <v>rg:[ { 'req' : 'id'} ]</v>
      </c>
    </row>
    <row r="189" spans="1:21" x14ac:dyDescent="0.3">
      <c r="A189" s="3" t="s">
        <v>179</v>
      </c>
      <c r="B189" s="3" t="s">
        <v>17</v>
      </c>
      <c r="C189" s="3"/>
      <c r="D189" s="3" t="s">
        <v>73</v>
      </c>
      <c r="E189" s="3" t="s">
        <v>7</v>
      </c>
      <c r="F189" s="3" t="s">
        <v>4</v>
      </c>
      <c r="G189" s="4"/>
      <c r="H189" s="5" t="str">
        <f t="shared" si="2"/>
        <v>Defs</v>
      </c>
      <c r="I189" t="str">
        <f>IF(Table2[[#This Row],[!Type]]=I$1, I$1,"rg:None")</f>
        <v>rg:None</v>
      </c>
      <c r="J189" t="str">
        <f>IF(Table2[[#This Row],[!Type]]=J$1, J$1,"rg:None")</f>
        <v>rg:None</v>
      </c>
      <c r="K189" t="str">
        <f>IF(Table2[[#This Row],[!Type]]=K$1, K$1,"rg:None")</f>
        <v>rg:None</v>
      </c>
      <c r="L189" s="10" t="str">
        <f>IF(Table2[[#This Row],[!Type]]=L$1, L$1,"rg:None")</f>
        <v>rg:None</v>
      </c>
      <c r="M189" s="5" t="str">
        <f>IF(Table2[[#This Row],[!Type]]=M$1, M$1,"rg:None")</f>
        <v>rg:None</v>
      </c>
      <c r="N189" s="5" t="str">
        <f>IF(Table2[[#This Row],[!Type]]=N$1, N$1,"rg:None")</f>
        <v>ref</v>
      </c>
      <c r="O189" s="5" t="str">
        <f>IF(Table2[[#This Row],[!Type]]=O$1, O$1,"rg:None")</f>
        <v>rg:None</v>
      </c>
      <c r="P189" s="5" t="str">
        <f>IF(Table2[[#This Row],[!Type]]=P$1, P$1,"rg:None")</f>
        <v>rg:None</v>
      </c>
      <c r="Q189" s="10" t="str">
        <f>IF(LEN(Table2[[#This Row],[!Length]]) &gt; 0, Table2[[#This Row],[!Length]], "rg:None")</f>
        <v>rg:None</v>
      </c>
      <c r="R189" s="10" t="str">
        <f>IF(LEN(Table2[[#This Row],[!Name]]) &gt; 0, Table2[[#This Row],[!Name]], "rg:None")</f>
        <v>schoolBus</v>
      </c>
      <c r="S189" s="10" t="str">
        <f>IF(LEN(Table2[[#This Row],[!Description]]) &gt; 0, Table2[[#This Row],[!Description]], "rg:None")</f>
        <v>rg:None</v>
      </c>
      <c r="T189" s="10" t="str">
        <f>IF(LEN(Table2[[#This Row],[!FK]])&gt;0,Table2[[#This Row],[!FK]],"rg:None")</f>
        <v>SchoolBus</v>
      </c>
      <c r="U189" s="10" t="str">
        <f>IF(LEN(concatif2(A:A,Table2[[#This Row],[!Table]],G:G,"Y",D:D,",")) &gt; 0,"rg:[ { 'req' : '"&amp;concatif2(A:A,Table2[[#This Row],[!Table]],G:G,"Y",D:D,"' }, { 'req': '")&amp;"'} ]","rg:[]")</f>
        <v>rg:[ { 'req' : 'id'} ]</v>
      </c>
    </row>
    <row r="190" spans="1:21" x14ac:dyDescent="0.3">
      <c r="A190" s="3" t="s">
        <v>0</v>
      </c>
      <c r="B190" s="3" t="s">
        <v>5</v>
      </c>
      <c r="C190" s="3"/>
      <c r="D190" s="3" t="s">
        <v>0</v>
      </c>
      <c r="E190" s="3" t="s">
        <v>252</v>
      </c>
      <c r="F190" s="3" t="s">
        <v>7</v>
      </c>
      <c r="G190" s="4"/>
      <c r="H190" s="5" t="str">
        <f t="shared" si="2"/>
        <v>Defs</v>
      </c>
      <c r="I190" t="str">
        <f>IF(Table2[[#This Row],[!Type]]=I$1, I$1,"rg:None")</f>
        <v>rg:None</v>
      </c>
      <c r="J190" t="str">
        <f>IF(Table2[[#This Row],[!Type]]=J$1, J$1,"rg:None")</f>
        <v>rg:None</v>
      </c>
      <c r="K190" t="str">
        <f>IF(Table2[[#This Row],[!Type]]=K$1, K$1,"rg:None")</f>
        <v>rg:None</v>
      </c>
      <c r="L190" s="10" t="str">
        <f>IF(Table2[[#This Row],[!Type]]=L$1, L$1,"rg:None")</f>
        <v>rg:None</v>
      </c>
      <c r="M190" s="5" t="str">
        <f>IF(Table2[[#This Row],[!Type]]=M$1, M$1,"rg:None")</f>
        <v>rg:None</v>
      </c>
      <c r="N190" s="5" t="str">
        <f>IF(Table2[[#This Row],[!Type]]=N$1, N$1,"rg:None")</f>
        <v>rg:None</v>
      </c>
      <c r="O190" s="5" t="str">
        <f>IF(Table2[[#This Row],[!Type]]=O$1, O$1,"rg:None")</f>
        <v>rg:None</v>
      </c>
      <c r="P190" s="5" t="str">
        <f>IF(Table2[[#This Row],[!Type]]=P$1, P$1,"rg:None")</f>
        <v>table</v>
      </c>
      <c r="Q190" s="10" t="str">
        <f>IF(LEN(Table2[[#This Row],[!Length]]) &gt; 0, Table2[[#This Row],[!Length]], "rg:None")</f>
        <v>rg:None</v>
      </c>
      <c r="R190" s="10" t="str">
        <f>IF(LEN(Table2[[#This Row],[!Name]]) &gt; 0, Table2[[#This Row],[!Name]], "rg:None")</f>
        <v>User</v>
      </c>
      <c r="S190" s="10" t="str">
        <f>IF(LEN(Table2[[#This Row],[!Description]]) &gt; 0, Table2[[#This Row],[!Description]], "rg:None")</f>
        <v>Information about the users of the system.</v>
      </c>
      <c r="T190" s="10" t="str">
        <f>IF(LEN(Table2[[#This Row],[!FK]])&gt;0,Table2[[#This Row],[!FK]],"rg:None")</f>
        <v>rg:None</v>
      </c>
      <c r="U190" s="10" t="str">
        <f>IF(LEN(concatif2(A:A,Table2[[#This Row],[!Table]],G:G,"Y",D:D,",")) &gt; 0,"rg:[ { 'req' : '"&amp;concatif2(A:A,Table2[[#This Row],[!Table]],G:G,"Y",D:D,"' }, { 'req': '")&amp;"'} ]","rg:[]")</f>
        <v>rg:[ { 'req' : 'id' }, { 'req': 'active'} ]</v>
      </c>
    </row>
    <row r="191" spans="1:21" x14ac:dyDescent="0.3">
      <c r="A191" s="3" t="s">
        <v>0</v>
      </c>
      <c r="B191" s="3" t="s">
        <v>8</v>
      </c>
      <c r="C191" s="3"/>
      <c r="D191" s="3" t="s">
        <v>8</v>
      </c>
      <c r="E191" s="3" t="s">
        <v>9</v>
      </c>
      <c r="F191" s="3" t="s">
        <v>7</v>
      </c>
      <c r="G191" s="4" t="s">
        <v>211</v>
      </c>
      <c r="H191" s="5" t="str">
        <f t="shared" si="2"/>
        <v>Defs</v>
      </c>
      <c r="I191" t="str">
        <f>IF(Table2[[#This Row],[!Type]]=I$1, I$1,"rg:None")</f>
        <v>rg:None</v>
      </c>
      <c r="J191" t="str">
        <f>IF(Table2[[#This Row],[!Type]]=J$1, J$1,"rg:None")</f>
        <v>rg:None</v>
      </c>
      <c r="K191" t="str">
        <f>IF(Table2[[#This Row],[!Type]]=K$1, K$1,"rg:None")</f>
        <v>id</v>
      </c>
      <c r="L191" s="10" t="str">
        <f>IF(Table2[[#This Row],[!Type]]=L$1, L$1,"rg:None")</f>
        <v>rg:None</v>
      </c>
      <c r="M191" s="5" t="str">
        <f>IF(Table2[[#This Row],[!Type]]=M$1, M$1,"rg:None")</f>
        <v>rg:None</v>
      </c>
      <c r="N191" s="5" t="str">
        <f>IF(Table2[[#This Row],[!Type]]=N$1, N$1,"rg:None")</f>
        <v>rg:None</v>
      </c>
      <c r="O191" s="5" t="str">
        <f>IF(Table2[[#This Row],[!Type]]=O$1, O$1,"rg:None")</f>
        <v>rg:None</v>
      </c>
      <c r="P191" s="5" t="str">
        <f>IF(Table2[[#This Row],[!Type]]=P$1, P$1,"rg:None")</f>
        <v>rg:None</v>
      </c>
      <c r="Q191" s="10" t="str">
        <f>IF(LEN(Table2[[#This Row],[!Length]]) &gt; 0, Table2[[#This Row],[!Length]], "rg:None")</f>
        <v>rg:None</v>
      </c>
      <c r="R191" s="10" t="str">
        <f>IF(LEN(Table2[[#This Row],[!Name]]) &gt; 0, Table2[[#This Row],[!Name]], "rg:None")</f>
        <v>id</v>
      </c>
      <c r="S191" s="10" t="str">
        <f>IF(LEN(Table2[[#This Row],[!Description]]) &gt; 0, Table2[[#This Row],[!Description]], "rg:None")</f>
        <v>Primary Key</v>
      </c>
      <c r="T191" s="10" t="str">
        <f>IF(LEN(Table2[[#This Row],[!FK]])&gt;0,Table2[[#This Row],[!FK]],"rg:None")</f>
        <v>rg:None</v>
      </c>
      <c r="U191" s="10" t="str">
        <f>IF(LEN(concatif2(A:A,Table2[[#This Row],[!Table]],G:G,"Y",D:D,",")) &gt; 0,"rg:[ { 'req' : '"&amp;concatif2(A:A,Table2[[#This Row],[!Table]],G:G,"Y",D:D,"' }, { 'req': '")&amp;"'} ]","rg:[]")</f>
        <v>rg:[ { 'req' : 'id' }, { 'req': 'active'} ]</v>
      </c>
    </row>
    <row r="192" spans="1:21" x14ac:dyDescent="0.3">
      <c r="A192" s="3" t="s">
        <v>0</v>
      </c>
      <c r="B192" s="3" t="s">
        <v>10</v>
      </c>
      <c r="C192" s="3"/>
      <c r="D192" s="3" t="s">
        <v>99</v>
      </c>
      <c r="E192" s="3" t="s">
        <v>7</v>
      </c>
      <c r="F192" s="3" t="s">
        <v>7</v>
      </c>
      <c r="G192" s="4"/>
      <c r="H192" s="5" t="str">
        <f t="shared" si="2"/>
        <v>Defs</v>
      </c>
      <c r="I192" t="str">
        <f>IF(Table2[[#This Row],[!Type]]=I$1, I$1,"rg:None")</f>
        <v>rg:None</v>
      </c>
      <c r="J192" t="str">
        <f>IF(Table2[[#This Row],[!Type]]=J$1, J$1,"rg:None")</f>
        <v>rg:None</v>
      </c>
      <c r="K192" t="str">
        <f>IF(Table2[[#This Row],[!Type]]=K$1, K$1,"rg:None")</f>
        <v>rg:None</v>
      </c>
      <c r="L192" s="10" t="str">
        <f>IF(Table2[[#This Row],[!Type]]=L$1, L$1,"rg:None")</f>
        <v>rg:None</v>
      </c>
      <c r="M192" s="5" t="str">
        <f>IF(Table2[[#This Row],[!Type]]=M$1, M$1,"rg:None")</f>
        <v>rg:None</v>
      </c>
      <c r="N192" s="5" t="str">
        <f>IF(Table2[[#This Row],[!Type]]=N$1, N$1,"rg:None")</f>
        <v>rg:None</v>
      </c>
      <c r="O192" s="5" t="str">
        <f>IF(Table2[[#This Row],[!Type]]=O$1, O$1,"rg:None")</f>
        <v>string</v>
      </c>
      <c r="P192" s="5" t="str">
        <f>IF(Table2[[#This Row],[!Type]]=P$1, P$1,"rg:None")</f>
        <v>rg:None</v>
      </c>
      <c r="Q192" s="10" t="str">
        <f>IF(LEN(Table2[[#This Row],[!Length]]) &gt; 0, Table2[[#This Row],[!Length]], "rg:None")</f>
        <v>rg:None</v>
      </c>
      <c r="R192" s="10" t="str">
        <f>IF(LEN(Table2[[#This Row],[!Name]]) &gt; 0, Table2[[#This Row],[!Name]], "rg:None")</f>
        <v>givenName</v>
      </c>
      <c r="S192" s="10" t="str">
        <f>IF(LEN(Table2[[#This Row],[!Description]]) &gt; 0, Table2[[#This Row],[!Description]], "rg:None")</f>
        <v>rg:None</v>
      </c>
      <c r="T192" s="10" t="str">
        <f>IF(LEN(Table2[[#This Row],[!FK]])&gt;0,Table2[[#This Row],[!FK]],"rg:None")</f>
        <v>rg:None</v>
      </c>
      <c r="U192" s="10" t="str">
        <f>IF(LEN(concatif2(A:A,Table2[[#This Row],[!Table]],G:G,"Y",D:D,",")) &gt; 0,"rg:[ { 'req' : '"&amp;concatif2(A:A,Table2[[#This Row],[!Table]],G:G,"Y",D:D,"' }, { 'req': '")&amp;"'} ]","rg:[]")</f>
        <v>rg:[ { 'req' : 'id' }, { 'req': 'active'} ]</v>
      </c>
    </row>
    <row r="193" spans="1:21" x14ac:dyDescent="0.3">
      <c r="A193" s="3" t="s">
        <v>0</v>
      </c>
      <c r="B193" s="3" t="s">
        <v>10</v>
      </c>
      <c r="C193" s="3"/>
      <c r="D193" s="3" t="s">
        <v>101</v>
      </c>
      <c r="E193" s="3" t="s">
        <v>7</v>
      </c>
      <c r="F193" s="3" t="s">
        <v>7</v>
      </c>
      <c r="G193" s="4"/>
      <c r="H193" s="5" t="str">
        <f t="shared" ref="H193:H229" si="3">IF(LEN(A193) &gt; 0,"Defs","-")</f>
        <v>Defs</v>
      </c>
      <c r="I193" t="str">
        <f>IF(Table2[[#This Row],[!Type]]=I$1, I$1,"rg:None")</f>
        <v>rg:None</v>
      </c>
      <c r="J193" t="str">
        <f>IF(Table2[[#This Row],[!Type]]=J$1, J$1,"rg:None")</f>
        <v>rg:None</v>
      </c>
      <c r="K193" t="str">
        <f>IF(Table2[[#This Row],[!Type]]=K$1, K$1,"rg:None")</f>
        <v>rg:None</v>
      </c>
      <c r="L193" s="10" t="str">
        <f>IF(Table2[[#This Row],[!Type]]=L$1, L$1,"rg:None")</f>
        <v>rg:None</v>
      </c>
      <c r="M193" s="5" t="str">
        <f>IF(Table2[[#This Row],[!Type]]=M$1, M$1,"rg:None")</f>
        <v>rg:None</v>
      </c>
      <c r="N193" s="5" t="str">
        <f>IF(Table2[[#This Row],[!Type]]=N$1, N$1,"rg:None")</f>
        <v>rg:None</v>
      </c>
      <c r="O193" s="5" t="str">
        <f>IF(Table2[[#This Row],[!Type]]=O$1, O$1,"rg:None")</f>
        <v>string</v>
      </c>
      <c r="P193" s="5" t="str">
        <f>IF(Table2[[#This Row],[!Type]]=P$1, P$1,"rg:None")</f>
        <v>rg:None</v>
      </c>
      <c r="Q193" s="10" t="str">
        <f>IF(LEN(Table2[[#This Row],[!Length]]) &gt; 0, Table2[[#This Row],[!Length]], "rg:None")</f>
        <v>rg:None</v>
      </c>
      <c r="R193" s="10" t="str">
        <f>IF(LEN(Table2[[#This Row],[!Name]]) &gt; 0, Table2[[#This Row],[!Name]], "rg:None")</f>
        <v>surname</v>
      </c>
      <c r="S193" s="10" t="str">
        <f>IF(LEN(Table2[[#This Row],[!Description]]) &gt; 0, Table2[[#This Row],[!Description]], "rg:None")</f>
        <v>rg:None</v>
      </c>
      <c r="T193" s="10" t="str">
        <f>IF(LEN(Table2[[#This Row],[!FK]])&gt;0,Table2[[#This Row],[!FK]],"rg:None")</f>
        <v>rg:None</v>
      </c>
      <c r="U193" s="10" t="str">
        <f>IF(LEN(concatif2(A:A,Table2[[#This Row],[!Table]],G:G,"Y",D:D,",")) &gt; 0,"rg:[ { 'req' : '"&amp;concatif2(A:A,Table2[[#This Row],[!Table]],G:G,"Y",D:D,"' }, { 'req': '")&amp;"'} ]","rg:[]")</f>
        <v>rg:[ { 'req' : 'id' }, { 'req': 'active'} ]</v>
      </c>
    </row>
    <row r="194" spans="1:21" x14ac:dyDescent="0.3">
      <c r="A194" s="3" t="s">
        <v>0</v>
      </c>
      <c r="B194" s="3" t="s">
        <v>10</v>
      </c>
      <c r="C194" s="3"/>
      <c r="D194" s="3" t="s">
        <v>192</v>
      </c>
      <c r="E194" s="3" t="s">
        <v>7</v>
      </c>
      <c r="F194" s="3" t="s">
        <v>7</v>
      </c>
      <c r="G194" s="4"/>
      <c r="H194" s="5" t="str">
        <f t="shared" si="3"/>
        <v>Defs</v>
      </c>
      <c r="I194" t="str">
        <f>IF(Table2[[#This Row],[!Type]]=I$1, I$1,"rg:None")</f>
        <v>rg:None</v>
      </c>
      <c r="J194" t="str">
        <f>IF(Table2[[#This Row],[!Type]]=J$1, J$1,"rg:None")</f>
        <v>rg:None</v>
      </c>
      <c r="K194" t="str">
        <f>IF(Table2[[#This Row],[!Type]]=K$1, K$1,"rg:None")</f>
        <v>rg:None</v>
      </c>
      <c r="L194" s="10" t="str">
        <f>IF(Table2[[#This Row],[!Type]]=L$1, L$1,"rg:None")</f>
        <v>rg:None</v>
      </c>
      <c r="M194" s="5" t="str">
        <f>IF(Table2[[#This Row],[!Type]]=M$1, M$1,"rg:None")</f>
        <v>rg:None</v>
      </c>
      <c r="N194" s="5" t="str">
        <f>IF(Table2[[#This Row],[!Type]]=N$1, N$1,"rg:None")</f>
        <v>rg:None</v>
      </c>
      <c r="O194" s="5" t="str">
        <f>IF(Table2[[#This Row],[!Type]]=O$1, O$1,"rg:None")</f>
        <v>string</v>
      </c>
      <c r="P194" s="5" t="str">
        <f>IF(Table2[[#This Row],[!Type]]=P$1, P$1,"rg:None")</f>
        <v>rg:None</v>
      </c>
      <c r="Q194" s="10" t="str">
        <f>IF(LEN(Table2[[#This Row],[!Length]]) &gt; 0, Table2[[#This Row],[!Length]], "rg:None")</f>
        <v>rg:None</v>
      </c>
      <c r="R194" s="10" t="str">
        <f>IF(LEN(Table2[[#This Row],[!Name]]) &gt; 0, Table2[[#This Row],[!Name]], "rg:None")</f>
        <v>initials</v>
      </c>
      <c r="S194" s="10" t="str">
        <f>IF(LEN(Table2[[#This Row],[!Description]]) &gt; 0, Table2[[#This Row],[!Description]], "rg:None")</f>
        <v>rg:None</v>
      </c>
      <c r="T194" s="10" t="str">
        <f>IF(LEN(Table2[[#This Row],[!FK]])&gt;0,Table2[[#This Row],[!FK]],"rg:None")</f>
        <v>rg:None</v>
      </c>
      <c r="U194" s="10" t="str">
        <f>IF(LEN(concatif2(A:A,Table2[[#This Row],[!Table]],G:G,"Y",D:D,",")) &gt; 0,"rg:[ { 'req' : '"&amp;concatif2(A:A,Table2[[#This Row],[!Table]],G:G,"Y",D:D,"' }, { 'req': '")&amp;"'} ]","rg:[]")</f>
        <v>rg:[ { 'req' : 'id' }, { 'req': 'active'} ]</v>
      </c>
    </row>
    <row r="195" spans="1:21" x14ac:dyDescent="0.3">
      <c r="A195" s="3" t="s">
        <v>0</v>
      </c>
      <c r="B195" s="3" t="s">
        <v>10</v>
      </c>
      <c r="C195" s="3"/>
      <c r="D195" s="3" t="s">
        <v>193</v>
      </c>
      <c r="E195" s="3" t="s">
        <v>7</v>
      </c>
      <c r="F195" s="3" t="s">
        <v>7</v>
      </c>
      <c r="G195" s="4"/>
      <c r="H195" s="5" t="str">
        <f t="shared" si="3"/>
        <v>Defs</v>
      </c>
      <c r="I195" t="str">
        <f>IF(Table2[[#This Row],[!Type]]=I$1, I$1,"rg:None")</f>
        <v>rg:None</v>
      </c>
      <c r="J195" t="str">
        <f>IF(Table2[[#This Row],[!Type]]=J$1, J$1,"rg:None")</f>
        <v>rg:None</v>
      </c>
      <c r="K195" t="str">
        <f>IF(Table2[[#This Row],[!Type]]=K$1, K$1,"rg:None")</f>
        <v>rg:None</v>
      </c>
      <c r="L195" s="10" t="str">
        <f>IF(Table2[[#This Row],[!Type]]=L$1, L$1,"rg:None")</f>
        <v>rg:None</v>
      </c>
      <c r="M195" s="5" t="str">
        <f>IF(Table2[[#This Row],[!Type]]=M$1, M$1,"rg:None")</f>
        <v>rg:None</v>
      </c>
      <c r="N195" s="5" t="str">
        <f>IF(Table2[[#This Row],[!Type]]=N$1, N$1,"rg:None")</f>
        <v>rg:None</v>
      </c>
      <c r="O195" s="5" t="str">
        <f>IF(Table2[[#This Row],[!Type]]=O$1, O$1,"rg:None")</f>
        <v>string</v>
      </c>
      <c r="P195" s="5" t="str">
        <f>IF(Table2[[#This Row],[!Type]]=P$1, P$1,"rg:None")</f>
        <v>rg:None</v>
      </c>
      <c r="Q195" s="10" t="str">
        <f>IF(LEN(Table2[[#This Row],[!Length]]) &gt; 0, Table2[[#This Row],[!Length]], "rg:None")</f>
        <v>rg:None</v>
      </c>
      <c r="R195" s="10" t="str">
        <f>IF(LEN(Table2[[#This Row],[!Name]]) &gt; 0, Table2[[#This Row],[!Name]], "rg:None")</f>
        <v>email</v>
      </c>
      <c r="S195" s="10" t="str">
        <f>IF(LEN(Table2[[#This Row],[!Description]]) &gt; 0, Table2[[#This Row],[!Description]], "rg:None")</f>
        <v>rg:None</v>
      </c>
      <c r="T195" s="10" t="str">
        <f>IF(LEN(Table2[[#This Row],[!FK]])&gt;0,Table2[[#This Row],[!FK]],"rg:None")</f>
        <v>rg:None</v>
      </c>
      <c r="U195" s="10" t="str">
        <f>IF(LEN(concatif2(A:A,Table2[[#This Row],[!Table]],G:G,"Y",D:D,",")) &gt; 0,"rg:[ { 'req' : '"&amp;concatif2(A:A,Table2[[#This Row],[!Table]],G:G,"Y",D:D,"' }, { 'req': '")&amp;"'} ]","rg:[]")</f>
        <v>rg:[ { 'req' : 'id' }, { 'req': 'active'} ]</v>
      </c>
    </row>
    <row r="196" spans="1:21" x14ac:dyDescent="0.3">
      <c r="A196" s="3" t="s">
        <v>0</v>
      </c>
      <c r="B196" s="3" t="s">
        <v>24</v>
      </c>
      <c r="C196" s="3"/>
      <c r="D196" s="3" t="s">
        <v>191</v>
      </c>
      <c r="E196" s="3" t="s">
        <v>7</v>
      </c>
      <c r="F196" s="3" t="s">
        <v>7</v>
      </c>
      <c r="G196" s="4" t="s">
        <v>211</v>
      </c>
      <c r="H196" s="5" t="str">
        <f t="shared" si="3"/>
        <v>Defs</v>
      </c>
      <c r="I196" t="str">
        <f>IF(Table2[[#This Row],[!Type]]=I$1, I$1,"rg:None")</f>
        <v>boolean</v>
      </c>
      <c r="J196" t="str">
        <f>IF(Table2[[#This Row],[!Type]]=J$1, J$1,"rg:None")</f>
        <v>rg:None</v>
      </c>
      <c r="K196" t="str">
        <f>IF(Table2[[#This Row],[!Type]]=K$1, K$1,"rg:None")</f>
        <v>rg:None</v>
      </c>
      <c r="L196" s="10" t="str">
        <f>IF(Table2[[#This Row],[!Type]]=L$1, L$1,"rg:None")</f>
        <v>rg:None</v>
      </c>
      <c r="M196" s="5" t="str">
        <f>IF(Table2[[#This Row],[!Type]]=M$1, M$1,"rg:None")</f>
        <v>rg:None</v>
      </c>
      <c r="N196" s="5" t="str">
        <f>IF(Table2[[#This Row],[!Type]]=N$1, N$1,"rg:None")</f>
        <v>rg:None</v>
      </c>
      <c r="O196" s="5" t="str">
        <f>IF(Table2[[#This Row],[!Type]]=O$1, O$1,"rg:None")</f>
        <v>rg:None</v>
      </c>
      <c r="P196" s="5" t="str">
        <f>IF(Table2[[#This Row],[!Type]]=P$1, P$1,"rg:None")</f>
        <v>rg:None</v>
      </c>
      <c r="Q196" s="10" t="str">
        <f>IF(LEN(Table2[[#This Row],[!Length]]) &gt; 0, Table2[[#This Row],[!Length]], "rg:None")</f>
        <v>rg:None</v>
      </c>
      <c r="R196" s="10" t="str">
        <f>IF(LEN(Table2[[#This Row],[!Name]]) &gt; 0, Table2[[#This Row],[!Name]], "rg:None")</f>
        <v>active</v>
      </c>
      <c r="S196" s="10" t="str">
        <f>IF(LEN(Table2[[#This Row],[!Description]]) &gt; 0, Table2[[#This Row],[!Description]], "rg:None")</f>
        <v>rg:None</v>
      </c>
      <c r="T196" s="10" t="str">
        <f>IF(LEN(Table2[[#This Row],[!FK]])&gt;0,Table2[[#This Row],[!FK]],"rg:None")</f>
        <v>rg:None</v>
      </c>
      <c r="U196" s="10" t="str">
        <f>IF(LEN(concatif2(A:A,Table2[[#This Row],[!Table]],G:G,"Y",D:D,",")) &gt; 0,"rg:[ { 'req' : '"&amp;concatif2(A:A,Table2[[#This Row],[!Table]],G:G,"Y",D:D,"' }, { 'req': '")&amp;"'} ]","rg:[]")</f>
        <v>rg:[ { 'req' : 'id' }, { 'req': 'active'} ]</v>
      </c>
    </row>
    <row r="197" spans="1:21" x14ac:dyDescent="0.3">
      <c r="A197" s="3" t="s">
        <v>0</v>
      </c>
      <c r="B197" s="3" t="s">
        <v>10</v>
      </c>
      <c r="C197" s="3"/>
      <c r="D197" s="3" t="s">
        <v>194</v>
      </c>
      <c r="E197" s="3" t="s">
        <v>195</v>
      </c>
      <c r="F197" s="3" t="s">
        <v>7</v>
      </c>
      <c r="G197" s="4"/>
      <c r="H197" s="5" t="str">
        <f t="shared" si="3"/>
        <v>Defs</v>
      </c>
      <c r="I197" t="str">
        <f>IF(Table2[[#This Row],[!Type]]=I$1, I$1,"rg:None")</f>
        <v>rg:None</v>
      </c>
      <c r="J197" t="str">
        <f>IF(Table2[[#This Row],[!Type]]=J$1, J$1,"rg:None")</f>
        <v>rg:None</v>
      </c>
      <c r="K197" t="str">
        <f>IF(Table2[[#This Row],[!Type]]=K$1, K$1,"rg:None")</f>
        <v>rg:None</v>
      </c>
      <c r="L197" s="10" t="str">
        <f>IF(Table2[[#This Row],[!Type]]=L$1, L$1,"rg:None")</f>
        <v>rg:None</v>
      </c>
      <c r="M197" s="5" t="str">
        <f>IF(Table2[[#This Row],[!Type]]=M$1, M$1,"rg:None")</f>
        <v>rg:None</v>
      </c>
      <c r="N197" s="5" t="str">
        <f>IF(Table2[[#This Row],[!Type]]=N$1, N$1,"rg:None")</f>
        <v>rg:None</v>
      </c>
      <c r="O197" s="5" t="str">
        <f>IF(Table2[[#This Row],[!Type]]=O$1, O$1,"rg:None")</f>
        <v>string</v>
      </c>
      <c r="P197" s="5" t="str">
        <f>IF(Table2[[#This Row],[!Type]]=P$1, P$1,"rg:None")</f>
        <v>rg:None</v>
      </c>
      <c r="Q197" s="10" t="str">
        <f>IF(LEN(Table2[[#This Row],[!Length]]) &gt; 0, Table2[[#This Row],[!Length]], "rg:None")</f>
        <v>rg:None</v>
      </c>
      <c r="R197" s="10" t="str">
        <f>IF(LEN(Table2[[#This Row],[!Name]]) &gt; 0, Table2[[#This Row],[!Name]], "rg:None")</f>
        <v>smUserId</v>
      </c>
      <c r="S197" s="10" t="str">
        <f>IF(LEN(Table2[[#This Row],[!Description]]) &gt; 0, Table2[[#This Row],[!Description]], "rg:None")</f>
        <v>Security Manager User ID</v>
      </c>
      <c r="T197" s="10" t="str">
        <f>IF(LEN(Table2[[#This Row],[!FK]])&gt;0,Table2[[#This Row],[!FK]],"rg:None")</f>
        <v>rg:None</v>
      </c>
      <c r="U197" s="10" t="str">
        <f>IF(LEN(concatif2(A:A,Table2[[#This Row],[!Table]],G:G,"Y",D:D,",")) &gt; 0,"rg:[ { 'req' : '"&amp;concatif2(A:A,Table2[[#This Row],[!Table]],G:G,"Y",D:D,"' }, { 'req': '")&amp;"'} ]","rg:[]")</f>
        <v>rg:[ { 'req' : 'id' }, { 'req': 'active'} ]</v>
      </c>
    </row>
    <row r="198" spans="1:21" x14ac:dyDescent="0.3">
      <c r="A198" s="3" t="s">
        <v>0</v>
      </c>
      <c r="B198" s="3" t="s">
        <v>10</v>
      </c>
      <c r="C198" s="3"/>
      <c r="D198" s="3" t="s">
        <v>196</v>
      </c>
      <c r="E198" s="3" t="s">
        <v>7</v>
      </c>
      <c r="F198" s="3" t="s">
        <v>7</v>
      </c>
      <c r="G198" s="4"/>
      <c r="H198" s="5" t="str">
        <f t="shared" si="3"/>
        <v>Defs</v>
      </c>
      <c r="I198" t="str">
        <f>IF(Table2[[#This Row],[!Type]]=I$1, I$1,"rg:None")</f>
        <v>rg:None</v>
      </c>
      <c r="J198" t="str">
        <f>IF(Table2[[#This Row],[!Type]]=J$1, J$1,"rg:None")</f>
        <v>rg:None</v>
      </c>
      <c r="K198" t="str">
        <f>IF(Table2[[#This Row],[!Type]]=K$1, K$1,"rg:None")</f>
        <v>rg:None</v>
      </c>
      <c r="L198" s="10" t="str">
        <f>IF(Table2[[#This Row],[!Type]]=L$1, L$1,"rg:None")</f>
        <v>rg:None</v>
      </c>
      <c r="M198" s="5" t="str">
        <f>IF(Table2[[#This Row],[!Type]]=M$1, M$1,"rg:None")</f>
        <v>rg:None</v>
      </c>
      <c r="N198" s="5" t="str">
        <f>IF(Table2[[#This Row],[!Type]]=N$1, N$1,"rg:None")</f>
        <v>rg:None</v>
      </c>
      <c r="O198" s="5" t="str">
        <f>IF(Table2[[#This Row],[!Type]]=O$1, O$1,"rg:None")</f>
        <v>string</v>
      </c>
      <c r="P198" s="5" t="str">
        <f>IF(Table2[[#This Row],[!Type]]=P$1, P$1,"rg:None")</f>
        <v>rg:None</v>
      </c>
      <c r="Q198" s="10" t="str">
        <f>IF(LEN(Table2[[#This Row],[!Length]]) &gt; 0, Table2[[#This Row],[!Length]], "rg:None")</f>
        <v>rg:None</v>
      </c>
      <c r="R198" s="10" t="str">
        <f>IF(LEN(Table2[[#This Row],[!Name]]) &gt; 0, Table2[[#This Row],[!Name]], "rg:None")</f>
        <v>guid</v>
      </c>
      <c r="S198" s="10" t="str">
        <f>IF(LEN(Table2[[#This Row],[!Description]]) &gt; 0, Table2[[#This Row],[!Description]], "rg:None")</f>
        <v>rg:None</v>
      </c>
      <c r="T198" s="10" t="str">
        <f>IF(LEN(Table2[[#This Row],[!FK]])&gt;0,Table2[[#This Row],[!FK]],"rg:None")</f>
        <v>rg:None</v>
      </c>
      <c r="U198" s="10" t="str">
        <f>IF(LEN(concatif2(A:A,Table2[[#This Row],[!Table]],G:G,"Y",D:D,",")) &gt; 0,"rg:[ { 'req' : '"&amp;concatif2(A:A,Table2[[#This Row],[!Table]],G:G,"Y",D:D,"' }, { 'req': '")&amp;"'} ]","rg:[]")</f>
        <v>rg:[ { 'req' : 'id' }, { 'req': 'active'} ]</v>
      </c>
    </row>
    <row r="199" spans="1:21" x14ac:dyDescent="0.3">
      <c r="A199" s="3" t="s">
        <v>0</v>
      </c>
      <c r="B199" s="3" t="s">
        <v>10</v>
      </c>
      <c r="C199" s="3"/>
      <c r="D199" s="3" t="s">
        <v>197</v>
      </c>
      <c r="E199" s="3" t="s">
        <v>7</v>
      </c>
      <c r="F199" s="3" t="s">
        <v>7</v>
      </c>
      <c r="G199" s="4"/>
      <c r="H199" s="5" t="str">
        <f t="shared" si="3"/>
        <v>Defs</v>
      </c>
      <c r="I199" t="str">
        <f>IF(Table2[[#This Row],[!Type]]=I$1, I$1,"rg:None")</f>
        <v>rg:None</v>
      </c>
      <c r="J199" t="str">
        <f>IF(Table2[[#This Row],[!Type]]=J$1, J$1,"rg:None")</f>
        <v>rg:None</v>
      </c>
      <c r="K199" t="str">
        <f>IF(Table2[[#This Row],[!Type]]=K$1, K$1,"rg:None")</f>
        <v>rg:None</v>
      </c>
      <c r="L199" s="10" t="str">
        <f>IF(Table2[[#This Row],[!Type]]=L$1, L$1,"rg:None")</f>
        <v>rg:None</v>
      </c>
      <c r="M199" s="5" t="str">
        <f>IF(Table2[[#This Row],[!Type]]=M$1, M$1,"rg:None")</f>
        <v>rg:None</v>
      </c>
      <c r="N199" s="5" t="str">
        <f>IF(Table2[[#This Row],[!Type]]=N$1, N$1,"rg:None")</f>
        <v>rg:None</v>
      </c>
      <c r="O199" s="5" t="str">
        <f>IF(Table2[[#This Row],[!Type]]=O$1, O$1,"rg:None")</f>
        <v>string</v>
      </c>
      <c r="P199" s="5" t="str">
        <f>IF(Table2[[#This Row],[!Type]]=P$1, P$1,"rg:None")</f>
        <v>rg:None</v>
      </c>
      <c r="Q199" s="10" t="str">
        <f>IF(LEN(Table2[[#This Row],[!Length]]) &gt; 0, Table2[[#This Row],[!Length]], "rg:None")</f>
        <v>rg:None</v>
      </c>
      <c r="R199" s="10" t="str">
        <f>IF(LEN(Table2[[#This Row],[!Name]]) &gt; 0, Table2[[#This Row],[!Name]], "rg:None")</f>
        <v>smAuthorizationDirectory</v>
      </c>
      <c r="S199" s="10" t="str">
        <f>IF(LEN(Table2[[#This Row],[!Description]]) &gt; 0, Table2[[#This Row],[!Description]], "rg:None")</f>
        <v>rg:None</v>
      </c>
      <c r="T199" s="10" t="str">
        <f>IF(LEN(Table2[[#This Row],[!FK]])&gt;0,Table2[[#This Row],[!FK]],"rg:None")</f>
        <v>rg:None</v>
      </c>
      <c r="U199" s="10" t="str">
        <f>IF(LEN(concatif2(A:A,Table2[[#This Row],[!Table]],G:G,"Y",D:D,",")) &gt; 0,"rg:[ { 'req' : '"&amp;concatif2(A:A,Table2[[#This Row],[!Table]],G:G,"Y",D:D,"' }, { 'req': '")&amp;"'} ]","rg:[]")</f>
        <v>rg:[ { 'req' : 'id' }, { 'req': 'active'} ]</v>
      </c>
    </row>
    <row r="200" spans="1:21" x14ac:dyDescent="0.3">
      <c r="A200" s="3" t="s">
        <v>199</v>
      </c>
      <c r="B200" s="3" t="s">
        <v>5</v>
      </c>
      <c r="C200" s="3"/>
      <c r="D200" s="3" t="s">
        <v>199</v>
      </c>
      <c r="E200" s="3" t="s">
        <v>7</v>
      </c>
      <c r="F200" s="3" t="s">
        <v>7</v>
      </c>
      <c r="G200" s="4"/>
      <c r="H200" s="5" t="str">
        <f t="shared" si="3"/>
        <v>Defs</v>
      </c>
      <c r="I200" t="str">
        <f>IF(Table2[[#This Row],[!Type]]=I$1, I$1,"rg:None")</f>
        <v>rg:None</v>
      </c>
      <c r="J200" t="str">
        <f>IF(Table2[[#This Row],[!Type]]=J$1, J$1,"rg:None")</f>
        <v>rg:None</v>
      </c>
      <c r="K200" t="str">
        <f>IF(Table2[[#This Row],[!Type]]=K$1, K$1,"rg:None")</f>
        <v>rg:None</v>
      </c>
      <c r="L200" s="10" t="str">
        <f>IF(Table2[[#This Row],[!Type]]=L$1, L$1,"rg:None")</f>
        <v>rg:None</v>
      </c>
      <c r="M200" s="5" t="str">
        <f>IF(Table2[[#This Row],[!Type]]=M$1, M$1,"rg:None")</f>
        <v>rg:None</v>
      </c>
      <c r="N200" s="5" t="str">
        <f>IF(Table2[[#This Row],[!Type]]=N$1, N$1,"rg:None")</f>
        <v>rg:None</v>
      </c>
      <c r="O200" s="5" t="str">
        <f>IF(Table2[[#This Row],[!Type]]=O$1, O$1,"rg:None")</f>
        <v>rg:None</v>
      </c>
      <c r="P200" s="5" t="str">
        <f>IF(Table2[[#This Row],[!Type]]=P$1, P$1,"rg:None")</f>
        <v>table</v>
      </c>
      <c r="Q200" s="10" t="str">
        <f>IF(LEN(Table2[[#This Row],[!Length]]) &gt; 0, Table2[[#This Row],[!Length]], "rg:None")</f>
        <v>rg:None</v>
      </c>
      <c r="R200" s="10" t="str">
        <f>IF(LEN(Table2[[#This Row],[!Name]]) &gt; 0, Table2[[#This Row],[!Name]], "rg:None")</f>
        <v>UserRole</v>
      </c>
      <c r="S200" s="10" t="str">
        <f>IF(LEN(Table2[[#This Row],[!Description]]) &gt; 0, Table2[[#This Row],[!Description]], "rg:None")</f>
        <v>rg:None</v>
      </c>
      <c r="T200" s="10" t="str">
        <f>IF(LEN(Table2[[#This Row],[!FK]])&gt;0,Table2[[#This Row],[!FK]],"rg:None")</f>
        <v>rg:None</v>
      </c>
      <c r="U200" s="10" t="str">
        <f>IF(LEN(concatif2(A:A,Table2[[#This Row],[!Table]],G:G,"Y",D:D,",")) &gt; 0,"rg:[ { 'req' : '"&amp;concatif2(A:A,Table2[[#This Row],[!Table]],G:G,"Y",D:D,"' }, { 'req': '")&amp;"'} ]","rg:[]")</f>
        <v>rg:[ { 'req' : 'id' }, { 'req': 'effectiveDate'} ]</v>
      </c>
    </row>
    <row r="201" spans="1:21" x14ac:dyDescent="0.3">
      <c r="A201" s="3" t="s">
        <v>199</v>
      </c>
      <c r="B201" s="3" t="s">
        <v>8</v>
      </c>
      <c r="C201" s="3"/>
      <c r="D201" s="3" t="s">
        <v>8</v>
      </c>
      <c r="E201" s="3" t="s">
        <v>9</v>
      </c>
      <c r="F201" s="3" t="s">
        <v>7</v>
      </c>
      <c r="G201" s="4" t="s">
        <v>211</v>
      </c>
      <c r="H201" s="5" t="str">
        <f t="shared" si="3"/>
        <v>Defs</v>
      </c>
      <c r="I201" t="str">
        <f>IF(Table2[[#This Row],[!Type]]=I$1, I$1,"rg:None")</f>
        <v>rg:None</v>
      </c>
      <c r="J201" t="str">
        <f>IF(Table2[[#This Row],[!Type]]=J$1, J$1,"rg:None")</f>
        <v>rg:None</v>
      </c>
      <c r="K201" t="str">
        <f>IF(Table2[[#This Row],[!Type]]=K$1, K$1,"rg:None")</f>
        <v>id</v>
      </c>
      <c r="L201" s="10" t="str">
        <f>IF(Table2[[#This Row],[!Type]]=L$1, L$1,"rg:None")</f>
        <v>rg:None</v>
      </c>
      <c r="M201" s="5" t="str">
        <f>IF(Table2[[#This Row],[!Type]]=M$1, M$1,"rg:None")</f>
        <v>rg:None</v>
      </c>
      <c r="N201" s="5" t="str">
        <f>IF(Table2[[#This Row],[!Type]]=N$1, N$1,"rg:None")</f>
        <v>rg:None</v>
      </c>
      <c r="O201" s="5" t="str">
        <f>IF(Table2[[#This Row],[!Type]]=O$1, O$1,"rg:None")</f>
        <v>rg:None</v>
      </c>
      <c r="P201" s="5" t="str">
        <f>IF(Table2[[#This Row],[!Type]]=P$1, P$1,"rg:None")</f>
        <v>rg:None</v>
      </c>
      <c r="Q201" s="10" t="str">
        <f>IF(LEN(Table2[[#This Row],[!Length]]) &gt; 0, Table2[[#This Row],[!Length]], "rg:None")</f>
        <v>rg:None</v>
      </c>
      <c r="R201" s="10" t="str">
        <f>IF(LEN(Table2[[#This Row],[!Name]]) &gt; 0, Table2[[#This Row],[!Name]], "rg:None")</f>
        <v>id</v>
      </c>
      <c r="S201" s="10" t="str">
        <f>IF(LEN(Table2[[#This Row],[!Description]]) &gt; 0, Table2[[#This Row],[!Description]], "rg:None")</f>
        <v>Primary Key</v>
      </c>
      <c r="T201" s="10" t="str">
        <f>IF(LEN(Table2[[#This Row],[!FK]])&gt;0,Table2[[#This Row],[!FK]],"rg:None")</f>
        <v>rg:None</v>
      </c>
      <c r="U201" s="10" t="str">
        <f>IF(LEN(concatif2(A:A,Table2[[#This Row],[!Table]],G:G,"Y",D:D,",")) &gt; 0,"rg:[ { 'req' : '"&amp;concatif2(A:A,Table2[[#This Row],[!Table]],G:G,"Y",D:D,"' }, { 'req': '")&amp;"'} ]","rg:[]")</f>
        <v>rg:[ { 'req' : 'id' }, { 'req': 'effectiveDate'} ]</v>
      </c>
    </row>
    <row r="202" spans="1:21" x14ac:dyDescent="0.3">
      <c r="A202" s="3" t="s">
        <v>199</v>
      </c>
      <c r="B202" s="3" t="s">
        <v>43</v>
      </c>
      <c r="C202" s="3"/>
      <c r="D202" s="3" t="s">
        <v>200</v>
      </c>
      <c r="E202" s="3" t="s">
        <v>7</v>
      </c>
      <c r="F202" s="3" t="s">
        <v>7</v>
      </c>
      <c r="G202" s="4" t="s">
        <v>211</v>
      </c>
      <c r="H202" s="5" t="str">
        <f t="shared" si="3"/>
        <v>Defs</v>
      </c>
      <c r="I202" t="str">
        <f>IF(Table2[[#This Row],[!Type]]=I$1, I$1,"rg:None")</f>
        <v>rg:None</v>
      </c>
      <c r="J202" t="str">
        <f>IF(Table2[[#This Row],[!Type]]=J$1, J$1,"rg:None")</f>
        <v>datetime</v>
      </c>
      <c r="K202" t="str">
        <f>IF(Table2[[#This Row],[!Type]]=K$1, K$1,"rg:None")</f>
        <v>rg:None</v>
      </c>
      <c r="L202" s="10" t="str">
        <f>IF(Table2[[#This Row],[!Type]]=L$1, L$1,"rg:None")</f>
        <v>rg:None</v>
      </c>
      <c r="M202" s="5" t="str">
        <f>IF(Table2[[#This Row],[!Type]]=M$1, M$1,"rg:None")</f>
        <v>rg:None</v>
      </c>
      <c r="N202" s="5" t="str">
        <f>IF(Table2[[#This Row],[!Type]]=N$1, N$1,"rg:None")</f>
        <v>rg:None</v>
      </c>
      <c r="O202" s="5" t="str">
        <f>IF(Table2[[#This Row],[!Type]]=O$1, O$1,"rg:None")</f>
        <v>rg:None</v>
      </c>
      <c r="P202" s="5" t="str">
        <f>IF(Table2[[#This Row],[!Type]]=P$1, P$1,"rg:None")</f>
        <v>rg:None</v>
      </c>
      <c r="Q202" s="10" t="str">
        <f>IF(LEN(Table2[[#This Row],[!Length]]) &gt; 0, Table2[[#This Row],[!Length]], "rg:None")</f>
        <v>rg:None</v>
      </c>
      <c r="R202" s="10" t="str">
        <f>IF(LEN(Table2[[#This Row],[!Name]]) &gt; 0, Table2[[#This Row],[!Name]], "rg:None")</f>
        <v>effectiveDate</v>
      </c>
      <c r="S202" s="10" t="str">
        <f>IF(LEN(Table2[[#This Row],[!Description]]) &gt; 0, Table2[[#This Row],[!Description]], "rg:None")</f>
        <v>rg:None</v>
      </c>
      <c r="T202" s="10" t="str">
        <f>IF(LEN(Table2[[#This Row],[!FK]])&gt;0,Table2[[#This Row],[!FK]],"rg:None")</f>
        <v>rg:None</v>
      </c>
      <c r="U202" s="10" t="str">
        <f>IF(LEN(concatif2(A:A,Table2[[#This Row],[!Table]],G:G,"Y",D:D,",")) &gt; 0,"rg:[ { 'req' : '"&amp;concatif2(A:A,Table2[[#This Row],[!Table]],G:G,"Y",D:D,"' }, { 'req': '")&amp;"'} ]","rg:[]")</f>
        <v>rg:[ { 'req' : 'id' }, { 'req': 'effectiveDate'} ]</v>
      </c>
    </row>
    <row r="203" spans="1:21" x14ac:dyDescent="0.3">
      <c r="A203" s="3" t="s">
        <v>199</v>
      </c>
      <c r="B203" s="3" t="s">
        <v>43</v>
      </c>
      <c r="C203" s="3"/>
      <c r="D203" s="3" t="s">
        <v>201</v>
      </c>
      <c r="E203" s="3" t="s">
        <v>7</v>
      </c>
      <c r="F203" s="3" t="s">
        <v>7</v>
      </c>
      <c r="G203" s="4"/>
      <c r="H203" s="5" t="str">
        <f t="shared" si="3"/>
        <v>Defs</v>
      </c>
      <c r="I203" t="str">
        <f>IF(Table2[[#This Row],[!Type]]=I$1, I$1,"rg:None")</f>
        <v>rg:None</v>
      </c>
      <c r="J203" t="str">
        <f>IF(Table2[[#This Row],[!Type]]=J$1, J$1,"rg:None")</f>
        <v>datetime</v>
      </c>
      <c r="K203" t="str">
        <f>IF(Table2[[#This Row],[!Type]]=K$1, K$1,"rg:None")</f>
        <v>rg:None</v>
      </c>
      <c r="L203" s="10" t="str">
        <f>IF(Table2[[#This Row],[!Type]]=L$1, L$1,"rg:None")</f>
        <v>rg:None</v>
      </c>
      <c r="M203" s="5" t="str">
        <f>IF(Table2[[#This Row],[!Type]]=M$1, M$1,"rg:None")</f>
        <v>rg:None</v>
      </c>
      <c r="N203" s="5" t="str">
        <f>IF(Table2[[#This Row],[!Type]]=N$1, N$1,"rg:None")</f>
        <v>rg:None</v>
      </c>
      <c r="O203" s="5" t="str">
        <f>IF(Table2[[#This Row],[!Type]]=O$1, O$1,"rg:None")</f>
        <v>rg:None</v>
      </c>
      <c r="P203" s="5" t="str">
        <f>IF(Table2[[#This Row],[!Type]]=P$1, P$1,"rg:None")</f>
        <v>rg:None</v>
      </c>
      <c r="Q203" s="10" t="str">
        <f>IF(LEN(Table2[[#This Row],[!Length]]) &gt; 0, Table2[[#This Row],[!Length]], "rg:None")</f>
        <v>rg:None</v>
      </c>
      <c r="R203" s="10" t="str">
        <f>IF(LEN(Table2[[#This Row],[!Name]]) &gt; 0, Table2[[#This Row],[!Name]], "rg:None")</f>
        <v>expiryDate</v>
      </c>
      <c r="S203" s="10" t="str">
        <f>IF(LEN(Table2[[#This Row],[!Description]]) &gt; 0, Table2[[#This Row],[!Description]], "rg:None")</f>
        <v>rg:None</v>
      </c>
      <c r="T203" s="10" t="str">
        <f>IF(LEN(Table2[[#This Row],[!FK]])&gt;0,Table2[[#This Row],[!FK]],"rg:None")</f>
        <v>rg:None</v>
      </c>
      <c r="U203" s="10" t="str">
        <f>IF(LEN(concatif2(A:A,Table2[[#This Row],[!Table]],G:G,"Y",D:D,",")) &gt; 0,"rg:[ { 'req' : '"&amp;concatif2(A:A,Table2[[#This Row],[!Table]],G:G,"Y",D:D,"' }, { 'req': '")&amp;"'} ]","rg:[]")</f>
        <v>rg:[ { 'req' : 'id' }, { 'req': 'effectiveDate'} ]</v>
      </c>
    </row>
    <row r="204" spans="1:21" x14ac:dyDescent="0.3">
      <c r="A204" s="3" t="s">
        <v>199</v>
      </c>
      <c r="B204" s="3" t="s">
        <v>17</v>
      </c>
      <c r="C204" s="3"/>
      <c r="D204" s="3" t="s">
        <v>186</v>
      </c>
      <c r="E204" s="3" t="s">
        <v>7</v>
      </c>
      <c r="F204" s="3" t="s">
        <v>0</v>
      </c>
      <c r="G204" s="4"/>
      <c r="H204" s="5" t="str">
        <f t="shared" si="3"/>
        <v>Defs</v>
      </c>
      <c r="I204" t="str">
        <f>IF(Table2[[#This Row],[!Type]]=I$1, I$1,"rg:None")</f>
        <v>rg:None</v>
      </c>
      <c r="J204" t="str">
        <f>IF(Table2[[#This Row],[!Type]]=J$1, J$1,"rg:None")</f>
        <v>rg:None</v>
      </c>
      <c r="K204" t="str">
        <f>IF(Table2[[#This Row],[!Type]]=K$1, K$1,"rg:None")</f>
        <v>rg:None</v>
      </c>
      <c r="L204" s="10" t="str">
        <f>IF(Table2[[#This Row],[!Type]]=L$1, L$1,"rg:None")</f>
        <v>rg:None</v>
      </c>
      <c r="M204" s="5" t="str">
        <f>IF(Table2[[#This Row],[!Type]]=M$1, M$1,"rg:None")</f>
        <v>rg:None</v>
      </c>
      <c r="N204" s="5" t="str">
        <f>IF(Table2[[#This Row],[!Type]]=N$1, N$1,"rg:None")</f>
        <v>ref</v>
      </c>
      <c r="O204" s="5" t="str">
        <f>IF(Table2[[#This Row],[!Type]]=O$1, O$1,"rg:None")</f>
        <v>rg:None</v>
      </c>
      <c r="P204" s="5" t="str">
        <f>IF(Table2[[#This Row],[!Type]]=P$1, P$1,"rg:None")</f>
        <v>rg:None</v>
      </c>
      <c r="Q204" s="10" t="str">
        <f>IF(LEN(Table2[[#This Row],[!Length]]) &gt; 0, Table2[[#This Row],[!Length]], "rg:None")</f>
        <v>rg:None</v>
      </c>
      <c r="R204" s="10" t="str">
        <f>IF(LEN(Table2[[#This Row],[!Name]]) &gt; 0, Table2[[#This Row],[!Name]], "rg:None")</f>
        <v>user</v>
      </c>
      <c r="S204" s="10" t="str">
        <f>IF(LEN(Table2[[#This Row],[!Description]]) &gt; 0, Table2[[#This Row],[!Description]], "rg:None")</f>
        <v>rg:None</v>
      </c>
      <c r="T204" s="10" t="str">
        <f>IF(LEN(Table2[[#This Row],[!FK]])&gt;0,Table2[[#This Row],[!FK]],"rg:None")</f>
        <v>User</v>
      </c>
      <c r="U204" s="10" t="str">
        <f>IF(LEN(concatif2(A:A,Table2[[#This Row],[!Table]],G:G,"Y",D:D,",")) &gt; 0,"rg:[ { 'req' : '"&amp;concatif2(A:A,Table2[[#This Row],[!Table]],G:G,"Y",D:D,"' }, { 'req': '")&amp;"'} ]","rg:[]")</f>
        <v>rg:[ { 'req' : 'id' }, { 'req': 'effectiveDate'} ]</v>
      </c>
    </row>
    <row r="205" spans="1:21" x14ac:dyDescent="0.3">
      <c r="A205" s="3" t="s">
        <v>199</v>
      </c>
      <c r="B205" s="3" t="s">
        <v>17</v>
      </c>
      <c r="C205" s="3"/>
      <c r="D205" s="3" t="s">
        <v>103</v>
      </c>
      <c r="E205" s="3" t="s">
        <v>7</v>
      </c>
      <c r="F205" s="3" t="s">
        <v>202</v>
      </c>
      <c r="G205" s="4"/>
      <c r="H205" s="5" t="str">
        <f t="shared" si="3"/>
        <v>Defs</v>
      </c>
      <c r="I205" t="str">
        <f>IF(Table2[[#This Row],[!Type]]=I$1, I$1,"rg:None")</f>
        <v>rg:None</v>
      </c>
      <c r="J205" t="str">
        <f>IF(Table2[[#This Row],[!Type]]=J$1, J$1,"rg:None")</f>
        <v>rg:None</v>
      </c>
      <c r="K205" t="str">
        <f>IF(Table2[[#This Row],[!Type]]=K$1, K$1,"rg:None")</f>
        <v>rg:None</v>
      </c>
      <c r="L205" s="10" t="str">
        <f>IF(Table2[[#This Row],[!Type]]=L$1, L$1,"rg:None")</f>
        <v>rg:None</v>
      </c>
      <c r="M205" s="5" t="str">
        <f>IF(Table2[[#This Row],[!Type]]=M$1, M$1,"rg:None")</f>
        <v>rg:None</v>
      </c>
      <c r="N205" s="5" t="str">
        <f>IF(Table2[[#This Row],[!Type]]=N$1, N$1,"rg:None")</f>
        <v>ref</v>
      </c>
      <c r="O205" s="5" t="str">
        <f>IF(Table2[[#This Row],[!Type]]=O$1, O$1,"rg:None")</f>
        <v>rg:None</v>
      </c>
      <c r="P205" s="5" t="str">
        <f>IF(Table2[[#This Row],[!Type]]=P$1, P$1,"rg:None")</f>
        <v>rg:None</v>
      </c>
      <c r="Q205" s="10" t="str">
        <f>IF(LEN(Table2[[#This Row],[!Length]]) &gt; 0, Table2[[#This Row],[!Length]], "rg:None")</f>
        <v>rg:None</v>
      </c>
      <c r="R205" s="10" t="str">
        <f>IF(LEN(Table2[[#This Row],[!Name]]) &gt; 0, Table2[[#This Row],[!Name]], "rg:None")</f>
        <v>role</v>
      </c>
      <c r="S205" s="10" t="str">
        <f>IF(LEN(Table2[[#This Row],[!Description]]) &gt; 0, Table2[[#This Row],[!Description]], "rg:None")</f>
        <v>rg:None</v>
      </c>
      <c r="T205" s="10" t="str">
        <f>IF(LEN(Table2[[#This Row],[!FK]])&gt;0,Table2[[#This Row],[!FK]],"rg:None")</f>
        <v>Role</v>
      </c>
      <c r="U205" s="10" t="str">
        <f>IF(LEN(concatif2(A:A,Table2[[#This Row],[!Table]],G:G,"Y",D:D,",")) &gt; 0,"rg:[ { 'req' : '"&amp;concatif2(A:A,Table2[[#This Row],[!Table]],G:G,"Y",D:D,"' }, { 'req': '")&amp;"'} ]","rg:[]")</f>
        <v>rg:[ { 'req' : 'id' }, { 'req': 'effectiveDate'} ]</v>
      </c>
    </row>
    <row r="206" spans="1:21" x14ac:dyDescent="0.3">
      <c r="A206" s="3" t="s">
        <v>202</v>
      </c>
      <c r="B206" s="3" t="s">
        <v>5</v>
      </c>
      <c r="C206" s="3"/>
      <c r="D206" s="3" t="s">
        <v>202</v>
      </c>
      <c r="E206" s="3" t="s">
        <v>7</v>
      </c>
      <c r="F206" s="3" t="s">
        <v>7</v>
      </c>
      <c r="G206" s="4"/>
      <c r="H206" s="5" t="str">
        <f t="shared" si="3"/>
        <v>Defs</v>
      </c>
      <c r="I206" t="str">
        <f>IF(Table2[[#This Row],[!Type]]=I$1, I$1,"rg:None")</f>
        <v>rg:None</v>
      </c>
      <c r="J206" t="str">
        <f>IF(Table2[[#This Row],[!Type]]=J$1, J$1,"rg:None")</f>
        <v>rg:None</v>
      </c>
      <c r="K206" t="str">
        <f>IF(Table2[[#This Row],[!Type]]=K$1, K$1,"rg:None")</f>
        <v>rg:None</v>
      </c>
      <c r="L206" s="10" t="str">
        <f>IF(Table2[[#This Row],[!Type]]=L$1, L$1,"rg:None")</f>
        <v>rg:None</v>
      </c>
      <c r="M206" s="5" t="str">
        <f>IF(Table2[[#This Row],[!Type]]=M$1, M$1,"rg:None")</f>
        <v>rg:None</v>
      </c>
      <c r="N206" s="5" t="str">
        <f>IF(Table2[[#This Row],[!Type]]=N$1, N$1,"rg:None")</f>
        <v>rg:None</v>
      </c>
      <c r="O206" s="5" t="str">
        <f>IF(Table2[[#This Row],[!Type]]=O$1, O$1,"rg:None")</f>
        <v>rg:None</v>
      </c>
      <c r="P206" s="5" t="str">
        <f>IF(Table2[[#This Row],[!Type]]=P$1, P$1,"rg:None")</f>
        <v>table</v>
      </c>
      <c r="Q206" s="10" t="str">
        <f>IF(LEN(Table2[[#This Row],[!Length]]) &gt; 0, Table2[[#This Row],[!Length]], "rg:None")</f>
        <v>rg:None</v>
      </c>
      <c r="R206" s="10" t="str">
        <f>IF(LEN(Table2[[#This Row],[!Name]]) &gt; 0, Table2[[#This Row],[!Name]], "rg:None")</f>
        <v>Role</v>
      </c>
      <c r="S206" s="10" t="str">
        <f>IF(LEN(Table2[[#This Row],[!Description]]) &gt; 0, Table2[[#This Row],[!Description]], "rg:None")</f>
        <v>rg:None</v>
      </c>
      <c r="T206" s="10" t="str">
        <f>IF(LEN(Table2[[#This Row],[!FK]])&gt;0,Table2[[#This Row],[!FK]],"rg:None")</f>
        <v>rg:None</v>
      </c>
      <c r="U206" s="10" t="str">
        <f>IF(LEN(concatif2(A:A,Table2[[#This Row],[!Table]],G:G,"Y",D:D,",")) &gt; 0,"rg:[ { 'req' : '"&amp;concatif2(A:A,Table2[[#This Row],[!Table]],G:G,"Y",D:D,"' }, { 'req': '")&amp;"'} ]","rg:[]")</f>
        <v>rg:[ { 'req' : 'id' }, { 'req': 'name' }, { 'req': 'description'} ]</v>
      </c>
    </row>
    <row r="207" spans="1:21" x14ac:dyDescent="0.3">
      <c r="A207" s="3" t="s">
        <v>202</v>
      </c>
      <c r="B207" s="3" t="s">
        <v>8</v>
      </c>
      <c r="C207" s="3"/>
      <c r="D207" s="3" t="s">
        <v>8</v>
      </c>
      <c r="E207" s="3" t="s">
        <v>9</v>
      </c>
      <c r="F207" s="3" t="s">
        <v>7</v>
      </c>
      <c r="G207" s="4" t="s">
        <v>211</v>
      </c>
      <c r="H207" s="5" t="str">
        <f t="shared" si="3"/>
        <v>Defs</v>
      </c>
      <c r="I207" t="str">
        <f>IF(Table2[[#This Row],[!Type]]=I$1, I$1,"rg:None")</f>
        <v>rg:None</v>
      </c>
      <c r="J207" t="str">
        <f>IF(Table2[[#This Row],[!Type]]=J$1, J$1,"rg:None")</f>
        <v>rg:None</v>
      </c>
      <c r="K207" t="str">
        <f>IF(Table2[[#This Row],[!Type]]=K$1, K$1,"rg:None")</f>
        <v>id</v>
      </c>
      <c r="L207" s="10" t="str">
        <f>IF(Table2[[#This Row],[!Type]]=L$1, L$1,"rg:None")</f>
        <v>rg:None</v>
      </c>
      <c r="M207" s="5" t="str">
        <f>IF(Table2[[#This Row],[!Type]]=M$1, M$1,"rg:None")</f>
        <v>rg:None</v>
      </c>
      <c r="N207" s="5" t="str">
        <f>IF(Table2[[#This Row],[!Type]]=N$1, N$1,"rg:None")</f>
        <v>rg:None</v>
      </c>
      <c r="O207" s="5" t="str">
        <f>IF(Table2[[#This Row],[!Type]]=O$1, O$1,"rg:None")</f>
        <v>rg:None</v>
      </c>
      <c r="P207" s="5" t="str">
        <f>IF(Table2[[#This Row],[!Type]]=P$1, P$1,"rg:None")</f>
        <v>rg:None</v>
      </c>
      <c r="Q207" s="10" t="str">
        <f>IF(LEN(Table2[[#This Row],[!Length]]) &gt; 0, Table2[[#This Row],[!Length]], "rg:None")</f>
        <v>rg:None</v>
      </c>
      <c r="R207" s="10" t="str">
        <f>IF(LEN(Table2[[#This Row],[!Name]]) &gt; 0, Table2[[#This Row],[!Name]], "rg:None")</f>
        <v>id</v>
      </c>
      <c r="S207" s="10" t="str">
        <f>IF(LEN(Table2[[#This Row],[!Description]]) &gt; 0, Table2[[#This Row],[!Description]], "rg:None")</f>
        <v>Primary Key</v>
      </c>
      <c r="T207" s="10" t="str">
        <f>IF(LEN(Table2[[#This Row],[!FK]])&gt;0,Table2[[#This Row],[!FK]],"rg:None")</f>
        <v>rg:None</v>
      </c>
      <c r="U207" s="10" t="str">
        <f>IF(LEN(concatif2(A:A,Table2[[#This Row],[!Table]],G:G,"Y",D:D,",")) &gt; 0,"rg:[ { 'req' : '"&amp;concatif2(A:A,Table2[[#This Row],[!Table]],G:G,"Y",D:D,"' }, { 'req': '")&amp;"'} ]","rg:[]")</f>
        <v>rg:[ { 'req' : 'id' }, { 'req': 'name' }, { 'req': 'description'} ]</v>
      </c>
    </row>
    <row r="208" spans="1:21" x14ac:dyDescent="0.3">
      <c r="A208" s="3" t="s">
        <v>202</v>
      </c>
      <c r="B208" s="3" t="s">
        <v>10</v>
      </c>
      <c r="C208" s="3"/>
      <c r="D208" s="3" t="s">
        <v>84</v>
      </c>
      <c r="E208" s="3" t="s">
        <v>7</v>
      </c>
      <c r="F208" s="3" t="s">
        <v>7</v>
      </c>
      <c r="G208" s="4" t="s">
        <v>211</v>
      </c>
      <c r="H208" s="5" t="str">
        <f t="shared" si="3"/>
        <v>Defs</v>
      </c>
      <c r="I208" t="str">
        <f>IF(Table2[[#This Row],[!Type]]=I$1, I$1,"rg:None")</f>
        <v>rg:None</v>
      </c>
      <c r="J208" t="str">
        <f>IF(Table2[[#This Row],[!Type]]=J$1, J$1,"rg:None")</f>
        <v>rg:None</v>
      </c>
      <c r="K208" t="str">
        <f>IF(Table2[[#This Row],[!Type]]=K$1, K$1,"rg:None")</f>
        <v>rg:None</v>
      </c>
      <c r="L208" s="10" t="str">
        <f>IF(Table2[[#This Row],[!Type]]=L$1, L$1,"rg:None")</f>
        <v>rg:None</v>
      </c>
      <c r="M208" s="5" t="str">
        <f>IF(Table2[[#This Row],[!Type]]=M$1, M$1,"rg:None")</f>
        <v>rg:None</v>
      </c>
      <c r="N208" s="5" t="str">
        <f>IF(Table2[[#This Row],[!Type]]=N$1, N$1,"rg:None")</f>
        <v>rg:None</v>
      </c>
      <c r="O208" s="5" t="str">
        <f>IF(Table2[[#This Row],[!Type]]=O$1, O$1,"rg:None")</f>
        <v>string</v>
      </c>
      <c r="P208" s="5" t="str">
        <f>IF(Table2[[#This Row],[!Type]]=P$1, P$1,"rg:None")</f>
        <v>rg:None</v>
      </c>
      <c r="Q208" s="10" t="str">
        <f>IF(LEN(Table2[[#This Row],[!Length]]) &gt; 0, Table2[[#This Row],[!Length]], "rg:None")</f>
        <v>rg:None</v>
      </c>
      <c r="R208" s="10" t="str">
        <f>IF(LEN(Table2[[#This Row],[!Name]]) &gt; 0, Table2[[#This Row],[!Name]], "rg:None")</f>
        <v>name</v>
      </c>
      <c r="S208" s="10" t="str">
        <f>IF(LEN(Table2[[#This Row],[!Description]]) &gt; 0, Table2[[#This Row],[!Description]], "rg:None")</f>
        <v>rg:None</v>
      </c>
      <c r="T208" s="10" t="str">
        <f>IF(LEN(Table2[[#This Row],[!FK]])&gt;0,Table2[[#This Row],[!FK]],"rg:None")</f>
        <v>rg:None</v>
      </c>
      <c r="U208" s="10" t="str">
        <f>IF(LEN(concatif2(A:A,Table2[[#This Row],[!Table]],G:G,"Y",D:D,",")) &gt; 0,"rg:[ { 'req' : '"&amp;concatif2(A:A,Table2[[#This Row],[!Table]],G:G,"Y",D:D,"' }, { 'req': '")&amp;"'} ]","rg:[]")</f>
        <v>rg:[ { 'req' : 'id' }, { 'req': 'name' }, { 'req': 'description'} ]</v>
      </c>
    </row>
    <row r="209" spans="1:21" x14ac:dyDescent="0.3">
      <c r="A209" s="3" t="s">
        <v>202</v>
      </c>
      <c r="B209" s="3" t="s">
        <v>10</v>
      </c>
      <c r="C209" s="3"/>
      <c r="D209" s="3" t="s">
        <v>80</v>
      </c>
      <c r="E209" s="3" t="s">
        <v>7</v>
      </c>
      <c r="F209" s="3" t="s">
        <v>7</v>
      </c>
      <c r="G209" s="4" t="s">
        <v>211</v>
      </c>
      <c r="H209" s="5" t="str">
        <f t="shared" si="3"/>
        <v>Defs</v>
      </c>
      <c r="I209" t="str">
        <f>IF(Table2[[#This Row],[!Type]]=I$1, I$1,"rg:None")</f>
        <v>rg:None</v>
      </c>
      <c r="J209" t="str">
        <f>IF(Table2[[#This Row],[!Type]]=J$1, J$1,"rg:None")</f>
        <v>rg:None</v>
      </c>
      <c r="K209" t="str">
        <f>IF(Table2[[#This Row],[!Type]]=K$1, K$1,"rg:None")</f>
        <v>rg:None</v>
      </c>
      <c r="L209" s="10" t="str">
        <f>IF(Table2[[#This Row],[!Type]]=L$1, L$1,"rg:None")</f>
        <v>rg:None</v>
      </c>
      <c r="M209" s="5" t="str">
        <f>IF(Table2[[#This Row],[!Type]]=M$1, M$1,"rg:None")</f>
        <v>rg:None</v>
      </c>
      <c r="N209" s="5" t="str">
        <f>IF(Table2[[#This Row],[!Type]]=N$1, N$1,"rg:None")</f>
        <v>rg:None</v>
      </c>
      <c r="O209" s="5" t="str">
        <f>IF(Table2[[#This Row],[!Type]]=O$1, O$1,"rg:None")</f>
        <v>string</v>
      </c>
      <c r="P209" s="5" t="str">
        <f>IF(Table2[[#This Row],[!Type]]=P$1, P$1,"rg:None")</f>
        <v>rg:None</v>
      </c>
      <c r="Q209" s="10" t="str">
        <f>IF(LEN(Table2[[#This Row],[!Length]]) &gt; 0, Table2[[#This Row],[!Length]], "rg:None")</f>
        <v>rg:None</v>
      </c>
      <c r="R209" s="10" t="str">
        <f>IF(LEN(Table2[[#This Row],[!Name]]) &gt; 0, Table2[[#This Row],[!Name]], "rg:None")</f>
        <v>description</v>
      </c>
      <c r="S209" s="10" t="str">
        <f>IF(LEN(Table2[[#This Row],[!Description]]) &gt; 0, Table2[[#This Row],[!Description]], "rg:None")</f>
        <v>rg:None</v>
      </c>
      <c r="T209" s="10" t="str">
        <f>IF(LEN(Table2[[#This Row],[!FK]])&gt;0,Table2[[#This Row],[!FK]],"rg:None")</f>
        <v>rg:None</v>
      </c>
      <c r="U209" s="10" t="str">
        <f>IF(LEN(concatif2(A:A,Table2[[#This Row],[!Table]],G:G,"Y",D:D,",")) &gt; 0,"rg:[ { 'req' : '"&amp;concatif2(A:A,Table2[[#This Row],[!Table]],G:G,"Y",D:D,"' }, { 'req': '")&amp;"'} ]","rg:[]")</f>
        <v>rg:[ { 'req' : 'id' }, { 'req': 'name' }, { 'req': 'description'} ]</v>
      </c>
    </row>
    <row r="210" spans="1:21" x14ac:dyDescent="0.3">
      <c r="A210" s="3" t="s">
        <v>202</v>
      </c>
      <c r="B210" s="3" t="s">
        <v>107</v>
      </c>
      <c r="C210" s="3"/>
      <c r="D210" s="3" t="s">
        <v>203</v>
      </c>
      <c r="E210" s="3" t="s">
        <v>7</v>
      </c>
      <c r="F210" s="3" t="s">
        <v>204</v>
      </c>
      <c r="G210" s="4"/>
      <c r="H210" s="5" t="str">
        <f t="shared" si="3"/>
        <v>Defs</v>
      </c>
      <c r="I210" t="str">
        <f>IF(Table2[[#This Row],[!Type]]=I$1, I$1,"rg:None")</f>
        <v>rg:None</v>
      </c>
      <c r="J210" t="str">
        <f>IF(Table2[[#This Row],[!Type]]=J$1, J$1,"rg:None")</f>
        <v>rg:None</v>
      </c>
      <c r="K210" t="str">
        <f>IF(Table2[[#This Row],[!Type]]=K$1, K$1,"rg:None")</f>
        <v>rg:None</v>
      </c>
      <c r="L210" s="10" t="str">
        <f>IF(Table2[[#This Row],[!Type]]=L$1, L$1,"rg:None")</f>
        <v>rg:None</v>
      </c>
      <c r="M210" s="5" t="str">
        <f>IF(Table2[[#This Row],[!Type]]=M$1, M$1,"rg:None")</f>
        <v>links</v>
      </c>
      <c r="N210" s="5" t="str">
        <f>IF(Table2[[#This Row],[!Type]]=N$1, N$1,"rg:None")</f>
        <v>rg:None</v>
      </c>
      <c r="O210" s="5" t="str">
        <f>IF(Table2[[#This Row],[!Type]]=O$1, O$1,"rg:None")</f>
        <v>rg:None</v>
      </c>
      <c r="P210" s="5" t="str">
        <f>IF(Table2[[#This Row],[!Type]]=P$1, P$1,"rg:None")</f>
        <v>rg:None</v>
      </c>
      <c r="Q210" s="10" t="str">
        <f>IF(LEN(Table2[[#This Row],[!Length]]) &gt; 0, Table2[[#This Row],[!Length]], "rg:None")</f>
        <v>rg:None</v>
      </c>
      <c r="R210" s="10" t="str">
        <f>IF(LEN(Table2[[#This Row],[!Name]]) &gt; 0, Table2[[#This Row],[!Name]], "rg:None")</f>
        <v>rolePermissions</v>
      </c>
      <c r="S210" s="10" t="str">
        <f>IF(LEN(Table2[[#This Row],[!Description]]) &gt; 0, Table2[[#This Row],[!Description]], "rg:None")</f>
        <v>rg:None</v>
      </c>
      <c r="T210" s="10" t="str">
        <f>IF(LEN(Table2[[#This Row],[!FK]])&gt;0,Table2[[#This Row],[!FK]],"rg:None")</f>
        <v>RolePermission</v>
      </c>
      <c r="U210" s="10" t="str">
        <f>IF(LEN(concatif2(A:A,Table2[[#This Row],[!Table]],G:G,"Y",D:D,",")) &gt; 0,"rg:[ { 'req' : '"&amp;concatif2(A:A,Table2[[#This Row],[!Table]],G:G,"Y",D:D,"' }, { 'req': '")&amp;"'} ]","rg:[]")</f>
        <v>rg:[ { 'req' : 'id' }, { 'req': 'name' }, { 'req': 'description'} ]</v>
      </c>
    </row>
    <row r="211" spans="1:21" x14ac:dyDescent="0.3">
      <c r="A211" s="3" t="s">
        <v>202</v>
      </c>
      <c r="B211" s="3" t="s">
        <v>107</v>
      </c>
      <c r="C211" s="3"/>
      <c r="D211" s="3" t="s">
        <v>198</v>
      </c>
      <c r="E211" s="3" t="s">
        <v>7</v>
      </c>
      <c r="F211" s="3" t="s">
        <v>199</v>
      </c>
      <c r="G211" s="4"/>
      <c r="H211" s="5" t="str">
        <f t="shared" si="3"/>
        <v>Defs</v>
      </c>
      <c r="I211" t="str">
        <f>IF(Table2[[#This Row],[!Type]]=I$1, I$1,"rg:None")</f>
        <v>rg:None</v>
      </c>
      <c r="J211" t="str">
        <f>IF(Table2[[#This Row],[!Type]]=J$1, J$1,"rg:None")</f>
        <v>rg:None</v>
      </c>
      <c r="K211" t="str">
        <f>IF(Table2[[#This Row],[!Type]]=K$1, K$1,"rg:None")</f>
        <v>rg:None</v>
      </c>
      <c r="L211" s="10" t="str">
        <f>IF(Table2[[#This Row],[!Type]]=L$1, L$1,"rg:None")</f>
        <v>rg:None</v>
      </c>
      <c r="M211" s="5" t="str">
        <f>IF(Table2[[#This Row],[!Type]]=M$1, M$1,"rg:None")</f>
        <v>links</v>
      </c>
      <c r="N211" s="5" t="str">
        <f>IF(Table2[[#This Row],[!Type]]=N$1, N$1,"rg:None")</f>
        <v>rg:None</v>
      </c>
      <c r="O211" s="5" t="str">
        <f>IF(Table2[[#This Row],[!Type]]=O$1, O$1,"rg:None")</f>
        <v>rg:None</v>
      </c>
      <c r="P211" s="5" t="str">
        <f>IF(Table2[[#This Row],[!Type]]=P$1, P$1,"rg:None")</f>
        <v>rg:None</v>
      </c>
      <c r="Q211" s="10" t="str">
        <f>IF(LEN(Table2[[#This Row],[!Length]]) &gt; 0, Table2[[#This Row],[!Length]], "rg:None")</f>
        <v>rg:None</v>
      </c>
      <c r="R211" s="10" t="str">
        <f>IF(LEN(Table2[[#This Row],[!Name]]) &gt; 0, Table2[[#This Row],[!Name]], "rg:None")</f>
        <v>userRoles</v>
      </c>
      <c r="S211" s="10" t="str">
        <f>IF(LEN(Table2[[#This Row],[!Description]]) &gt; 0, Table2[[#This Row],[!Description]], "rg:None")</f>
        <v>rg:None</v>
      </c>
      <c r="T211" s="10" t="str">
        <f>IF(LEN(Table2[[#This Row],[!FK]])&gt;0,Table2[[#This Row],[!FK]],"rg:None")</f>
        <v>UserRole</v>
      </c>
      <c r="U211" s="10" t="str">
        <f>IF(LEN(concatif2(A:A,Table2[[#This Row],[!Table]],G:G,"Y",D:D,",")) &gt; 0,"rg:[ { 'req' : '"&amp;concatif2(A:A,Table2[[#This Row],[!Table]],G:G,"Y",D:D,"' }, { 'req': '")&amp;"'} ]","rg:[]")</f>
        <v>rg:[ { 'req' : 'id' }, { 'req': 'name' }, { 'req': 'description'} ]</v>
      </c>
    </row>
    <row r="212" spans="1:21" x14ac:dyDescent="0.3">
      <c r="A212" s="3" t="s">
        <v>204</v>
      </c>
      <c r="B212" s="3" t="s">
        <v>5</v>
      </c>
      <c r="C212" s="3"/>
      <c r="D212" s="3" t="s">
        <v>204</v>
      </c>
      <c r="E212" s="3" t="s">
        <v>7</v>
      </c>
      <c r="F212" s="3" t="s">
        <v>7</v>
      </c>
      <c r="G212" s="4"/>
      <c r="H212" s="5" t="str">
        <f t="shared" si="3"/>
        <v>Defs</v>
      </c>
      <c r="I212" t="str">
        <f>IF(Table2[[#This Row],[!Type]]=I$1, I$1,"rg:None")</f>
        <v>rg:None</v>
      </c>
      <c r="J212" t="str">
        <f>IF(Table2[[#This Row],[!Type]]=J$1, J$1,"rg:None")</f>
        <v>rg:None</v>
      </c>
      <c r="K212" t="str">
        <f>IF(Table2[[#This Row],[!Type]]=K$1, K$1,"rg:None")</f>
        <v>rg:None</v>
      </c>
      <c r="L212" s="10" t="str">
        <f>IF(Table2[[#This Row],[!Type]]=L$1, L$1,"rg:None")</f>
        <v>rg:None</v>
      </c>
      <c r="M212" s="5" t="str">
        <f>IF(Table2[[#This Row],[!Type]]=M$1, M$1,"rg:None")</f>
        <v>rg:None</v>
      </c>
      <c r="N212" s="5" t="str">
        <f>IF(Table2[[#This Row],[!Type]]=N$1, N$1,"rg:None")</f>
        <v>rg:None</v>
      </c>
      <c r="O212" s="5" t="str">
        <f>IF(Table2[[#This Row],[!Type]]=O$1, O$1,"rg:None")</f>
        <v>rg:None</v>
      </c>
      <c r="P212" s="5" t="str">
        <f>IF(Table2[[#This Row],[!Type]]=P$1, P$1,"rg:None")</f>
        <v>table</v>
      </c>
      <c r="Q212" s="10" t="str">
        <f>IF(LEN(Table2[[#This Row],[!Length]]) &gt; 0, Table2[[#This Row],[!Length]], "rg:None")</f>
        <v>rg:None</v>
      </c>
      <c r="R212" s="10" t="str">
        <f>IF(LEN(Table2[[#This Row],[!Name]]) &gt; 0, Table2[[#This Row],[!Name]], "rg:None")</f>
        <v>RolePermission</v>
      </c>
      <c r="S212" s="10" t="str">
        <f>IF(LEN(Table2[[#This Row],[!Description]]) &gt; 0, Table2[[#This Row],[!Description]], "rg:None")</f>
        <v>rg:None</v>
      </c>
      <c r="T212" s="10" t="str">
        <f>IF(LEN(Table2[[#This Row],[!FK]])&gt;0,Table2[[#This Row],[!FK]],"rg:None")</f>
        <v>rg:None</v>
      </c>
      <c r="U212" s="10" t="str">
        <f>IF(LEN(concatif2(A:A,Table2[[#This Row],[!Table]],G:G,"Y",D:D,",")) &gt; 0,"rg:[ { 'req' : '"&amp;concatif2(A:A,Table2[[#This Row],[!Table]],G:G,"Y",D:D,"' }, { 'req': '")&amp;"'} ]","rg:[]")</f>
        <v>rg:[ { 'req' : 'id'} ]</v>
      </c>
    </row>
    <row r="213" spans="1:21" x14ac:dyDescent="0.3">
      <c r="A213" s="3" t="s">
        <v>204</v>
      </c>
      <c r="B213" s="3" t="s">
        <v>8</v>
      </c>
      <c r="C213" s="3"/>
      <c r="D213" s="3" t="s">
        <v>8</v>
      </c>
      <c r="E213" s="3" t="s">
        <v>9</v>
      </c>
      <c r="F213" s="3" t="s">
        <v>7</v>
      </c>
      <c r="G213" s="4" t="s">
        <v>211</v>
      </c>
      <c r="H213" s="5" t="str">
        <f t="shared" si="3"/>
        <v>Defs</v>
      </c>
      <c r="I213" t="str">
        <f>IF(Table2[[#This Row],[!Type]]=I$1, I$1,"rg:None")</f>
        <v>rg:None</v>
      </c>
      <c r="J213" t="str">
        <f>IF(Table2[[#This Row],[!Type]]=J$1, J$1,"rg:None")</f>
        <v>rg:None</v>
      </c>
      <c r="K213" t="str">
        <f>IF(Table2[[#This Row],[!Type]]=K$1, K$1,"rg:None")</f>
        <v>id</v>
      </c>
      <c r="L213" s="10" t="str">
        <f>IF(Table2[[#This Row],[!Type]]=L$1, L$1,"rg:None")</f>
        <v>rg:None</v>
      </c>
      <c r="M213" s="5" t="str">
        <f>IF(Table2[[#This Row],[!Type]]=M$1, M$1,"rg:None")</f>
        <v>rg:None</v>
      </c>
      <c r="N213" s="5" t="str">
        <f>IF(Table2[[#This Row],[!Type]]=N$1, N$1,"rg:None")</f>
        <v>rg:None</v>
      </c>
      <c r="O213" s="5" t="str">
        <f>IF(Table2[[#This Row],[!Type]]=O$1, O$1,"rg:None")</f>
        <v>rg:None</v>
      </c>
      <c r="P213" s="5" t="str">
        <f>IF(Table2[[#This Row],[!Type]]=P$1, P$1,"rg:None")</f>
        <v>rg:None</v>
      </c>
      <c r="Q213" s="10" t="str">
        <f>IF(LEN(Table2[[#This Row],[!Length]]) &gt; 0, Table2[[#This Row],[!Length]], "rg:None")</f>
        <v>rg:None</v>
      </c>
      <c r="R213" s="10" t="str">
        <f>IF(LEN(Table2[[#This Row],[!Name]]) &gt; 0, Table2[[#This Row],[!Name]], "rg:None")</f>
        <v>id</v>
      </c>
      <c r="S213" s="10" t="str">
        <f>IF(LEN(Table2[[#This Row],[!Description]]) &gt; 0, Table2[[#This Row],[!Description]], "rg:None")</f>
        <v>Primary Key</v>
      </c>
      <c r="T213" s="10" t="str">
        <f>IF(LEN(Table2[[#This Row],[!FK]])&gt;0,Table2[[#This Row],[!FK]],"rg:None")</f>
        <v>rg:None</v>
      </c>
      <c r="U213" s="10" t="str">
        <f>IF(LEN(concatif2(A:A,Table2[[#This Row],[!Table]],G:G,"Y",D:D,",")) &gt; 0,"rg:[ { 'req' : '"&amp;concatif2(A:A,Table2[[#This Row],[!Table]],G:G,"Y",D:D,"' }, { 'req': '")&amp;"'} ]","rg:[]")</f>
        <v>rg:[ { 'req' : 'id'} ]</v>
      </c>
    </row>
    <row r="214" spans="1:21" x14ac:dyDescent="0.3">
      <c r="A214" s="3" t="s">
        <v>204</v>
      </c>
      <c r="B214" s="3" t="s">
        <v>17</v>
      </c>
      <c r="C214" s="3"/>
      <c r="D214" s="3" t="s">
        <v>103</v>
      </c>
      <c r="E214" s="3" t="s">
        <v>7</v>
      </c>
      <c r="F214" s="3" t="s">
        <v>202</v>
      </c>
      <c r="G214" s="4"/>
      <c r="H214" s="5" t="str">
        <f t="shared" si="3"/>
        <v>Defs</v>
      </c>
      <c r="I214" t="str">
        <f>IF(Table2[[#This Row],[!Type]]=I$1, I$1,"rg:None")</f>
        <v>rg:None</v>
      </c>
      <c r="J214" t="str">
        <f>IF(Table2[[#This Row],[!Type]]=J$1, J$1,"rg:None")</f>
        <v>rg:None</v>
      </c>
      <c r="K214" t="str">
        <f>IF(Table2[[#This Row],[!Type]]=K$1, K$1,"rg:None")</f>
        <v>rg:None</v>
      </c>
      <c r="L214" s="10" t="str">
        <f>IF(Table2[[#This Row],[!Type]]=L$1, L$1,"rg:None")</f>
        <v>rg:None</v>
      </c>
      <c r="M214" s="5" t="str">
        <f>IF(Table2[[#This Row],[!Type]]=M$1, M$1,"rg:None")</f>
        <v>rg:None</v>
      </c>
      <c r="N214" s="5" t="str">
        <f>IF(Table2[[#This Row],[!Type]]=N$1, N$1,"rg:None")</f>
        <v>ref</v>
      </c>
      <c r="O214" s="5" t="str">
        <f>IF(Table2[[#This Row],[!Type]]=O$1, O$1,"rg:None")</f>
        <v>rg:None</v>
      </c>
      <c r="P214" s="5" t="str">
        <f>IF(Table2[[#This Row],[!Type]]=P$1, P$1,"rg:None")</f>
        <v>rg:None</v>
      </c>
      <c r="Q214" s="10" t="str">
        <f>IF(LEN(Table2[[#This Row],[!Length]]) &gt; 0, Table2[[#This Row],[!Length]], "rg:None")</f>
        <v>rg:None</v>
      </c>
      <c r="R214" s="10" t="str">
        <f>IF(LEN(Table2[[#This Row],[!Name]]) &gt; 0, Table2[[#This Row],[!Name]], "rg:None")</f>
        <v>role</v>
      </c>
      <c r="S214" s="10" t="str">
        <f>IF(LEN(Table2[[#This Row],[!Description]]) &gt; 0, Table2[[#This Row],[!Description]], "rg:None")</f>
        <v>rg:None</v>
      </c>
      <c r="T214" s="10" t="str">
        <f>IF(LEN(Table2[[#This Row],[!FK]])&gt;0,Table2[[#This Row],[!FK]],"rg:None")</f>
        <v>Role</v>
      </c>
      <c r="U214" s="10" t="str">
        <f>IF(LEN(concatif2(A:A,Table2[[#This Row],[!Table]],G:G,"Y",D:D,",")) &gt; 0,"rg:[ { 'req' : '"&amp;concatif2(A:A,Table2[[#This Row],[!Table]],G:G,"Y",D:D,"' }, { 'req': '")&amp;"'} ]","rg:[]")</f>
        <v>rg:[ { 'req' : 'id'} ]</v>
      </c>
    </row>
    <row r="215" spans="1:21" x14ac:dyDescent="0.3">
      <c r="A215" s="3" t="s">
        <v>204</v>
      </c>
      <c r="B215" s="3" t="s">
        <v>17</v>
      </c>
      <c r="C215" s="3"/>
      <c r="D215" s="3" t="s">
        <v>205</v>
      </c>
      <c r="E215" s="3" t="s">
        <v>7</v>
      </c>
      <c r="F215" s="3" t="s">
        <v>206</v>
      </c>
      <c r="G215" s="4"/>
      <c r="H215" s="5" t="str">
        <f t="shared" si="3"/>
        <v>Defs</v>
      </c>
      <c r="I215" t="str">
        <f>IF(Table2[[#This Row],[!Type]]=I$1, I$1,"rg:None")</f>
        <v>rg:None</v>
      </c>
      <c r="J215" t="str">
        <f>IF(Table2[[#This Row],[!Type]]=J$1, J$1,"rg:None")</f>
        <v>rg:None</v>
      </c>
      <c r="K215" t="str">
        <f>IF(Table2[[#This Row],[!Type]]=K$1, K$1,"rg:None")</f>
        <v>rg:None</v>
      </c>
      <c r="L215" s="10" t="str">
        <f>IF(Table2[[#This Row],[!Type]]=L$1, L$1,"rg:None")</f>
        <v>rg:None</v>
      </c>
      <c r="M215" s="5" t="str">
        <f>IF(Table2[[#This Row],[!Type]]=M$1, M$1,"rg:None")</f>
        <v>rg:None</v>
      </c>
      <c r="N215" s="5" t="str">
        <f>IF(Table2[[#This Row],[!Type]]=N$1, N$1,"rg:None")</f>
        <v>ref</v>
      </c>
      <c r="O215" s="5" t="str">
        <f>IF(Table2[[#This Row],[!Type]]=O$1, O$1,"rg:None")</f>
        <v>rg:None</v>
      </c>
      <c r="P215" s="5" t="str">
        <f>IF(Table2[[#This Row],[!Type]]=P$1, P$1,"rg:None")</f>
        <v>rg:None</v>
      </c>
      <c r="Q215" s="10" t="str">
        <f>IF(LEN(Table2[[#This Row],[!Length]]) &gt; 0, Table2[[#This Row],[!Length]], "rg:None")</f>
        <v>rg:None</v>
      </c>
      <c r="R215" s="10" t="str">
        <f>IF(LEN(Table2[[#This Row],[!Name]]) &gt; 0, Table2[[#This Row],[!Name]], "rg:None")</f>
        <v>permission</v>
      </c>
      <c r="S215" s="10" t="str">
        <f>IF(LEN(Table2[[#This Row],[!Description]]) &gt; 0, Table2[[#This Row],[!Description]], "rg:None")</f>
        <v>rg:None</v>
      </c>
      <c r="T215" s="10" t="str">
        <f>IF(LEN(Table2[[#This Row],[!FK]])&gt;0,Table2[[#This Row],[!FK]],"rg:None")</f>
        <v>Permission</v>
      </c>
      <c r="U215" s="10" t="str">
        <f>IF(LEN(concatif2(A:A,Table2[[#This Row],[!Table]],G:G,"Y",D:D,",")) &gt; 0,"rg:[ { 'req' : '"&amp;concatif2(A:A,Table2[[#This Row],[!Table]],G:G,"Y",D:D,"' }, { 'req': '")&amp;"'} ]","rg:[]")</f>
        <v>rg:[ { 'req' : 'id'} ]</v>
      </c>
    </row>
    <row r="216" spans="1:21" x14ac:dyDescent="0.3">
      <c r="A216" s="3" t="s">
        <v>206</v>
      </c>
      <c r="B216" s="3" t="s">
        <v>5</v>
      </c>
      <c r="C216" s="3"/>
      <c r="D216" s="3" t="s">
        <v>206</v>
      </c>
      <c r="E216" s="3" t="s">
        <v>7</v>
      </c>
      <c r="F216" s="3" t="s">
        <v>7</v>
      </c>
      <c r="G216" s="4"/>
      <c r="H216" s="5" t="str">
        <f t="shared" si="3"/>
        <v>Defs</v>
      </c>
      <c r="I216" t="str">
        <f>IF(Table2[[#This Row],[!Type]]=I$1, I$1,"rg:None")</f>
        <v>rg:None</v>
      </c>
      <c r="J216" t="str">
        <f>IF(Table2[[#This Row],[!Type]]=J$1, J$1,"rg:None")</f>
        <v>rg:None</v>
      </c>
      <c r="K216" t="str">
        <f>IF(Table2[[#This Row],[!Type]]=K$1, K$1,"rg:None")</f>
        <v>rg:None</v>
      </c>
      <c r="L216" s="10" t="str">
        <f>IF(Table2[[#This Row],[!Type]]=L$1, L$1,"rg:None")</f>
        <v>rg:None</v>
      </c>
      <c r="M216" s="5" t="str">
        <f>IF(Table2[[#This Row],[!Type]]=M$1, M$1,"rg:None")</f>
        <v>rg:None</v>
      </c>
      <c r="N216" s="5" t="str">
        <f>IF(Table2[[#This Row],[!Type]]=N$1, N$1,"rg:None")</f>
        <v>rg:None</v>
      </c>
      <c r="O216" s="5" t="str">
        <f>IF(Table2[[#This Row],[!Type]]=O$1, O$1,"rg:None")</f>
        <v>rg:None</v>
      </c>
      <c r="P216" s="5" t="str">
        <f>IF(Table2[[#This Row],[!Type]]=P$1, P$1,"rg:None")</f>
        <v>table</v>
      </c>
      <c r="Q216" s="10" t="str">
        <f>IF(LEN(Table2[[#This Row],[!Length]]) &gt; 0, Table2[[#This Row],[!Length]], "rg:None")</f>
        <v>rg:None</v>
      </c>
      <c r="R216" s="10" t="str">
        <f>IF(LEN(Table2[[#This Row],[!Name]]) &gt; 0, Table2[[#This Row],[!Name]], "rg:None")</f>
        <v>Permission</v>
      </c>
      <c r="S216" s="10" t="str">
        <f>IF(LEN(Table2[[#This Row],[!Description]]) &gt; 0, Table2[[#This Row],[!Description]], "rg:None")</f>
        <v>rg:None</v>
      </c>
      <c r="T216" s="10" t="str">
        <f>IF(LEN(Table2[[#This Row],[!FK]])&gt;0,Table2[[#This Row],[!FK]],"rg:None")</f>
        <v>rg:None</v>
      </c>
      <c r="U216" s="10" t="str">
        <f>IF(LEN(concatif2(A:A,Table2[[#This Row],[!Table]],G:G,"Y",D:D,",")) &gt; 0,"rg:[ { 'req' : '"&amp;concatif2(A:A,Table2[[#This Row],[!Table]],G:G,"Y",D:D,"' }, { 'req': '")&amp;"'} ]","rg:[]")</f>
        <v>rg:[ { 'req' : 'id' }, { 'req': 'code' }, { 'req': 'name' }, { 'req': 'description'} ]</v>
      </c>
    </row>
    <row r="217" spans="1:21" x14ac:dyDescent="0.3">
      <c r="A217" s="3" t="s">
        <v>206</v>
      </c>
      <c r="B217" s="3" t="s">
        <v>8</v>
      </c>
      <c r="C217" s="3"/>
      <c r="D217" s="3" t="s">
        <v>8</v>
      </c>
      <c r="E217" s="3" t="s">
        <v>9</v>
      </c>
      <c r="F217" s="3" t="s">
        <v>7</v>
      </c>
      <c r="G217" s="4" t="s">
        <v>211</v>
      </c>
      <c r="H217" s="5" t="str">
        <f t="shared" si="3"/>
        <v>Defs</v>
      </c>
      <c r="I217" t="str">
        <f>IF(Table2[[#This Row],[!Type]]=I$1, I$1,"rg:None")</f>
        <v>rg:None</v>
      </c>
      <c r="J217" t="str">
        <f>IF(Table2[[#This Row],[!Type]]=J$1, J$1,"rg:None")</f>
        <v>rg:None</v>
      </c>
      <c r="K217" t="str">
        <f>IF(Table2[[#This Row],[!Type]]=K$1, K$1,"rg:None")</f>
        <v>id</v>
      </c>
      <c r="L217" s="10" t="str">
        <f>IF(Table2[[#This Row],[!Type]]=L$1, L$1,"rg:None")</f>
        <v>rg:None</v>
      </c>
      <c r="M217" s="5" t="str">
        <f>IF(Table2[[#This Row],[!Type]]=M$1, M$1,"rg:None")</f>
        <v>rg:None</v>
      </c>
      <c r="N217" s="5" t="str">
        <f>IF(Table2[[#This Row],[!Type]]=N$1, N$1,"rg:None")</f>
        <v>rg:None</v>
      </c>
      <c r="O217" s="5" t="str">
        <f>IF(Table2[[#This Row],[!Type]]=O$1, O$1,"rg:None")</f>
        <v>rg:None</v>
      </c>
      <c r="P217" s="5" t="str">
        <f>IF(Table2[[#This Row],[!Type]]=P$1, P$1,"rg:None")</f>
        <v>rg:None</v>
      </c>
      <c r="Q217" s="10" t="str">
        <f>IF(LEN(Table2[[#This Row],[!Length]]) &gt; 0, Table2[[#This Row],[!Length]], "rg:None")</f>
        <v>rg:None</v>
      </c>
      <c r="R217" s="10" t="str">
        <f>IF(LEN(Table2[[#This Row],[!Name]]) &gt; 0, Table2[[#This Row],[!Name]], "rg:None")</f>
        <v>id</v>
      </c>
      <c r="S217" s="10" t="str">
        <f>IF(LEN(Table2[[#This Row],[!Description]]) &gt; 0, Table2[[#This Row],[!Description]], "rg:None")</f>
        <v>Primary Key</v>
      </c>
      <c r="T217" s="10" t="str">
        <f>IF(LEN(Table2[[#This Row],[!FK]])&gt;0,Table2[[#This Row],[!FK]],"rg:None")</f>
        <v>rg:None</v>
      </c>
      <c r="U217" s="10" t="str">
        <f>IF(LEN(concatif2(A:A,Table2[[#This Row],[!Table]],G:G,"Y",D:D,",")) &gt; 0,"rg:[ { 'req' : '"&amp;concatif2(A:A,Table2[[#This Row],[!Table]],G:G,"Y",D:D,"' }, { 'req': '")&amp;"'} ]","rg:[]")</f>
        <v>rg:[ { 'req' : 'id' }, { 'req': 'code' }, { 'req': 'name' }, { 'req': 'description'} ]</v>
      </c>
    </row>
    <row r="218" spans="1:21" x14ac:dyDescent="0.3">
      <c r="A218" s="3" t="s">
        <v>206</v>
      </c>
      <c r="B218" s="3" t="s">
        <v>10</v>
      </c>
      <c r="C218" s="3"/>
      <c r="D218" s="3" t="s">
        <v>207</v>
      </c>
      <c r="E218" s="3" t="s">
        <v>7</v>
      </c>
      <c r="F218" s="3" t="s">
        <v>7</v>
      </c>
      <c r="G218" s="4" t="s">
        <v>211</v>
      </c>
      <c r="H218" s="5" t="str">
        <f t="shared" si="3"/>
        <v>Defs</v>
      </c>
      <c r="I218" t="str">
        <f>IF(Table2[[#This Row],[!Type]]=I$1, I$1,"rg:None")</f>
        <v>rg:None</v>
      </c>
      <c r="J218" t="str">
        <f>IF(Table2[[#This Row],[!Type]]=J$1, J$1,"rg:None")</f>
        <v>rg:None</v>
      </c>
      <c r="K218" t="str">
        <f>IF(Table2[[#This Row],[!Type]]=K$1, K$1,"rg:None")</f>
        <v>rg:None</v>
      </c>
      <c r="L218" s="10" t="str">
        <f>IF(Table2[[#This Row],[!Type]]=L$1, L$1,"rg:None")</f>
        <v>rg:None</v>
      </c>
      <c r="M218" s="5" t="str">
        <f>IF(Table2[[#This Row],[!Type]]=M$1, M$1,"rg:None")</f>
        <v>rg:None</v>
      </c>
      <c r="N218" s="5" t="str">
        <f>IF(Table2[[#This Row],[!Type]]=N$1, N$1,"rg:None")</f>
        <v>rg:None</v>
      </c>
      <c r="O218" s="5" t="str">
        <f>IF(Table2[[#This Row],[!Type]]=O$1, O$1,"rg:None")</f>
        <v>string</v>
      </c>
      <c r="P218" s="5" t="str">
        <f>IF(Table2[[#This Row],[!Type]]=P$1, P$1,"rg:None")</f>
        <v>rg:None</v>
      </c>
      <c r="Q218" s="10" t="str">
        <f>IF(LEN(Table2[[#This Row],[!Length]]) &gt; 0, Table2[[#This Row],[!Length]], "rg:None")</f>
        <v>rg:None</v>
      </c>
      <c r="R218" s="10" t="str">
        <f>IF(LEN(Table2[[#This Row],[!Name]]) &gt; 0, Table2[[#This Row],[!Name]], "rg:None")</f>
        <v>code</v>
      </c>
      <c r="S218" s="10" t="str">
        <f>IF(LEN(Table2[[#This Row],[!Description]]) &gt; 0, Table2[[#This Row],[!Description]], "rg:None")</f>
        <v>rg:None</v>
      </c>
      <c r="T218" s="10" t="str">
        <f>IF(LEN(Table2[[#This Row],[!FK]])&gt;0,Table2[[#This Row],[!FK]],"rg:None")</f>
        <v>rg:None</v>
      </c>
      <c r="U218" s="10" t="str">
        <f>IF(LEN(concatif2(A:A,Table2[[#This Row],[!Table]],G:G,"Y",D:D,",")) &gt; 0,"rg:[ { 'req' : '"&amp;concatif2(A:A,Table2[[#This Row],[!Table]],G:G,"Y",D:D,"' }, { 'req': '")&amp;"'} ]","rg:[]")</f>
        <v>rg:[ { 'req' : 'id' }, { 'req': 'code' }, { 'req': 'name' }, { 'req': 'description'} ]</v>
      </c>
    </row>
    <row r="219" spans="1:21" x14ac:dyDescent="0.3">
      <c r="A219" s="3" t="s">
        <v>206</v>
      </c>
      <c r="B219" s="3" t="s">
        <v>10</v>
      </c>
      <c r="C219" s="3"/>
      <c r="D219" s="3" t="s">
        <v>84</v>
      </c>
      <c r="E219" s="3" t="s">
        <v>7</v>
      </c>
      <c r="F219" s="3" t="s">
        <v>7</v>
      </c>
      <c r="G219" s="4" t="s">
        <v>211</v>
      </c>
      <c r="H219" s="5" t="str">
        <f t="shared" si="3"/>
        <v>Defs</v>
      </c>
      <c r="I219" t="str">
        <f>IF(Table2[[#This Row],[!Type]]=I$1, I$1,"rg:None")</f>
        <v>rg:None</v>
      </c>
      <c r="J219" t="str">
        <f>IF(Table2[[#This Row],[!Type]]=J$1, J$1,"rg:None")</f>
        <v>rg:None</v>
      </c>
      <c r="K219" t="str">
        <f>IF(Table2[[#This Row],[!Type]]=K$1, K$1,"rg:None")</f>
        <v>rg:None</v>
      </c>
      <c r="L219" s="10" t="str">
        <f>IF(Table2[[#This Row],[!Type]]=L$1, L$1,"rg:None")</f>
        <v>rg:None</v>
      </c>
      <c r="M219" s="5" t="str">
        <f>IF(Table2[[#This Row],[!Type]]=M$1, M$1,"rg:None")</f>
        <v>rg:None</v>
      </c>
      <c r="N219" s="5" t="str">
        <f>IF(Table2[[#This Row],[!Type]]=N$1, N$1,"rg:None")</f>
        <v>rg:None</v>
      </c>
      <c r="O219" s="5" t="str">
        <f>IF(Table2[[#This Row],[!Type]]=O$1, O$1,"rg:None")</f>
        <v>string</v>
      </c>
      <c r="P219" s="5" t="str">
        <f>IF(Table2[[#This Row],[!Type]]=P$1, P$1,"rg:None")</f>
        <v>rg:None</v>
      </c>
      <c r="Q219" s="10" t="str">
        <f>IF(LEN(Table2[[#This Row],[!Length]]) &gt; 0, Table2[[#This Row],[!Length]], "rg:None")</f>
        <v>rg:None</v>
      </c>
      <c r="R219" s="10" t="str">
        <f>IF(LEN(Table2[[#This Row],[!Name]]) &gt; 0, Table2[[#This Row],[!Name]], "rg:None")</f>
        <v>name</v>
      </c>
      <c r="S219" s="10" t="str">
        <f>IF(LEN(Table2[[#This Row],[!Description]]) &gt; 0, Table2[[#This Row],[!Description]], "rg:None")</f>
        <v>rg:None</v>
      </c>
      <c r="T219" s="10" t="str">
        <f>IF(LEN(Table2[[#This Row],[!FK]])&gt;0,Table2[[#This Row],[!FK]],"rg:None")</f>
        <v>rg:None</v>
      </c>
      <c r="U219" s="10" t="str">
        <f>IF(LEN(concatif2(A:A,Table2[[#This Row],[!Table]],G:G,"Y",D:D,",")) &gt; 0,"rg:[ { 'req' : '"&amp;concatif2(A:A,Table2[[#This Row],[!Table]],G:G,"Y",D:D,"' }, { 'req': '")&amp;"'} ]","rg:[]")</f>
        <v>rg:[ { 'req' : 'id' }, { 'req': 'code' }, { 'req': 'name' }, { 'req': 'description'} ]</v>
      </c>
    </row>
    <row r="220" spans="1:21" x14ac:dyDescent="0.3">
      <c r="A220" s="3" t="s">
        <v>206</v>
      </c>
      <c r="B220" s="3" t="s">
        <v>10</v>
      </c>
      <c r="C220" s="3"/>
      <c r="D220" s="3" t="s">
        <v>80</v>
      </c>
      <c r="E220" s="3" t="s">
        <v>7</v>
      </c>
      <c r="F220" s="3" t="s">
        <v>7</v>
      </c>
      <c r="G220" s="4" t="s">
        <v>211</v>
      </c>
      <c r="H220" s="5" t="str">
        <f t="shared" si="3"/>
        <v>Defs</v>
      </c>
      <c r="I220" t="str">
        <f>IF(Table2[[#This Row],[!Type]]=I$1, I$1,"rg:None")</f>
        <v>rg:None</v>
      </c>
      <c r="J220" t="str">
        <f>IF(Table2[[#This Row],[!Type]]=J$1, J$1,"rg:None")</f>
        <v>rg:None</v>
      </c>
      <c r="K220" t="str">
        <f>IF(Table2[[#This Row],[!Type]]=K$1, K$1,"rg:None")</f>
        <v>rg:None</v>
      </c>
      <c r="L220" s="10" t="str">
        <f>IF(Table2[[#This Row],[!Type]]=L$1, L$1,"rg:None")</f>
        <v>rg:None</v>
      </c>
      <c r="M220" s="5" t="str">
        <f>IF(Table2[[#This Row],[!Type]]=M$1, M$1,"rg:None")</f>
        <v>rg:None</v>
      </c>
      <c r="N220" s="5" t="str">
        <f>IF(Table2[[#This Row],[!Type]]=N$1, N$1,"rg:None")</f>
        <v>rg:None</v>
      </c>
      <c r="O220" s="5" t="str">
        <f>IF(Table2[[#This Row],[!Type]]=O$1, O$1,"rg:None")</f>
        <v>string</v>
      </c>
      <c r="P220" s="5" t="str">
        <f>IF(Table2[[#This Row],[!Type]]=P$1, P$1,"rg:None")</f>
        <v>rg:None</v>
      </c>
      <c r="Q220" s="10" t="str">
        <f>IF(LEN(Table2[[#This Row],[!Length]]) &gt; 0, Table2[[#This Row],[!Length]], "rg:None")</f>
        <v>rg:None</v>
      </c>
      <c r="R220" s="10" t="str">
        <f>IF(LEN(Table2[[#This Row],[!Name]]) &gt; 0, Table2[[#This Row],[!Name]], "rg:None")</f>
        <v>description</v>
      </c>
      <c r="S220" s="10" t="str">
        <f>IF(LEN(Table2[[#This Row],[!Description]]) &gt; 0, Table2[[#This Row],[!Description]], "rg:None")</f>
        <v>rg:None</v>
      </c>
      <c r="T220" s="10" t="str">
        <f>IF(LEN(Table2[[#This Row],[!FK]])&gt;0,Table2[[#This Row],[!FK]],"rg:None")</f>
        <v>rg:None</v>
      </c>
      <c r="U220" s="10" t="str">
        <f>IF(LEN(concatif2(A:A,Table2[[#This Row],[!Table]],G:G,"Y",D:D,",")) &gt; 0,"rg:[ { 'req' : '"&amp;concatif2(A:A,Table2[[#This Row],[!Table]],G:G,"Y",D:D,"' }, { 'req': '")&amp;"'} ]","rg:[]")</f>
        <v>rg:[ { 'req' : 'id' }, { 'req': 'code' }, { 'req': 'name' }, { 'req': 'description'} ]</v>
      </c>
    </row>
    <row r="221" spans="1:21" x14ac:dyDescent="0.3">
      <c r="A221" s="3" t="s">
        <v>208</v>
      </c>
      <c r="B221" s="3" t="s">
        <v>5</v>
      </c>
      <c r="C221" s="3"/>
      <c r="D221" s="3" t="s">
        <v>208</v>
      </c>
      <c r="E221" s="3" t="s">
        <v>7</v>
      </c>
      <c r="F221" s="3" t="s">
        <v>7</v>
      </c>
      <c r="G221" s="4"/>
      <c r="H221" s="5" t="str">
        <f t="shared" si="3"/>
        <v>Defs</v>
      </c>
      <c r="I221" t="str">
        <f>IF(Table2[[#This Row],[!Type]]=I$1, I$1,"rg:None")</f>
        <v>rg:None</v>
      </c>
      <c r="J221" t="str">
        <f>IF(Table2[[#This Row],[!Type]]=J$1, J$1,"rg:None")</f>
        <v>rg:None</v>
      </c>
      <c r="K221" t="str">
        <f>IF(Table2[[#This Row],[!Type]]=K$1, K$1,"rg:None")</f>
        <v>rg:None</v>
      </c>
      <c r="L221" s="10" t="str">
        <f>IF(Table2[[#This Row],[!Type]]=L$1, L$1,"rg:None")</f>
        <v>rg:None</v>
      </c>
      <c r="M221" s="5" t="str">
        <f>IF(Table2[[#This Row],[!Type]]=M$1, M$1,"rg:None")</f>
        <v>rg:None</v>
      </c>
      <c r="N221" s="5" t="str">
        <f>IF(Table2[[#This Row],[!Type]]=N$1, N$1,"rg:None")</f>
        <v>rg:None</v>
      </c>
      <c r="O221" s="5" t="str">
        <f>IF(Table2[[#This Row],[!Type]]=O$1, O$1,"rg:None")</f>
        <v>rg:None</v>
      </c>
      <c r="P221" s="5" t="str">
        <f>IF(Table2[[#This Row],[!Type]]=P$1, P$1,"rg:None")</f>
        <v>table</v>
      </c>
      <c r="Q221" s="10" t="str">
        <f>IF(LEN(Table2[[#This Row],[!Length]]) &gt; 0, Table2[[#This Row],[!Length]], "rg:None")</f>
        <v>rg:None</v>
      </c>
      <c r="R221" s="10" t="str">
        <f>IF(LEN(Table2[[#This Row],[!Name]]) &gt; 0, Table2[[#This Row],[!Name]], "rg:None")</f>
        <v>GroupMembership</v>
      </c>
      <c r="S221" s="10" t="str">
        <f>IF(LEN(Table2[[#This Row],[!Description]]) &gt; 0, Table2[[#This Row],[!Description]], "rg:None")</f>
        <v>rg:None</v>
      </c>
      <c r="T221" s="10" t="str">
        <f>IF(LEN(Table2[[#This Row],[!FK]])&gt;0,Table2[[#This Row],[!FK]],"rg:None")</f>
        <v>rg:None</v>
      </c>
      <c r="U221" s="10" t="str">
        <f>IF(LEN(concatif2(A:A,Table2[[#This Row],[!Table]],G:G,"Y",D:D,",")) &gt; 0,"rg:[ { 'req' : '"&amp;concatif2(A:A,Table2[[#This Row],[!Table]],G:G,"Y",D:D,"' }, { 'req': '")&amp;"'} ]","rg:[]")</f>
        <v>rg:[ { 'req' : 'id' }, { 'req': 'active'} ]</v>
      </c>
    </row>
    <row r="222" spans="1:21" x14ac:dyDescent="0.3">
      <c r="A222" s="3" t="s">
        <v>208</v>
      </c>
      <c r="B222" s="3" t="s">
        <v>8</v>
      </c>
      <c r="C222" s="3"/>
      <c r="D222" s="3" t="s">
        <v>8</v>
      </c>
      <c r="E222" s="3" t="s">
        <v>9</v>
      </c>
      <c r="F222" s="3" t="s">
        <v>7</v>
      </c>
      <c r="G222" s="4" t="s">
        <v>211</v>
      </c>
      <c r="H222" s="5" t="str">
        <f t="shared" si="3"/>
        <v>Defs</v>
      </c>
      <c r="I222" t="str">
        <f>IF(Table2[[#This Row],[!Type]]=I$1, I$1,"rg:None")</f>
        <v>rg:None</v>
      </c>
      <c r="J222" t="str">
        <f>IF(Table2[[#This Row],[!Type]]=J$1, J$1,"rg:None")</f>
        <v>rg:None</v>
      </c>
      <c r="K222" t="str">
        <f>IF(Table2[[#This Row],[!Type]]=K$1, K$1,"rg:None")</f>
        <v>id</v>
      </c>
      <c r="L222" s="10" t="str">
        <f>IF(Table2[[#This Row],[!Type]]=L$1, L$1,"rg:None")</f>
        <v>rg:None</v>
      </c>
      <c r="M222" s="5" t="str">
        <f>IF(Table2[[#This Row],[!Type]]=M$1, M$1,"rg:None")</f>
        <v>rg:None</v>
      </c>
      <c r="N222" s="5" t="str">
        <f>IF(Table2[[#This Row],[!Type]]=N$1, N$1,"rg:None")</f>
        <v>rg:None</v>
      </c>
      <c r="O222" s="5" t="str">
        <f>IF(Table2[[#This Row],[!Type]]=O$1, O$1,"rg:None")</f>
        <v>rg:None</v>
      </c>
      <c r="P222" s="5" t="str">
        <f>IF(Table2[[#This Row],[!Type]]=P$1, P$1,"rg:None")</f>
        <v>rg:None</v>
      </c>
      <c r="Q222" s="10" t="str">
        <f>IF(LEN(Table2[[#This Row],[!Length]]) &gt; 0, Table2[[#This Row],[!Length]], "rg:None")</f>
        <v>rg:None</v>
      </c>
      <c r="R222" s="10" t="str">
        <f>IF(LEN(Table2[[#This Row],[!Name]]) &gt; 0, Table2[[#This Row],[!Name]], "rg:None")</f>
        <v>id</v>
      </c>
      <c r="S222" s="10" t="str">
        <f>IF(LEN(Table2[[#This Row],[!Description]]) &gt; 0, Table2[[#This Row],[!Description]], "rg:None")</f>
        <v>Primary Key</v>
      </c>
      <c r="T222" s="10" t="str">
        <f>IF(LEN(Table2[[#This Row],[!FK]])&gt;0,Table2[[#This Row],[!FK]],"rg:None")</f>
        <v>rg:None</v>
      </c>
      <c r="U222" s="10" t="str">
        <f>IF(LEN(concatif2(A:A,Table2[[#This Row],[!Table]],G:G,"Y",D:D,",")) &gt; 0,"rg:[ { 'req' : '"&amp;concatif2(A:A,Table2[[#This Row],[!Table]],G:G,"Y",D:D,"' }, { 'req': '")&amp;"'} ]","rg:[]")</f>
        <v>rg:[ { 'req' : 'id' }, { 'req': 'active'} ]</v>
      </c>
    </row>
    <row r="223" spans="1:21" x14ac:dyDescent="0.3">
      <c r="A223" s="3" t="s">
        <v>208</v>
      </c>
      <c r="B223" s="3" t="s">
        <v>24</v>
      </c>
      <c r="C223" s="3"/>
      <c r="D223" s="3" t="s">
        <v>191</v>
      </c>
      <c r="E223" s="3" t="s">
        <v>7</v>
      </c>
      <c r="F223" s="3" t="s">
        <v>7</v>
      </c>
      <c r="G223" s="4" t="s">
        <v>211</v>
      </c>
      <c r="H223" s="5" t="str">
        <f t="shared" si="3"/>
        <v>Defs</v>
      </c>
      <c r="I223" t="str">
        <f>IF(Table2[[#This Row],[!Type]]=I$1, I$1,"rg:None")</f>
        <v>boolean</v>
      </c>
      <c r="J223" t="str">
        <f>IF(Table2[[#This Row],[!Type]]=J$1, J$1,"rg:None")</f>
        <v>rg:None</v>
      </c>
      <c r="K223" t="str">
        <f>IF(Table2[[#This Row],[!Type]]=K$1, K$1,"rg:None")</f>
        <v>rg:None</v>
      </c>
      <c r="L223" s="10" t="str">
        <f>IF(Table2[[#This Row],[!Type]]=L$1, L$1,"rg:None")</f>
        <v>rg:None</v>
      </c>
      <c r="M223" s="5" t="str">
        <f>IF(Table2[[#This Row],[!Type]]=M$1, M$1,"rg:None")</f>
        <v>rg:None</v>
      </c>
      <c r="N223" s="5" t="str">
        <f>IF(Table2[[#This Row],[!Type]]=N$1, N$1,"rg:None")</f>
        <v>rg:None</v>
      </c>
      <c r="O223" s="5" t="str">
        <f>IF(Table2[[#This Row],[!Type]]=O$1, O$1,"rg:None")</f>
        <v>rg:None</v>
      </c>
      <c r="P223" s="5" t="str">
        <f>IF(Table2[[#This Row],[!Type]]=P$1, P$1,"rg:None")</f>
        <v>rg:None</v>
      </c>
      <c r="Q223" s="10" t="str">
        <f>IF(LEN(Table2[[#This Row],[!Length]]) &gt; 0, Table2[[#This Row],[!Length]], "rg:None")</f>
        <v>rg:None</v>
      </c>
      <c r="R223" s="10" t="str">
        <f>IF(LEN(Table2[[#This Row],[!Name]]) &gt; 0, Table2[[#This Row],[!Name]], "rg:None")</f>
        <v>active</v>
      </c>
      <c r="S223" s="10" t="str">
        <f>IF(LEN(Table2[[#This Row],[!Description]]) &gt; 0, Table2[[#This Row],[!Description]], "rg:None")</f>
        <v>rg:None</v>
      </c>
      <c r="T223" s="10" t="str">
        <f>IF(LEN(Table2[[#This Row],[!FK]])&gt;0,Table2[[#This Row],[!FK]],"rg:None")</f>
        <v>rg:None</v>
      </c>
      <c r="U223" s="10" t="str">
        <f>IF(LEN(concatif2(A:A,Table2[[#This Row],[!Table]],G:G,"Y",D:D,",")) &gt; 0,"rg:[ { 'req' : '"&amp;concatif2(A:A,Table2[[#This Row],[!Table]],G:G,"Y",D:D,"' }, { 'req': '")&amp;"'} ]","rg:[]")</f>
        <v>rg:[ { 'req' : 'id' }, { 'req': 'active'} ]</v>
      </c>
    </row>
    <row r="224" spans="1:21" x14ac:dyDescent="0.3">
      <c r="A224" s="3" t="s">
        <v>208</v>
      </c>
      <c r="B224" s="3" t="s">
        <v>17</v>
      </c>
      <c r="C224" s="3"/>
      <c r="D224" s="3" t="s">
        <v>209</v>
      </c>
      <c r="E224" s="3" t="s">
        <v>7</v>
      </c>
      <c r="F224" s="3" t="s">
        <v>210</v>
      </c>
      <c r="G224" s="4"/>
      <c r="H224" s="5" t="str">
        <f t="shared" si="3"/>
        <v>Defs</v>
      </c>
      <c r="I224" t="str">
        <f>IF(Table2[[#This Row],[!Type]]=I$1, I$1,"rg:None")</f>
        <v>rg:None</v>
      </c>
      <c r="J224" t="str">
        <f>IF(Table2[[#This Row],[!Type]]=J$1, J$1,"rg:None")</f>
        <v>rg:None</v>
      </c>
      <c r="K224" t="str">
        <f>IF(Table2[[#This Row],[!Type]]=K$1, K$1,"rg:None")</f>
        <v>rg:None</v>
      </c>
      <c r="L224" s="10" t="str">
        <f>IF(Table2[[#This Row],[!Type]]=L$1, L$1,"rg:None")</f>
        <v>rg:None</v>
      </c>
      <c r="M224" s="5" t="str">
        <f>IF(Table2[[#This Row],[!Type]]=M$1, M$1,"rg:None")</f>
        <v>rg:None</v>
      </c>
      <c r="N224" s="5" t="str">
        <f>IF(Table2[[#This Row],[!Type]]=N$1, N$1,"rg:None")</f>
        <v>ref</v>
      </c>
      <c r="O224" s="5" t="str">
        <f>IF(Table2[[#This Row],[!Type]]=O$1, O$1,"rg:None")</f>
        <v>rg:None</v>
      </c>
      <c r="P224" s="5" t="str">
        <f>IF(Table2[[#This Row],[!Type]]=P$1, P$1,"rg:None")</f>
        <v>rg:None</v>
      </c>
      <c r="Q224" s="10" t="str">
        <f>IF(LEN(Table2[[#This Row],[!Length]]) &gt; 0, Table2[[#This Row],[!Length]], "rg:None")</f>
        <v>rg:None</v>
      </c>
      <c r="R224" s="10" t="str">
        <f>IF(LEN(Table2[[#This Row],[!Name]]) &gt; 0, Table2[[#This Row],[!Name]], "rg:None")</f>
        <v>group</v>
      </c>
      <c r="S224" s="10" t="str">
        <f>IF(LEN(Table2[[#This Row],[!Description]]) &gt; 0, Table2[[#This Row],[!Description]], "rg:None")</f>
        <v>rg:None</v>
      </c>
      <c r="T224" s="10" t="str">
        <f>IF(LEN(Table2[[#This Row],[!FK]])&gt;0,Table2[[#This Row],[!FK]],"rg:None")</f>
        <v>Group</v>
      </c>
      <c r="U224" s="10" t="str">
        <f>IF(LEN(concatif2(A:A,Table2[[#This Row],[!Table]],G:G,"Y",D:D,",")) &gt; 0,"rg:[ { 'req' : '"&amp;concatif2(A:A,Table2[[#This Row],[!Table]],G:G,"Y",D:D,"' }, { 'req': '")&amp;"'} ]","rg:[]")</f>
        <v>rg:[ { 'req' : 'id' }, { 'req': 'active'} ]</v>
      </c>
    </row>
    <row r="225" spans="1:21" x14ac:dyDescent="0.3">
      <c r="A225" s="3" t="s">
        <v>208</v>
      </c>
      <c r="B225" s="3" t="s">
        <v>17</v>
      </c>
      <c r="C225" s="3"/>
      <c r="D225" s="3" t="s">
        <v>186</v>
      </c>
      <c r="E225" s="3" t="s">
        <v>7</v>
      </c>
      <c r="F225" s="3" t="s">
        <v>0</v>
      </c>
      <c r="G225" s="4"/>
      <c r="H225" s="5" t="str">
        <f t="shared" si="3"/>
        <v>Defs</v>
      </c>
      <c r="I225" t="str">
        <f>IF(Table2[[#This Row],[!Type]]=I$1, I$1,"rg:None")</f>
        <v>rg:None</v>
      </c>
      <c r="J225" t="str">
        <f>IF(Table2[[#This Row],[!Type]]=J$1, J$1,"rg:None")</f>
        <v>rg:None</v>
      </c>
      <c r="K225" t="str">
        <f>IF(Table2[[#This Row],[!Type]]=K$1, K$1,"rg:None")</f>
        <v>rg:None</v>
      </c>
      <c r="L225" s="10" t="str">
        <f>IF(Table2[[#This Row],[!Type]]=L$1, L$1,"rg:None")</f>
        <v>rg:None</v>
      </c>
      <c r="M225" s="5" t="str">
        <f>IF(Table2[[#This Row],[!Type]]=M$1, M$1,"rg:None")</f>
        <v>rg:None</v>
      </c>
      <c r="N225" s="5" t="str">
        <f>IF(Table2[[#This Row],[!Type]]=N$1, N$1,"rg:None")</f>
        <v>ref</v>
      </c>
      <c r="O225" s="5" t="str">
        <f>IF(Table2[[#This Row],[!Type]]=O$1, O$1,"rg:None")</f>
        <v>rg:None</v>
      </c>
      <c r="P225" s="5" t="str">
        <f>IF(Table2[[#This Row],[!Type]]=P$1, P$1,"rg:None")</f>
        <v>rg:None</v>
      </c>
      <c r="Q225" s="10" t="str">
        <f>IF(LEN(Table2[[#This Row],[!Length]]) &gt; 0, Table2[[#This Row],[!Length]], "rg:None")</f>
        <v>rg:None</v>
      </c>
      <c r="R225" s="10" t="str">
        <f>IF(LEN(Table2[[#This Row],[!Name]]) &gt; 0, Table2[[#This Row],[!Name]], "rg:None")</f>
        <v>user</v>
      </c>
      <c r="S225" s="10" t="str">
        <f>IF(LEN(Table2[[#This Row],[!Description]]) &gt; 0, Table2[[#This Row],[!Description]], "rg:None")</f>
        <v>rg:None</v>
      </c>
      <c r="T225" s="10" t="str">
        <f>IF(LEN(Table2[[#This Row],[!FK]])&gt;0,Table2[[#This Row],[!FK]],"rg:None")</f>
        <v>User</v>
      </c>
      <c r="U225" s="10" t="str">
        <f>IF(LEN(concatif2(A:A,Table2[[#This Row],[!Table]],G:G,"Y",D:D,",")) &gt; 0,"rg:[ { 'req' : '"&amp;concatif2(A:A,Table2[[#This Row],[!Table]],G:G,"Y",D:D,"' }, { 'req': '")&amp;"'} ]","rg:[]")</f>
        <v>rg:[ { 'req' : 'id' }, { 'req': 'active'} ]</v>
      </c>
    </row>
    <row r="226" spans="1:21" x14ac:dyDescent="0.3">
      <c r="A226" s="3" t="s">
        <v>210</v>
      </c>
      <c r="B226" s="3" t="s">
        <v>5</v>
      </c>
      <c r="C226" s="3"/>
      <c r="D226" s="3" t="s">
        <v>210</v>
      </c>
      <c r="E226" s="3" t="s">
        <v>7</v>
      </c>
      <c r="F226" s="3" t="s">
        <v>7</v>
      </c>
      <c r="G226" s="4"/>
      <c r="H226" s="5" t="str">
        <f t="shared" si="3"/>
        <v>Defs</v>
      </c>
      <c r="I226" t="str">
        <f>IF(Table2[[#This Row],[!Type]]=I$1, I$1,"rg:None")</f>
        <v>rg:None</v>
      </c>
      <c r="J226" t="str">
        <f>IF(Table2[[#This Row],[!Type]]=J$1, J$1,"rg:None")</f>
        <v>rg:None</v>
      </c>
      <c r="K226" t="str">
        <f>IF(Table2[[#This Row],[!Type]]=K$1, K$1,"rg:None")</f>
        <v>rg:None</v>
      </c>
      <c r="L226" s="10" t="str">
        <f>IF(Table2[[#This Row],[!Type]]=L$1, L$1,"rg:None")</f>
        <v>rg:None</v>
      </c>
      <c r="M226" s="5" t="str">
        <f>IF(Table2[[#This Row],[!Type]]=M$1, M$1,"rg:None")</f>
        <v>rg:None</v>
      </c>
      <c r="N226" s="5" t="str">
        <f>IF(Table2[[#This Row],[!Type]]=N$1, N$1,"rg:None")</f>
        <v>rg:None</v>
      </c>
      <c r="O226" s="5" t="str">
        <f>IF(Table2[[#This Row],[!Type]]=O$1, O$1,"rg:None")</f>
        <v>rg:None</v>
      </c>
      <c r="P226" s="5" t="str">
        <f>IF(Table2[[#This Row],[!Type]]=P$1, P$1,"rg:None")</f>
        <v>table</v>
      </c>
      <c r="Q226" s="10" t="str">
        <f>IF(LEN(Table2[[#This Row],[!Length]]) &gt; 0, Table2[[#This Row],[!Length]], "rg:None")</f>
        <v>rg:None</v>
      </c>
      <c r="R226" s="10" t="str">
        <f>IF(LEN(Table2[[#This Row],[!Name]]) &gt; 0, Table2[[#This Row],[!Name]], "rg:None")</f>
        <v>Group</v>
      </c>
      <c r="S226" s="10" t="str">
        <f>IF(LEN(Table2[[#This Row],[!Description]]) &gt; 0, Table2[[#This Row],[!Description]], "rg:None")</f>
        <v>rg:None</v>
      </c>
      <c r="T226" s="10" t="str">
        <f>IF(LEN(Table2[[#This Row],[!FK]])&gt;0,Table2[[#This Row],[!FK]],"rg:None")</f>
        <v>rg:None</v>
      </c>
      <c r="U226" s="10" t="str">
        <f>IF(LEN(concatif2(A:A,Table2[[#This Row],[!Table]],G:G,"Y",D:D,",")) &gt; 0,"rg:[ { 'req' : '"&amp;concatif2(A:A,Table2[[#This Row],[!Table]],G:G,"Y",D:D,"' }, { 'req': '")&amp;"'} ]","rg:[]")</f>
        <v>rg:[ { 'req' : 'id' }, { 'req': 'name' }, { 'req': 'description'} ]</v>
      </c>
    </row>
    <row r="227" spans="1:21" x14ac:dyDescent="0.3">
      <c r="A227" s="3" t="s">
        <v>210</v>
      </c>
      <c r="B227" s="3" t="s">
        <v>8</v>
      </c>
      <c r="C227" s="3"/>
      <c r="D227" s="3" t="s">
        <v>8</v>
      </c>
      <c r="E227" s="3" t="s">
        <v>9</v>
      </c>
      <c r="F227" s="3" t="s">
        <v>7</v>
      </c>
      <c r="G227" s="4" t="s">
        <v>211</v>
      </c>
      <c r="H227" s="5" t="str">
        <f t="shared" si="3"/>
        <v>Defs</v>
      </c>
      <c r="I227" t="str">
        <f>IF(Table2[[#This Row],[!Type]]=I$1, I$1,"rg:None")</f>
        <v>rg:None</v>
      </c>
      <c r="J227" t="str">
        <f>IF(Table2[[#This Row],[!Type]]=J$1, J$1,"rg:None")</f>
        <v>rg:None</v>
      </c>
      <c r="K227" t="str">
        <f>IF(Table2[[#This Row],[!Type]]=K$1, K$1,"rg:None")</f>
        <v>id</v>
      </c>
      <c r="L227" s="10" t="str">
        <f>IF(Table2[[#This Row],[!Type]]=L$1, L$1,"rg:None")</f>
        <v>rg:None</v>
      </c>
      <c r="M227" s="5" t="str">
        <f>IF(Table2[[#This Row],[!Type]]=M$1, M$1,"rg:None")</f>
        <v>rg:None</v>
      </c>
      <c r="N227" s="5" t="str">
        <f>IF(Table2[[#This Row],[!Type]]=N$1, N$1,"rg:None")</f>
        <v>rg:None</v>
      </c>
      <c r="O227" s="5" t="str">
        <f>IF(Table2[[#This Row],[!Type]]=O$1, O$1,"rg:None")</f>
        <v>rg:None</v>
      </c>
      <c r="P227" s="5" t="str">
        <f>IF(Table2[[#This Row],[!Type]]=P$1, P$1,"rg:None")</f>
        <v>rg:None</v>
      </c>
      <c r="Q227" s="10" t="str">
        <f>IF(LEN(Table2[[#This Row],[!Length]]) &gt; 0, Table2[[#This Row],[!Length]], "rg:None")</f>
        <v>rg:None</v>
      </c>
      <c r="R227" s="10" t="str">
        <f>IF(LEN(Table2[[#This Row],[!Name]]) &gt; 0, Table2[[#This Row],[!Name]], "rg:None")</f>
        <v>id</v>
      </c>
      <c r="S227" s="10" t="str">
        <f>IF(LEN(Table2[[#This Row],[!Description]]) &gt; 0, Table2[[#This Row],[!Description]], "rg:None")</f>
        <v>Primary Key</v>
      </c>
      <c r="T227" s="10" t="str">
        <f>IF(LEN(Table2[[#This Row],[!FK]])&gt;0,Table2[[#This Row],[!FK]],"rg:None")</f>
        <v>rg:None</v>
      </c>
      <c r="U227" s="10" t="str">
        <f>IF(LEN(concatif2(A:A,Table2[[#This Row],[!Table]],G:G,"Y",D:D,",")) &gt; 0,"rg:[ { 'req' : '"&amp;concatif2(A:A,Table2[[#This Row],[!Table]],G:G,"Y",D:D,"' }, { 'req': '")&amp;"'} ]","rg:[]")</f>
        <v>rg:[ { 'req' : 'id' }, { 'req': 'name' }, { 'req': 'description'} ]</v>
      </c>
    </row>
    <row r="228" spans="1:21" x14ac:dyDescent="0.3">
      <c r="A228" s="3" t="s">
        <v>210</v>
      </c>
      <c r="B228" s="3" t="s">
        <v>10</v>
      </c>
      <c r="C228" s="3"/>
      <c r="D228" s="3" t="s">
        <v>84</v>
      </c>
      <c r="E228" s="3" t="s">
        <v>7</v>
      </c>
      <c r="F228" s="3" t="s">
        <v>7</v>
      </c>
      <c r="G228" s="4" t="s">
        <v>211</v>
      </c>
      <c r="H228" s="5" t="str">
        <f t="shared" si="3"/>
        <v>Defs</v>
      </c>
      <c r="I228" t="str">
        <f>IF(Table2[[#This Row],[!Type]]=I$1, I$1,"rg:None")</f>
        <v>rg:None</v>
      </c>
      <c r="J228" t="str">
        <f>IF(Table2[[#This Row],[!Type]]=J$1, J$1,"rg:None")</f>
        <v>rg:None</v>
      </c>
      <c r="K228" t="str">
        <f>IF(Table2[[#This Row],[!Type]]=K$1, K$1,"rg:None")</f>
        <v>rg:None</v>
      </c>
      <c r="L228" s="10" t="str">
        <f>IF(Table2[[#This Row],[!Type]]=L$1, L$1,"rg:None")</f>
        <v>rg:None</v>
      </c>
      <c r="M228" s="5" t="str">
        <f>IF(Table2[[#This Row],[!Type]]=M$1, M$1,"rg:None")</f>
        <v>rg:None</v>
      </c>
      <c r="N228" s="5" t="str">
        <f>IF(Table2[[#This Row],[!Type]]=N$1, N$1,"rg:None")</f>
        <v>rg:None</v>
      </c>
      <c r="O228" s="5" t="str">
        <f>IF(Table2[[#This Row],[!Type]]=O$1, O$1,"rg:None")</f>
        <v>string</v>
      </c>
      <c r="P228" s="5" t="str">
        <f>IF(Table2[[#This Row],[!Type]]=P$1, P$1,"rg:None")</f>
        <v>rg:None</v>
      </c>
      <c r="Q228" s="10" t="str">
        <f>IF(LEN(Table2[[#This Row],[!Length]]) &gt; 0, Table2[[#This Row],[!Length]], "rg:None")</f>
        <v>rg:None</v>
      </c>
      <c r="R228" s="10" t="str">
        <f>IF(LEN(Table2[[#This Row],[!Name]]) &gt; 0, Table2[[#This Row],[!Name]], "rg:None")</f>
        <v>name</v>
      </c>
      <c r="S228" s="10" t="str">
        <f>IF(LEN(Table2[[#This Row],[!Description]]) &gt; 0, Table2[[#This Row],[!Description]], "rg:None")</f>
        <v>rg:None</v>
      </c>
      <c r="T228" s="10" t="str">
        <f>IF(LEN(Table2[[#This Row],[!FK]])&gt;0,Table2[[#This Row],[!FK]],"rg:None")</f>
        <v>rg:None</v>
      </c>
      <c r="U228" s="10" t="str">
        <f>IF(LEN(concatif2(A:A,Table2[[#This Row],[!Table]],G:G,"Y",D:D,",")) &gt; 0,"rg:[ { 'req' : '"&amp;concatif2(A:A,Table2[[#This Row],[!Table]],G:G,"Y",D:D,"' }, { 'req': '")&amp;"'} ]","rg:[]")</f>
        <v>rg:[ { 'req' : 'id' }, { 'req': 'name' }, { 'req': 'description'} ]</v>
      </c>
    </row>
    <row r="229" spans="1:21" x14ac:dyDescent="0.3">
      <c r="A229" s="3" t="s">
        <v>210</v>
      </c>
      <c r="B229" s="3" t="s">
        <v>10</v>
      </c>
      <c r="C229" s="3"/>
      <c r="D229" s="3" t="s">
        <v>80</v>
      </c>
      <c r="E229" s="3" t="s">
        <v>7</v>
      </c>
      <c r="F229" s="3" t="s">
        <v>7</v>
      </c>
      <c r="G229" s="4" t="s">
        <v>211</v>
      </c>
      <c r="H229" s="5" t="str">
        <f t="shared" si="3"/>
        <v>Defs</v>
      </c>
      <c r="I229" t="str">
        <f>IF(Table2[[#This Row],[!Type]]=I$1, I$1,"rg:None")</f>
        <v>rg:None</v>
      </c>
      <c r="J229" t="str">
        <f>IF(Table2[[#This Row],[!Type]]=J$1, J$1,"rg:None")</f>
        <v>rg:None</v>
      </c>
      <c r="K229" t="str">
        <f>IF(Table2[[#This Row],[!Type]]=K$1, K$1,"rg:None")</f>
        <v>rg:None</v>
      </c>
      <c r="L229" s="10" t="str">
        <f>IF(Table2[[#This Row],[!Type]]=L$1, L$1,"rg:None")</f>
        <v>rg:None</v>
      </c>
      <c r="M229" s="5" t="str">
        <f>IF(Table2[[#This Row],[!Type]]=M$1, M$1,"rg:None")</f>
        <v>rg:None</v>
      </c>
      <c r="N229" s="5" t="str">
        <f>IF(Table2[[#This Row],[!Type]]=N$1, N$1,"rg:None")</f>
        <v>rg:None</v>
      </c>
      <c r="O229" s="5" t="str">
        <f>IF(Table2[[#This Row],[!Type]]=O$1, O$1,"rg:None")</f>
        <v>string</v>
      </c>
      <c r="P229" s="5" t="str">
        <f>IF(Table2[[#This Row],[!Type]]=P$1, P$1,"rg:None")</f>
        <v>rg:None</v>
      </c>
      <c r="Q229" s="10" t="str">
        <f>IF(LEN(Table2[[#This Row],[!Length]]) &gt; 0, Table2[[#This Row],[!Length]], "rg:None")</f>
        <v>rg:None</v>
      </c>
      <c r="R229" s="10" t="str">
        <f>IF(LEN(Table2[[#This Row],[!Name]]) &gt; 0, Table2[[#This Row],[!Name]], "rg:None")</f>
        <v>description</v>
      </c>
      <c r="S229" s="10" t="str">
        <f>IF(LEN(Table2[[#This Row],[!Description]]) &gt; 0, Table2[[#This Row],[!Description]], "rg:None")</f>
        <v>rg:None</v>
      </c>
      <c r="T229" s="10" t="str">
        <f>IF(LEN(Table2[[#This Row],[!FK]])&gt;0,Table2[[#This Row],[!FK]],"rg:None")</f>
        <v>rg:None</v>
      </c>
      <c r="U229" s="10" t="str">
        <f>IF(LEN(concatif2(A:A,Table2[[#This Row],[!Table]],G:G,"Y",D:D,",")) &gt; 0,"rg:[ { 'req' : '"&amp;concatif2(A:A,Table2[[#This Row],[!Table]],G:G,"Y",D:D,"' }, { 'req': '")&amp;"'} ]","rg:[]")</f>
        <v>rg:[ { 'req' : 'id' }, { 'req': 'name' }, { 'req': 'description'}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27"/>
  <sheetViews>
    <sheetView zoomScale="130" zoomScaleNormal="130" workbookViewId="0">
      <pane ySplit="1" topLeftCell="A17" activePane="bottomLeft" state="frozen"/>
      <selection pane="bottomLeft" activeCell="A19" sqref="A19"/>
    </sheetView>
  </sheetViews>
  <sheetFormatPr defaultRowHeight="15.6" x14ac:dyDescent="0.3"/>
  <cols>
    <col min="1" max="1" width="25.19921875" style="5" customWidth="1"/>
    <col min="2" max="2" width="16" style="5" customWidth="1"/>
    <col min="3" max="3" width="25.796875" style="5" bestFit="1" customWidth="1"/>
    <col min="4" max="4" width="33.5" style="6" customWidth="1"/>
    <col min="5" max="5" width="19.3984375" style="6" customWidth="1"/>
    <col min="6" max="6" width="33.5" style="6" customWidth="1"/>
    <col min="7" max="7" width="8.796875" customWidth="1"/>
    <col min="8" max="20" width="8.796875" style="5" customWidth="1"/>
    <col min="21" max="16384" width="8.796875" style="5"/>
  </cols>
  <sheetData>
    <row r="1" spans="1:20" s="1" customFormat="1" ht="14.4" x14ac:dyDescent="0.3">
      <c r="A1" s="1" t="s">
        <v>274</v>
      </c>
      <c r="B1" s="1" t="s">
        <v>275</v>
      </c>
      <c r="C1" s="1" t="s">
        <v>276</v>
      </c>
      <c r="D1" s="1" t="s">
        <v>277</v>
      </c>
      <c r="E1" s="2" t="s">
        <v>278</v>
      </c>
      <c r="F1" s="1" t="s">
        <v>279</v>
      </c>
      <c r="G1" s="11" t="s">
        <v>255</v>
      </c>
      <c r="H1" s="11" t="s">
        <v>265</v>
      </c>
      <c r="I1" s="11" t="s">
        <v>266</v>
      </c>
      <c r="J1" s="11" t="s">
        <v>267</v>
      </c>
      <c r="K1" s="11" t="s">
        <v>268</v>
      </c>
      <c r="L1" s="11" t="s">
        <v>269</v>
      </c>
      <c r="M1" s="11" t="s">
        <v>270</v>
      </c>
      <c r="N1" s="11" t="s">
        <v>271</v>
      </c>
      <c r="O1" s="11" t="s">
        <v>272</v>
      </c>
      <c r="P1" s="11" t="s">
        <v>261</v>
      </c>
      <c r="Q1" s="11" t="s">
        <v>262</v>
      </c>
      <c r="R1" s="11" t="s">
        <v>263</v>
      </c>
      <c r="S1" s="11" t="s">
        <v>264</v>
      </c>
      <c r="T1" s="11" t="s">
        <v>1</v>
      </c>
    </row>
    <row r="2" spans="1:20" x14ac:dyDescent="0.3">
      <c r="A2" s="9" t="s">
        <v>265</v>
      </c>
      <c r="B2" s="9" t="s">
        <v>273</v>
      </c>
      <c r="C2" s="3" t="s">
        <v>129</v>
      </c>
      <c r="D2" s="3"/>
      <c r="E2" s="3"/>
      <c r="F2" s="3"/>
      <c r="G2" s="10" t="str">
        <f>IF(LEN(A2) &gt;0,"Path","-")</f>
        <v>Path</v>
      </c>
      <c r="H2" s="5" t="str">
        <f>IF(LEN(Table23[[#This Row],[!type]])&gt;0,IF(Table23[[#This Row],[!type]]=H$1,"1","rg:None"),"-")</f>
        <v>1</v>
      </c>
      <c r="I2" s="5" t="str">
        <f>IF(LEN(Table23[[#This Row],[!type]])&gt;0,IF(Table23[[#This Row],[!type]]=I$1,"1","rg:None"),"-")</f>
        <v>rg:None</v>
      </c>
      <c r="J2" s="5" t="str">
        <f>IF(LEN(Table23[[#This Row],[!type]])&gt;0,IF(Table23[[#This Row],[!type]]=J$1,"1","rg:None"),"-")</f>
        <v>rg:None</v>
      </c>
      <c r="K2" s="5" t="str">
        <f>IF(LEN(Table23[[#This Row],[!type]])&gt;0,IF(Table23[[#This Row],[!type]]=K$1,"1","rg:None"),"-")</f>
        <v>rg:None</v>
      </c>
      <c r="L2" s="5" t="str">
        <f>IF(LEN(Table23[[#This Row],[!type]])&gt;0,IF(Table23[[#This Row],[!type]]=L$1,"1","rg:None"),"-")</f>
        <v>rg:None</v>
      </c>
      <c r="M2" s="5" t="str">
        <f>IF(LEN(Table23[[#This Row],[!type]])&gt;0,IF(Table23[[#This Row],[!type]]=M$1,"1","rg:None"),"-")</f>
        <v>rg:None</v>
      </c>
      <c r="N2" s="5" t="str">
        <f>IF(LEN(Table23[[#This Row],[!type]])&gt;0,IF(Table23[[#This Row],[!type]]=N$1,"1","rg:None"),"-")</f>
        <v>rg:None</v>
      </c>
      <c r="O2" s="5" t="str">
        <f>IF(LEN(Table23[[#This Row],[!type]])&gt;0,IF(Table23[[#This Row],[!type]]=O$1,"1","rg:None"),"-")</f>
        <v>rg:None</v>
      </c>
      <c r="P2" s="5" t="str">
        <f>IF(LEN(Table23[[#This Row],[!path]]) &gt;0,Table23[[#This Row],[!path]],"rg:None")</f>
        <v>ccwdata</v>
      </c>
      <c r="Q2" s="5" t="str">
        <f>IF(LEN(Table23[[#This Row],[!tag]]) &gt;0,Table23[[#This Row],[!tag]],"rg:None")</f>
        <v>CCWData</v>
      </c>
      <c r="R2" s="5" t="str">
        <f>IF(LEN(Table23[[#This Row],[!paramDef]]) &gt;0,Table23[[#This Row],[!paramDef]],"rg:None")</f>
        <v>rg:None</v>
      </c>
      <c r="S2" s="5" t="str">
        <f>IF(LEN(Table23[[#This Row],[!respDef]]) &gt;0,Table23[[#This Row],[!respDef]],"rg:None")</f>
        <v>rg:None</v>
      </c>
      <c r="T2" s="5" t="str">
        <f>IF(LEN(Table23[[#This Row],[!Description]]) &gt;0,Table23[[#This Row],[!Description]],"rg:None")</f>
        <v>rg:None</v>
      </c>
    </row>
    <row r="3" spans="1:20" x14ac:dyDescent="0.3">
      <c r="A3" s="9" t="s">
        <v>265</v>
      </c>
      <c r="B3" s="12" t="s">
        <v>286</v>
      </c>
      <c r="C3" s="3" t="s">
        <v>132</v>
      </c>
      <c r="D3" s="3"/>
      <c r="E3" s="3"/>
      <c r="F3" s="3"/>
      <c r="G3" s="10" t="str">
        <f>IF(LEN(A3) &gt;0,"Path","-")</f>
        <v>Path</v>
      </c>
      <c r="H3" s="5" t="str">
        <f>IF(LEN(Table23[[#This Row],[!type]])&gt;0,IF(Table23[[#This Row],[!type]]=H$1,"1","rg:None"),"-")</f>
        <v>1</v>
      </c>
      <c r="I3" s="5" t="str">
        <f>IF(LEN(Table23[[#This Row],[!type]])&gt;0,IF(Table23[[#This Row],[!type]]=I$1,"1","rg:None"),"-")</f>
        <v>rg:None</v>
      </c>
      <c r="J3" s="5" t="str">
        <f>IF(LEN(Table23[[#This Row],[!type]])&gt;0,IF(Table23[[#This Row],[!type]]=J$1,"1","rg:None"),"-")</f>
        <v>rg:None</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Row],[!path]]) &gt;0,Table23[[#This Row],[!path]],"rg:None")</f>
        <v>inspections</v>
      </c>
      <c r="Q3" s="5" t="str">
        <f>IF(LEN(Table23[[#This Row],[!tag]]) &gt;0,Table23[[#This Row],[!tag]],"rg:None")</f>
        <v>Inspection</v>
      </c>
      <c r="R3" s="5" t="str">
        <f>IF(LEN(Table23[[#This Row],[!paramDef]]) &gt;0,Table23[[#This Row],[!paramDef]],"rg:None")</f>
        <v>rg:None</v>
      </c>
      <c r="S3" s="5" t="str">
        <f>IF(LEN(Table23[[#This Row],[!respDef]]) &gt;0,Table23[[#This Row],[!respDef]],"rg:None")</f>
        <v>rg:None</v>
      </c>
      <c r="T3" s="5" t="str">
        <f>IF(LEN(Table23[[#This Row],[!Description]]) &gt;0,Table23[[#This Row],[!Description]],"rg:None")</f>
        <v>rg:None</v>
      </c>
    </row>
    <row r="4" spans="1:20" x14ac:dyDescent="0.3">
      <c r="A4" s="9" t="s">
        <v>265</v>
      </c>
      <c r="B4" s="12" t="s">
        <v>287</v>
      </c>
      <c r="C4" s="3" t="s">
        <v>4</v>
      </c>
      <c r="D4" s="3"/>
      <c r="E4" s="3"/>
      <c r="F4" s="3"/>
      <c r="G4" s="10" t="str">
        <f t="shared" ref="G4:G27" si="0">IF(LEN(A4) &gt;0,"Path","-")</f>
        <v>Path</v>
      </c>
      <c r="H4" s="10" t="str">
        <f>IF(LEN(Table23[[#This Row],[!type]])&gt;0,IF(Table23[[#This Row],[!type]]=H$1,"1","rg:None"),"-")</f>
        <v>1</v>
      </c>
      <c r="I4" s="10" t="str">
        <f>IF(LEN(Table23[[#This Row],[!type]])&gt;0,IF(Table23[[#This Row],[!type]]=I$1,"1","rg:None"),"-")</f>
        <v>rg:None</v>
      </c>
      <c r="J4" s="10" t="str">
        <f>IF(LEN(Table23[[#This Row],[!type]])&gt;0,IF(Table23[[#This Row],[!type]]=J$1,"1","rg:None"),"-")</f>
        <v>rg:None</v>
      </c>
      <c r="K4" s="10" t="str">
        <f>IF(LEN(Table23[[#This Row],[!type]])&gt;0,IF(Table23[[#This Row],[!type]]=K$1,"1","rg:None"),"-")</f>
        <v>rg:None</v>
      </c>
      <c r="L4" s="10" t="str">
        <f>IF(LEN(Table23[[#This Row],[!type]])&gt;0,IF(Table23[[#This Row],[!type]]=L$1,"1","rg:None"),"-")</f>
        <v>rg:None</v>
      </c>
      <c r="M4" s="10" t="str">
        <f>IF(LEN(Table23[[#This Row],[!type]])&gt;0,IF(Table23[[#This Row],[!type]]=M$1,"1","rg:None"),"-")</f>
        <v>rg:None</v>
      </c>
      <c r="N4" s="10" t="str">
        <f>IF(LEN(Table23[[#This Row],[!type]])&gt;0,IF(Table23[[#This Row],[!type]]=N$1,"1","rg:None"),"-")</f>
        <v>rg:None</v>
      </c>
      <c r="O4" s="10" t="str">
        <f>IF(LEN(Table23[[#This Row],[!type]])&gt;0,IF(Table23[[#This Row],[!type]]=O$1,"1","rg:None"),"-")</f>
        <v>rg:None</v>
      </c>
      <c r="P4" s="10" t="str">
        <f>IF(LEN(Table23[[#This Row],[!path]]) &gt;0,Table23[[#This Row],[!path]],"rg:None")</f>
        <v>schoolbuses</v>
      </c>
      <c r="Q4" s="10" t="str">
        <f>IF(LEN(Table23[[#This Row],[!tag]]) &gt;0,Table23[[#This Row],[!tag]],"rg:None")</f>
        <v>SchoolBus</v>
      </c>
      <c r="R4" s="10" t="str">
        <f>IF(LEN(Table23[[#This Row],[!paramDef]]) &gt;0,Table23[[#This Row],[!paramDef]],"rg:None")</f>
        <v>rg:None</v>
      </c>
      <c r="S4" s="10" t="str">
        <f>IF(LEN(Table23[[#This Row],[!respDef]]) &gt;0,Table23[[#This Row],[!respDef]],"rg:None")</f>
        <v>rg:None</v>
      </c>
      <c r="T4" s="10" t="str">
        <f>IF(LEN(Table23[[#This Row],[!Description]]) &gt;0,Table23[[#This Row],[!Description]],"rg:None")</f>
        <v>rg:None</v>
      </c>
    </row>
    <row r="5" spans="1:20" x14ac:dyDescent="0.3">
      <c r="A5" s="9" t="s">
        <v>265</v>
      </c>
      <c r="B5" s="12" t="s">
        <v>288</v>
      </c>
      <c r="C5" s="3" t="s">
        <v>67</v>
      </c>
      <c r="D5" s="3"/>
      <c r="E5" s="3"/>
      <c r="F5" s="3"/>
      <c r="G5" s="10" t="str">
        <f t="shared" si="0"/>
        <v>Path</v>
      </c>
      <c r="H5" s="5" t="str">
        <f>IF(LEN(Table23[[#This Row],[!type]])&gt;0,IF(Table23[[#This Row],[!type]]=H$1,"1","rg:None"),"-")</f>
        <v>1</v>
      </c>
      <c r="I5" s="5" t="str">
        <f>IF(LEN(Table23[[#This Row],[!type]])&gt;0,IF(Table23[[#This Row],[!type]]=I$1,"1","rg:None"),"-")</f>
        <v>rg:None</v>
      </c>
      <c r="J5" s="5" t="str">
        <f>IF(LEN(Table23[[#This Row],[!type]])&gt;0,IF(Table23[[#This Row],[!type]]=J$1,"1","rg:None"),"-")</f>
        <v>rg:None</v>
      </c>
      <c r="K5" s="5" t="str">
        <f>IF(LEN(Table23[[#This Row],[!type]])&gt;0,IF(Table23[[#This Row],[!type]]=K$1,"1","rg:None"),"-")</f>
        <v>rg:None</v>
      </c>
      <c r="L5" s="5" t="str">
        <f>IF(LEN(Table23[[#This Row],[!type]])&gt;0,IF(Table23[[#This Row],[!type]]=L$1,"1","rg:None"),"-")</f>
        <v>rg:None</v>
      </c>
      <c r="M5" s="5" t="str">
        <f>IF(LEN(Table23[[#This Row],[!type]])&gt;0,IF(Table23[[#This Row],[!type]]=M$1,"1","rg:None"),"-")</f>
        <v>rg:None</v>
      </c>
      <c r="N5" s="5" t="str">
        <f>IF(LEN(Table23[[#This Row],[!type]])&gt;0,IF(Table23[[#This Row],[!type]]=N$1,"1","rg:None"),"-")</f>
        <v>rg:None</v>
      </c>
      <c r="O5" s="5" t="str">
        <f>IF(LEN(Table23[[#This Row],[!type]])&gt;0,IF(Table23[[#This Row],[!type]]=O$1,"1","rg:None"),"-")</f>
        <v>rg:None</v>
      </c>
      <c r="P5" s="5" t="str">
        <f>IF(LEN(Table23[[#This Row],[!path]]) &gt;0,Table23[[#This Row],[!path]],"rg:None")</f>
        <v>schoolbusnotes</v>
      </c>
      <c r="Q5" s="5" t="str">
        <f>IF(LEN(Table23[[#This Row],[!tag]]) &gt;0,Table23[[#This Row],[!tag]],"rg:None")</f>
        <v>SchoolBusNote</v>
      </c>
      <c r="R5" s="5" t="str">
        <f>IF(LEN(Table23[[#This Row],[!paramDef]]) &gt;0,Table23[[#This Row],[!paramDef]],"rg:None")</f>
        <v>rg:None</v>
      </c>
      <c r="S5" s="5" t="str">
        <f>IF(LEN(Table23[[#This Row],[!respDef]]) &gt;0,Table23[[#This Row],[!respDef]],"rg:None")</f>
        <v>rg:None</v>
      </c>
      <c r="T5" s="5" t="str">
        <f>IF(LEN(Table23[[#This Row],[!Description]]) &gt;0,Table23[[#This Row],[!Description]],"rg:None")</f>
        <v>rg:None</v>
      </c>
    </row>
    <row r="6" spans="1:20" x14ac:dyDescent="0.3">
      <c r="A6" s="9" t="s">
        <v>265</v>
      </c>
      <c r="B6" s="12" t="s">
        <v>289</v>
      </c>
      <c r="C6" s="3" t="s">
        <v>74</v>
      </c>
      <c r="D6" s="3"/>
      <c r="E6" s="3"/>
      <c r="F6" s="3"/>
      <c r="G6" s="10" t="str">
        <f t="shared" si="0"/>
        <v>Path</v>
      </c>
      <c r="H6" s="5" t="str">
        <f>IF(LEN(Table23[[#This Row],[!type]])&gt;0,IF(Table23[[#This Row],[!type]]=H$1,"1","rg:None"),"-")</f>
        <v>1</v>
      </c>
      <c r="I6" s="5" t="str">
        <f>IF(LEN(Table23[[#This Row],[!type]])&gt;0,IF(Table23[[#This Row],[!type]]=I$1,"1","rg:None"),"-")</f>
        <v>rg:None</v>
      </c>
      <c r="J6" s="5" t="str">
        <f>IF(LEN(Table23[[#This Row],[!type]])&gt;0,IF(Table23[[#This Row],[!type]]=J$1,"1","rg:None"),"-")</f>
        <v>rg:None</v>
      </c>
      <c r="K6" s="5" t="str">
        <f>IF(LEN(Table23[[#This Row],[!type]])&gt;0,IF(Table23[[#This Row],[!type]]=K$1,"1","rg:None"),"-")</f>
        <v>rg:None</v>
      </c>
      <c r="L6" s="5" t="str">
        <f>IF(LEN(Table23[[#This Row],[!type]])&gt;0,IF(Table23[[#This Row],[!type]]=L$1,"1","rg:None"),"-")</f>
        <v>rg:None</v>
      </c>
      <c r="M6" s="5" t="str">
        <f>IF(LEN(Table23[[#This Row],[!type]])&gt;0,IF(Table23[[#This Row],[!type]]=M$1,"1","rg:None"),"-")</f>
        <v>rg:None</v>
      </c>
      <c r="N6" s="5" t="str">
        <f>IF(LEN(Table23[[#This Row],[!type]])&gt;0,IF(Table23[[#This Row],[!type]]=N$1,"1","rg:None"),"-")</f>
        <v>rg:None</v>
      </c>
      <c r="O6" s="5" t="str">
        <f>IF(LEN(Table23[[#This Row],[!type]])&gt;0,IF(Table23[[#This Row],[!type]]=O$1,"1","rg:None"),"-")</f>
        <v>rg:None</v>
      </c>
      <c r="P6" s="5" t="str">
        <f>IF(LEN(Table23[[#This Row],[!path]]) &gt;0,Table23[[#This Row],[!path]],"rg:None")</f>
        <v>schoolbusattachments</v>
      </c>
      <c r="Q6" s="5" t="str">
        <f>IF(LEN(Table23[[#This Row],[!tag]]) &gt;0,Table23[[#This Row],[!tag]],"rg:None")</f>
        <v>SchoolBusAttachment</v>
      </c>
      <c r="R6" s="5" t="str">
        <f>IF(LEN(Table23[[#This Row],[!paramDef]]) &gt;0,Table23[[#This Row],[!paramDef]],"rg:None")</f>
        <v>rg:None</v>
      </c>
      <c r="S6" s="5" t="str">
        <f>IF(LEN(Table23[[#This Row],[!respDef]]) &gt;0,Table23[[#This Row],[!respDef]],"rg:None")</f>
        <v>rg:None</v>
      </c>
      <c r="T6" s="5" t="str">
        <f>IF(LEN(Table23[[#This Row],[!Description]]) &gt;0,Table23[[#This Row],[!Description]],"rg:None")</f>
        <v>rg:None</v>
      </c>
    </row>
    <row r="7" spans="1:20" x14ac:dyDescent="0.3">
      <c r="A7" s="9" t="s">
        <v>265</v>
      </c>
      <c r="B7" s="12" t="s">
        <v>290</v>
      </c>
      <c r="C7" s="3" t="s">
        <v>82</v>
      </c>
      <c r="D7" s="3"/>
      <c r="E7" s="3"/>
      <c r="F7" s="3"/>
      <c r="G7" s="10" t="str">
        <f t="shared" si="0"/>
        <v>Path</v>
      </c>
      <c r="H7" s="5" t="str">
        <f>IF(LEN(Table23[[#This Row],[!type]])&gt;0,IF(Table23[[#This Row],[!type]]=H$1,"1","rg:None"),"-")</f>
        <v>1</v>
      </c>
      <c r="I7" s="5" t="str">
        <f>IF(LEN(Table23[[#This Row],[!type]])&gt;0,IF(Table23[[#This Row],[!type]]=I$1,"1","rg:None"),"-")</f>
        <v>rg:None</v>
      </c>
      <c r="J7" s="5" t="str">
        <f>IF(LEN(Table23[[#This Row],[!type]])&gt;0,IF(Table23[[#This Row],[!type]]=J$1,"1","rg:None"),"-")</f>
        <v>rg:None</v>
      </c>
      <c r="K7" s="5" t="str">
        <f>IF(LEN(Table23[[#This Row],[!type]])&gt;0,IF(Table23[[#This Row],[!type]]=K$1,"1","rg:None"),"-")</f>
        <v>rg:None</v>
      </c>
      <c r="L7" s="5" t="str">
        <f>IF(LEN(Table23[[#This Row],[!type]])&gt;0,IF(Table23[[#This Row],[!type]]=L$1,"1","rg:None"),"-")</f>
        <v>rg:None</v>
      </c>
      <c r="M7" s="5" t="str">
        <f>IF(LEN(Table23[[#This Row],[!type]])&gt;0,IF(Table23[[#This Row],[!type]]=M$1,"1","rg:None"),"-")</f>
        <v>rg:None</v>
      </c>
      <c r="N7" s="5" t="str">
        <f>IF(LEN(Table23[[#This Row],[!type]])&gt;0,IF(Table23[[#This Row],[!type]]=N$1,"1","rg:None"),"-")</f>
        <v>rg:None</v>
      </c>
      <c r="O7" s="5" t="str">
        <f>IF(LEN(Table23[[#This Row],[!type]])&gt;0,IF(Table23[[#This Row],[!type]]=O$1,"1","rg:None"),"-")</f>
        <v>rg:None</v>
      </c>
      <c r="P7" s="5" t="str">
        <f>IF(LEN(Table23[[#This Row],[!path]]) &gt;0,Table23[[#This Row],[!path]],"rg:None")</f>
        <v>schoolbushistories</v>
      </c>
      <c r="Q7" s="5" t="str">
        <f>IF(LEN(Table23[[#This Row],[!tag]]) &gt;0,Table23[[#This Row],[!tag]],"rg:None")</f>
        <v>SchoolBusHistory</v>
      </c>
      <c r="R7" s="5" t="str">
        <f>IF(LEN(Table23[[#This Row],[!paramDef]]) &gt;0,Table23[[#This Row],[!paramDef]],"rg:None")</f>
        <v>rg:None</v>
      </c>
      <c r="S7" s="5" t="str">
        <f>IF(LEN(Table23[[#This Row],[!respDef]]) &gt;0,Table23[[#This Row],[!respDef]],"rg:None")</f>
        <v>rg:None</v>
      </c>
      <c r="T7" s="5" t="str">
        <f>IF(LEN(Table23[[#This Row],[!Description]]) &gt;0,Table23[[#This Row],[!Description]],"rg:None")</f>
        <v>rg:None</v>
      </c>
    </row>
    <row r="8" spans="1:20" x14ac:dyDescent="0.3">
      <c r="A8" s="9" t="s">
        <v>265</v>
      </c>
      <c r="B8" s="12" t="s">
        <v>292</v>
      </c>
      <c r="C8" s="3" t="s">
        <v>177</v>
      </c>
      <c r="D8" s="3"/>
      <c r="E8" s="3"/>
      <c r="F8" s="3"/>
      <c r="G8" s="10" t="str">
        <f>IF(LEN(A8) &gt;0,"Path","-")</f>
        <v>Path</v>
      </c>
      <c r="H8" s="5" t="str">
        <f>IF(LEN(Table23[[#This Row],[!type]])&gt;0,IF(Table23[[#This Row],[!type]]=H$1,"1","rg:None"),"-")</f>
        <v>1</v>
      </c>
      <c r="I8" s="5" t="str">
        <f>IF(LEN(Table23[[#This Row],[!type]])&gt;0,IF(Table23[[#This Row],[!type]]=I$1,"1","rg:None"),"-")</f>
        <v>rg:None</v>
      </c>
      <c r="J8" s="5" t="str">
        <f>IF(LEN(Table23[[#This Row],[!type]])&gt;0,IF(Table23[[#This Row],[!type]]=J$1,"1","rg:None"),"-")</f>
        <v>rg:None</v>
      </c>
      <c r="K8" s="5" t="str">
        <f>IF(LEN(Table23[[#This Row],[!type]])&gt;0,IF(Table23[[#This Row],[!type]]=K$1,"1","rg:None"),"-")</f>
        <v>rg:None</v>
      </c>
      <c r="L8" s="5" t="str">
        <f>IF(LEN(Table23[[#This Row],[!type]])&gt;0,IF(Table23[[#This Row],[!type]]=L$1,"1","rg:None"),"-")</f>
        <v>rg:None</v>
      </c>
      <c r="M8" s="5" t="str">
        <f>IF(LEN(Table23[[#This Row],[!type]])&gt;0,IF(Table23[[#This Row],[!type]]=M$1,"1","rg:None"),"-")</f>
        <v>rg:None</v>
      </c>
      <c r="N8" s="5" t="str">
        <f>IF(LEN(Table23[[#This Row],[!type]])&gt;0,IF(Table23[[#This Row],[!type]]=N$1,"1","rg:None"),"-")</f>
        <v>rg:None</v>
      </c>
      <c r="O8" s="5" t="str">
        <f>IF(LEN(Table23[[#This Row],[!type]])&gt;0,IF(Table23[[#This Row],[!type]]=O$1,"1","rg:None"),"-")</f>
        <v>rg:None</v>
      </c>
      <c r="P8" s="5" t="str">
        <f>IF(LEN(Table23[[#This Row],[!path]]) &gt;0,Table23[[#This Row],[!path]],"rg:None")</f>
        <v>notifications</v>
      </c>
      <c r="Q8" s="5" t="str">
        <f>IF(LEN(Table23[[#This Row],[!tag]]) &gt;0,Table23[[#This Row],[!tag]],"rg:None")</f>
        <v>Notification</v>
      </c>
      <c r="R8" s="5" t="str">
        <f>IF(LEN(Table23[[#This Row],[!paramDef]]) &gt;0,Table23[[#This Row],[!paramDef]],"rg:None")</f>
        <v>rg:None</v>
      </c>
      <c r="S8" s="5" t="str">
        <f>IF(LEN(Table23[[#This Row],[!respDef]]) &gt;0,Table23[[#This Row],[!respDef]],"rg:None")</f>
        <v>rg:None</v>
      </c>
      <c r="T8" s="5" t="str">
        <f>IF(LEN(Table23[[#This Row],[!Description]]) &gt;0,Table23[[#This Row],[!Description]],"rg:None")</f>
        <v>rg:None</v>
      </c>
    </row>
    <row r="9" spans="1:20" x14ac:dyDescent="0.3">
      <c r="A9" s="9" t="s">
        <v>265</v>
      </c>
      <c r="B9" s="12" t="s">
        <v>291</v>
      </c>
      <c r="C9" s="3" t="s">
        <v>179</v>
      </c>
      <c r="D9" s="3"/>
      <c r="E9" s="3"/>
      <c r="F9" s="3"/>
      <c r="G9" s="10" t="str">
        <f>IF(LEN(A9) &gt;0,"Path","-")</f>
        <v>Path</v>
      </c>
      <c r="H9" s="5" t="str">
        <f>IF(LEN(Table23[[#This Row],[!type]])&gt;0,IF(Table23[[#This Row],[!type]]=H$1,"1","rg:None"),"-")</f>
        <v>1</v>
      </c>
      <c r="I9" s="5" t="str">
        <f>IF(LEN(Table23[[#This Row],[!type]])&gt;0,IF(Table23[[#This Row],[!type]]=I$1,"1","rg:None"),"-")</f>
        <v>rg:None</v>
      </c>
      <c r="J9" s="5" t="str">
        <f>IF(LEN(Table23[[#This Row],[!type]])&gt;0,IF(Table23[[#This Row],[!type]]=J$1,"1","rg:None"),"-")</f>
        <v>rg:None</v>
      </c>
      <c r="K9" s="5" t="str">
        <f>IF(LEN(Table23[[#This Row],[!type]])&gt;0,IF(Table23[[#This Row],[!type]]=K$1,"1","rg:None"),"-")</f>
        <v>rg:None</v>
      </c>
      <c r="L9" s="5" t="str">
        <f>IF(LEN(Table23[[#This Row],[!type]])&gt;0,IF(Table23[[#This Row],[!type]]=L$1,"1","rg:None"),"-")</f>
        <v>rg:None</v>
      </c>
      <c r="M9" s="5" t="str">
        <f>IF(LEN(Table23[[#This Row],[!type]])&gt;0,IF(Table23[[#This Row],[!type]]=M$1,"1","rg:None"),"-")</f>
        <v>rg:None</v>
      </c>
      <c r="N9" s="5" t="str">
        <f>IF(LEN(Table23[[#This Row],[!type]])&gt;0,IF(Table23[[#This Row],[!type]]=N$1,"1","rg:None"),"-")</f>
        <v>rg:None</v>
      </c>
      <c r="O9" s="5" t="str">
        <f>IF(LEN(Table23[[#This Row],[!type]])&gt;0,IF(Table23[[#This Row],[!type]]=O$1,"1","rg:None"),"-")</f>
        <v>rg:None</v>
      </c>
      <c r="P9" s="5" t="str">
        <f>IF(LEN(Table23[[#This Row],[!path]]) &gt;0,Table23[[#This Row],[!path]],"rg:None")</f>
        <v>notificationevents</v>
      </c>
      <c r="Q9" s="5" t="str">
        <f>IF(LEN(Table23[[#This Row],[!tag]]) &gt;0,Table23[[#This Row],[!tag]],"rg:None")</f>
        <v>NotificationEvent</v>
      </c>
      <c r="R9" s="5" t="str">
        <f>IF(LEN(Table23[[#This Row],[!paramDef]]) &gt;0,Table23[[#This Row],[!paramDef]],"rg:None")</f>
        <v>rg:None</v>
      </c>
      <c r="S9" s="5" t="str">
        <f>IF(LEN(Table23[[#This Row],[!respDef]]) &gt;0,Table23[[#This Row],[!respDef]],"rg:None")</f>
        <v>rg:None</v>
      </c>
      <c r="T9" s="5" t="str">
        <f>IF(LEN(Table23[[#This Row],[!Description]]) &gt;0,Table23[[#This Row],[!Description]],"rg:None")</f>
        <v>rg:None</v>
      </c>
    </row>
    <row r="10" spans="1:20" x14ac:dyDescent="0.3">
      <c r="A10" s="9" t="s">
        <v>265</v>
      </c>
      <c r="B10" s="12" t="s">
        <v>293</v>
      </c>
      <c r="C10" s="3" t="s">
        <v>19</v>
      </c>
      <c r="D10" s="3"/>
      <c r="E10" s="3"/>
      <c r="F10" s="3"/>
      <c r="G10" s="10" t="str">
        <f t="shared" si="0"/>
        <v>Path</v>
      </c>
      <c r="H10" s="5" t="str">
        <f>IF(LEN(Table23[[#This Row],[!type]])&gt;0,IF(Table23[[#This Row],[!type]]=H$1,"1","rg:None"),"-")</f>
        <v>1</v>
      </c>
      <c r="I10" s="5" t="str">
        <f>IF(LEN(Table23[[#This Row],[!type]])&gt;0,IF(Table23[[#This Row],[!type]]=I$1,"1","rg:None"),"-")</f>
        <v>rg:None</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Row],[!path]]) &gt;0,Table23[[#This Row],[!path]],"rg:None")</f>
        <v>schoolbusowners</v>
      </c>
      <c r="Q10" s="5" t="str">
        <f>IF(LEN(Table23[[#This Row],[!tag]]) &gt;0,Table23[[#This Row],[!tag]],"rg:None")</f>
        <v>SchoolBusOwner</v>
      </c>
      <c r="R10" s="5" t="str">
        <f>IF(LEN(Table23[[#This Row],[!paramDef]]) &gt;0,Table23[[#This Row],[!paramDef]],"rg:None")</f>
        <v>rg:None</v>
      </c>
      <c r="S10" s="5" t="str">
        <f>IF(LEN(Table23[[#This Row],[!respDef]]) &gt;0,Table23[[#This Row],[!respDef]],"rg:None")</f>
        <v>rg:None</v>
      </c>
      <c r="T10" s="5" t="str">
        <f>IF(LEN(Table23[[#This Row],[!Description]]) &gt;0,Table23[[#This Row],[!Description]],"rg:None")</f>
        <v>rg:None</v>
      </c>
    </row>
    <row r="11" spans="1:20" x14ac:dyDescent="0.3">
      <c r="A11" s="9" t="s">
        <v>265</v>
      </c>
      <c r="B11" s="3" t="s">
        <v>294</v>
      </c>
      <c r="C11" s="3" t="s">
        <v>98</v>
      </c>
      <c r="D11" s="3"/>
      <c r="E11" s="3"/>
      <c r="F11" s="3"/>
      <c r="G11" s="10" t="str">
        <f>IF(LEN(A11) &gt;0,"Path","-")</f>
        <v>Path</v>
      </c>
      <c r="H11" s="5" t="str">
        <f>IF(LEN(Table23[[#This Row],[!type]])&gt;0,IF(Table23[[#This Row],[!type]]=H$1,"1","rg:None"),"-")</f>
        <v>1</v>
      </c>
      <c r="I11" s="5" t="str">
        <f>IF(LEN(Table23[[#This Row],[!type]])&gt;0,IF(Table23[[#This Row],[!type]]=I$1,"1","rg:None"),"-")</f>
        <v>rg:None</v>
      </c>
      <c r="J11" s="5" t="str">
        <f>IF(LEN(Table23[[#This Row],[!type]])&gt;0,IF(Table23[[#This Row],[!type]]=J$1,"1","rg:None"),"-")</f>
        <v>rg:None</v>
      </c>
      <c r="K11" s="5" t="str">
        <f>IF(LEN(Table23[[#This Row],[!type]])&gt;0,IF(Table23[[#This Row],[!type]]=K$1,"1","rg:None"),"-")</f>
        <v>rg:None</v>
      </c>
      <c r="L11" s="5" t="str">
        <f>IF(LEN(Table23[[#This Row],[!type]])&gt;0,IF(Table23[[#This Row],[!type]]=L$1,"1","rg:None"),"-")</f>
        <v>rg:None</v>
      </c>
      <c r="M11" s="5" t="str">
        <f>IF(LEN(Table23[[#This Row],[!type]])&gt;0,IF(Table23[[#This Row],[!type]]=M$1,"1","rg:None"),"-")</f>
        <v>rg:None</v>
      </c>
      <c r="N11" s="5" t="str">
        <f>IF(LEN(Table23[[#This Row],[!type]])&gt;0,IF(Table23[[#This Row],[!type]]=N$1,"1","rg:None"),"-")</f>
        <v>rg:None</v>
      </c>
      <c r="O11" s="5" t="str">
        <f>IF(LEN(Table23[[#This Row],[!type]])&gt;0,IF(Table23[[#This Row],[!type]]=O$1,"1","rg:None"),"-")</f>
        <v>rg:None</v>
      </c>
      <c r="P11" s="5" t="str">
        <f>IF(LEN(Table23[[#This Row],[!path]]) &gt;0,Table23[[#This Row],[!path]],"rg:None")</f>
        <v>schoolbusownernotes</v>
      </c>
      <c r="Q11" s="5" t="str">
        <f>IF(LEN(Table23[[#This Row],[!tag]]) &gt;0,Table23[[#This Row],[!tag]],"rg:None")</f>
        <v>SchoolBusOwnerNote</v>
      </c>
      <c r="R11" s="5" t="str">
        <f>IF(LEN(Table23[[#This Row],[!paramDef]]) &gt;0,Table23[[#This Row],[!paramDef]],"rg:None")</f>
        <v>rg:None</v>
      </c>
      <c r="S11" s="5" t="str">
        <f>IF(LEN(Table23[[#This Row],[!respDef]]) &gt;0,Table23[[#This Row],[!respDef]],"rg:None")</f>
        <v>rg:None</v>
      </c>
      <c r="T11" s="5" t="str">
        <f>IF(LEN(Table23[[#This Row],[!Description]]) &gt;0,Table23[[#This Row],[!Description]],"rg:None")</f>
        <v>rg:None</v>
      </c>
    </row>
    <row r="12" spans="1:20" x14ac:dyDescent="0.3">
      <c r="A12" s="9" t="s">
        <v>265</v>
      </c>
      <c r="B12" s="3" t="s">
        <v>295</v>
      </c>
      <c r="C12" s="3" t="s">
        <v>97</v>
      </c>
      <c r="D12" s="3"/>
      <c r="E12" s="3"/>
      <c r="F12" s="3"/>
      <c r="G12" s="10" t="str">
        <f t="shared" si="0"/>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schoolbusownerattachments</v>
      </c>
      <c r="Q12" s="5" t="str">
        <f>IF(LEN(Table23[[#This Row],[!tag]]) &gt;0,Table23[[#This Row],[!tag]],"rg:None")</f>
        <v>SchoolBusOwnerAttachment</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3">
      <c r="A13" s="9" t="s">
        <v>265</v>
      </c>
      <c r="B13" s="3" t="s">
        <v>296</v>
      </c>
      <c r="C13" s="3" t="s">
        <v>91</v>
      </c>
      <c r="D13" s="3"/>
      <c r="E13" s="3"/>
      <c r="F13" s="3"/>
      <c r="G13" s="10" t="str">
        <f t="shared" si="0"/>
        <v>Path</v>
      </c>
      <c r="H13" s="5" t="str">
        <f>IF(LEN(Table23[[#This Row],[!type]])&gt;0,IF(Table23[[#This Row],[!type]]=H$1,"1","rg:None"),"-")</f>
        <v>1</v>
      </c>
      <c r="I13" s="5" t="str">
        <f>IF(LEN(Table23[[#This Row],[!type]])&gt;0,IF(Table23[[#This Row],[!type]]=I$1,"1","rg:None"),"-")</f>
        <v>rg:None</v>
      </c>
      <c r="J13" s="5" t="str">
        <f>IF(LEN(Table23[[#This Row],[!type]])&gt;0,IF(Table23[[#This Row],[!type]]=J$1,"1","rg:None"),"-")</f>
        <v>rg:None</v>
      </c>
      <c r="K13" s="5" t="str">
        <f>IF(LEN(Table23[[#This Row],[!type]])&gt;0,IF(Table23[[#This Row],[!type]]=K$1,"1","rg:None"),"-")</f>
        <v>rg:None</v>
      </c>
      <c r="L13" s="5" t="str">
        <f>IF(LEN(Table23[[#This Row],[!type]])&gt;0,IF(Table23[[#This Row],[!type]]=L$1,"1","rg:None"),"-")</f>
        <v>rg:None</v>
      </c>
      <c r="M13" s="5" t="str">
        <f>IF(LEN(Table23[[#This Row],[!type]])&gt;0,IF(Table23[[#This Row],[!type]]=M$1,"1","rg:None"),"-")</f>
        <v>rg:None</v>
      </c>
      <c r="N13" s="5" t="str">
        <f>IF(LEN(Table23[[#This Row],[!type]])&gt;0,IF(Table23[[#This Row],[!type]]=N$1,"1","rg:None"),"-")</f>
        <v>rg:None</v>
      </c>
      <c r="O13" s="5" t="str">
        <f>IF(LEN(Table23[[#This Row],[!type]])&gt;0,IF(Table23[[#This Row],[!type]]=O$1,"1","rg:None"),"-")</f>
        <v>rg:None</v>
      </c>
      <c r="P13" s="5" t="str">
        <f>IF(LEN(Table23[[#This Row],[!path]]) &gt;0,Table23[[#This Row],[!path]],"rg:None")</f>
        <v>schoolbusownercontacts</v>
      </c>
      <c r="Q13" s="5" t="str">
        <f>IF(LEN(Table23[[#This Row],[!tag]]) &gt;0,Table23[[#This Row],[!tag]],"rg:None")</f>
        <v>SchoolBusOwnerContact</v>
      </c>
      <c r="R13" s="5" t="str">
        <f>IF(LEN(Table23[[#This Row],[!paramDef]]) &gt;0,Table23[[#This Row],[!paramDef]],"rg:None")</f>
        <v>rg:None</v>
      </c>
      <c r="S13" s="5" t="str">
        <f>IF(LEN(Table23[[#This Row],[!respDef]]) &gt;0,Table23[[#This Row],[!respDef]],"rg:None")</f>
        <v>rg:None</v>
      </c>
      <c r="T13" s="5" t="str">
        <f>IF(LEN(Table23[[#This Row],[!Description]]) &gt;0,Table23[[#This Row],[!Description]],"rg:None")</f>
        <v>rg:None</v>
      </c>
    </row>
    <row r="14" spans="1:20" x14ac:dyDescent="0.3">
      <c r="A14" s="9" t="s">
        <v>265</v>
      </c>
      <c r="B14" s="12" t="s">
        <v>297</v>
      </c>
      <c r="C14" s="3" t="s">
        <v>127</v>
      </c>
      <c r="D14" s="3"/>
      <c r="E14" s="3"/>
      <c r="F14" s="3"/>
      <c r="G14" s="10" t="str">
        <f>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schoolbusownerhistory</v>
      </c>
      <c r="Q14" s="5" t="str">
        <f>IF(LEN(Table23[[#This Row],[!tag]]) &gt;0,Table23[[#This Row],[!tag]],"rg:None")</f>
        <v>SchoolBusOwnerHistory</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
      <c r="A15" s="9" t="s">
        <v>265</v>
      </c>
      <c r="B15" s="12" t="s">
        <v>298</v>
      </c>
      <c r="C15" s="3" t="s">
        <v>210</v>
      </c>
      <c r="D15" s="3"/>
      <c r="E15" s="3"/>
      <c r="F15" s="3"/>
      <c r="G15" s="10" t="str">
        <f t="shared" ref="G15:G22" si="1">IF(LEN(A15) &gt;0,"Path","-")</f>
        <v>Path</v>
      </c>
      <c r="H15" s="5" t="str">
        <f>IF(LEN(Table23[[#This Row],[!type]])&gt;0,IF(Table23[[#This Row],[!type]]=H$1,"1","rg:None"),"-")</f>
        <v>1</v>
      </c>
      <c r="I15" s="5" t="str">
        <f>IF(LEN(Table23[[#This Row],[!type]])&gt;0,IF(Table23[[#This Row],[!type]]=I$1,"1","rg:None"),"-")</f>
        <v>rg:None</v>
      </c>
      <c r="J15" s="5" t="str">
        <f>IF(LEN(Table23[[#This Row],[!type]])&gt;0,IF(Table23[[#This Row],[!type]]=J$1,"1","rg:None"),"-")</f>
        <v>rg:None</v>
      </c>
      <c r="K15" s="5" t="str">
        <f>IF(LEN(Table23[[#This Row],[!type]])&gt;0,IF(Table23[[#This Row],[!type]]=K$1,"1","rg:None"),"-")</f>
        <v>rg:None</v>
      </c>
      <c r="L15" s="5" t="str">
        <f>IF(LEN(Table23[[#This Row],[!type]])&gt;0,IF(Table23[[#This Row],[!type]]=L$1,"1","rg:None"),"-")</f>
        <v>rg:None</v>
      </c>
      <c r="M15" s="5" t="str">
        <f>IF(LEN(Table23[[#This Row],[!type]])&gt;0,IF(Table23[[#This Row],[!type]]=M$1,"1","rg:None"),"-")</f>
        <v>rg:None</v>
      </c>
      <c r="N15" s="5" t="str">
        <f>IF(LEN(Table23[[#This Row],[!type]])&gt;0,IF(Table23[[#This Row],[!type]]=N$1,"1","rg:None"),"-")</f>
        <v>rg:None</v>
      </c>
      <c r="O15" s="5" t="str">
        <f>IF(LEN(Table23[[#This Row],[!type]])&gt;0,IF(Table23[[#This Row],[!type]]=O$1,"1","rg:None"),"-")</f>
        <v>rg:None</v>
      </c>
      <c r="P15" s="5" t="str">
        <f>IF(LEN(Table23[[#This Row],[!path]]) &gt;0,Table23[[#This Row],[!path]],"rg:None")</f>
        <v>groups</v>
      </c>
      <c r="Q15" s="5" t="str">
        <f>IF(LEN(Table23[[#This Row],[!tag]]) &gt;0,Table23[[#This Row],[!tag]],"rg:None")</f>
        <v>Group</v>
      </c>
      <c r="R15" s="5" t="str">
        <f>IF(LEN(Table23[[#This Row],[!paramDef]]) &gt;0,Table23[[#This Row],[!paramDef]],"rg:None")</f>
        <v>rg:None</v>
      </c>
      <c r="S15" s="5" t="str">
        <f>IF(LEN(Table23[[#This Row],[!respDef]]) &gt;0,Table23[[#This Row],[!respDef]],"rg:None")</f>
        <v>rg:None</v>
      </c>
      <c r="T15" s="5" t="str">
        <f>IF(LEN(Table23[[#This Row],[!Description]]) &gt;0,Table23[[#This Row],[!Description]],"rg:None")</f>
        <v>rg:None</v>
      </c>
    </row>
    <row r="16" spans="1:20" x14ac:dyDescent="0.3">
      <c r="A16" s="9" t="s">
        <v>265</v>
      </c>
      <c r="B16" s="12" t="s">
        <v>299</v>
      </c>
      <c r="C16" s="3" t="s">
        <v>206</v>
      </c>
      <c r="D16" s="17" t="s">
        <v>310</v>
      </c>
      <c r="E16" s="3"/>
      <c r="F16" s="3"/>
      <c r="G16" s="10" t="str">
        <f t="shared" si="1"/>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permissions</v>
      </c>
      <c r="Q16" s="5" t="str">
        <f>IF(LEN(Table23[[#This Row],[!tag]]) &gt;0,Table23[[#This Row],[!tag]],"rg:None")</f>
        <v>Permission</v>
      </c>
      <c r="R16" s="5" t="str">
        <f>IF(LEN(Table23[[#This Row],[!paramDef]]) &gt;0,Table23[[#This Row],[!paramDef]],"rg:None")</f>
        <v>PermissionViewModel</v>
      </c>
      <c r="S16" s="5" t="str">
        <f>IF(LEN(Table23[[#This Row],[!respDef]]) &gt;0,Table23[[#This Row],[!respDef]],"rg:None")</f>
        <v>rg:None</v>
      </c>
      <c r="T16" s="5" t="str">
        <f>IF(LEN(Table23[[#This Row],[!Description]]) &gt;0,Table23[[#This Row],[!Description]],"rg:None")</f>
        <v>rg:None</v>
      </c>
    </row>
    <row r="17" spans="1:20" x14ac:dyDescent="0.3">
      <c r="A17" s="20" t="s">
        <v>267</v>
      </c>
      <c r="B17" s="20" t="s">
        <v>299</v>
      </c>
      <c r="C17" s="22" t="s">
        <v>206</v>
      </c>
      <c r="D17" s="23" t="s">
        <v>206</v>
      </c>
      <c r="E17" s="14"/>
      <c r="F17" s="15"/>
      <c r="G17" s="16"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permissions</v>
      </c>
      <c r="Q17" s="4" t="str">
        <f>IF(LEN(Table23[[#This Row],[!tag]]) &gt;0,Table23[[#This Row],[!tag]],"rg:None")</f>
        <v>Permission</v>
      </c>
      <c r="R17" s="4" t="str">
        <f>IF(LEN(Table23[[#This Row],[!paramDef]]) &gt;0,Table23[[#This Row],[!paramDef]],"rg:None")</f>
        <v>Permission</v>
      </c>
      <c r="S17" s="4" t="str">
        <f>IF(LEN(Table23[[#This Row],[!respDef]]) &gt;0,Table23[[#This Row],[!respDef]],"rg:None")</f>
        <v>rg:None</v>
      </c>
      <c r="T17" s="4" t="str">
        <f>IF(LEN(Table23[[#This Row],[!Description]]) &gt;0,Table23[[#This Row],[!Description]],"rg:None")</f>
        <v>rg:None</v>
      </c>
    </row>
    <row r="18" spans="1:20" x14ac:dyDescent="0.3">
      <c r="A18" s="9" t="s">
        <v>265</v>
      </c>
      <c r="B18" s="12" t="s">
        <v>300</v>
      </c>
      <c r="C18" s="3" t="s">
        <v>202</v>
      </c>
      <c r="D18" s="17" t="s">
        <v>311</v>
      </c>
      <c r="E18" s="3"/>
      <c r="F18" s="3"/>
      <c r="G18" s="10" t="str">
        <f t="shared" si="1"/>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roles</v>
      </c>
      <c r="Q18" s="5" t="str">
        <f>IF(LEN(Table23[[#This Row],[!tag]]) &gt;0,Table23[[#This Row],[!tag]],"rg:None")</f>
        <v>Role</v>
      </c>
      <c r="R18" s="5" t="str">
        <f>IF(LEN(Table23[[#This Row],[!paramDef]]) &gt;0,Table23[[#This Row],[!paramDef]],"rg:None")</f>
        <v>RoleViewModel</v>
      </c>
      <c r="S18" s="5" t="str">
        <f>IF(LEN(Table23[[#This Row],[!respDef]]) &gt;0,Table23[[#This Row],[!respDef]],"rg:None")</f>
        <v>rg:None</v>
      </c>
      <c r="T18" s="5" t="str">
        <f>IF(LEN(Table23[[#This Row],[!Description]]) &gt;0,Table23[[#This Row],[!Description]],"rg:None")</f>
        <v>rg:None</v>
      </c>
    </row>
    <row r="19" spans="1:20" x14ac:dyDescent="0.3">
      <c r="A19" s="20" t="s">
        <v>267</v>
      </c>
      <c r="B19" s="20" t="s">
        <v>300</v>
      </c>
      <c r="C19" s="22" t="s">
        <v>202</v>
      </c>
      <c r="D19" s="23" t="s">
        <v>202</v>
      </c>
      <c r="E19" s="14"/>
      <c r="F19" s="15"/>
      <c r="G19" s="16"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roles</v>
      </c>
      <c r="Q19" s="4" t="str">
        <f>IF(LEN(Table23[[#This Row],[!tag]]) &gt;0,Table23[[#This Row],[!tag]],"rg:None")</f>
        <v>Role</v>
      </c>
      <c r="R19" s="4" t="str">
        <f>IF(LEN(Table23[[#This Row],[!paramDef]]) &gt;0,Table23[[#This Row],[!paramDef]],"rg:None")</f>
        <v>Role</v>
      </c>
      <c r="S19" s="4" t="str">
        <f>IF(LEN(Table23[[#This Row],[!respDef]]) &gt;0,Table23[[#This Row],[!respDef]],"rg:None")</f>
        <v>rg:None</v>
      </c>
      <c r="T19" s="4" t="str">
        <f>IF(LEN(Table23[[#This Row],[!Description]]) &gt;0,Table23[[#This Row],[!Description]],"rg:None")</f>
        <v>rg:None</v>
      </c>
    </row>
    <row r="20" spans="1:20" x14ac:dyDescent="0.3">
      <c r="A20" s="12" t="s">
        <v>267</v>
      </c>
      <c r="B20" s="12" t="s">
        <v>307</v>
      </c>
      <c r="C20" s="17" t="s">
        <v>202</v>
      </c>
      <c r="D20" s="17" t="s">
        <v>204</v>
      </c>
      <c r="E20" s="3"/>
      <c r="F20" s="3"/>
      <c r="G20" s="10" t="str">
        <f t="shared" si="1"/>
        <v>Path</v>
      </c>
      <c r="H20" s="5" t="str">
        <f>IF(LEN(Table23[[#This Row],[!type]])&gt;0,IF(Table23[[#This Row],[!type]]=H$1,"1","rg:None"),"-")</f>
        <v>rg:None</v>
      </c>
      <c r="I20" s="5" t="str">
        <f>IF(LEN(Table23[[#This Row],[!type]])&gt;0,IF(Table23[[#This Row],[!type]]=I$1,"1","rg:None"),"-")</f>
        <v>rg:None</v>
      </c>
      <c r="J20" s="5" t="str">
        <f>IF(LEN(Table23[[#This Row],[!type]])&gt;0,IF(Table23[[#This Row],[!type]]=J$1,"1","rg:None"),"-")</f>
        <v>1</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rolepermissions</v>
      </c>
      <c r="Q20" s="5" t="str">
        <f>IF(LEN(Table23[[#This Row],[!tag]]) &gt;0,Table23[[#This Row],[!tag]],"rg:None")</f>
        <v>Role</v>
      </c>
      <c r="R20" s="5" t="str">
        <f>IF(LEN(Table23[[#This Row],[!paramDef]]) &gt;0,Table23[[#This Row],[!paramDef]],"rg:None")</f>
        <v>RolePermission</v>
      </c>
      <c r="S20" s="5" t="str">
        <f>IF(LEN(Table23[[#This Row],[!respDef]]) &gt;0,Table23[[#This Row],[!respDef]],"rg:None")</f>
        <v>rg:None</v>
      </c>
      <c r="T20" s="5" t="str">
        <f>IF(LEN(Table23[[#This Row],[!Description]]) &gt;0,Table23[[#This Row],[!Description]],"rg:None")</f>
        <v>rg:None</v>
      </c>
    </row>
    <row r="21" spans="1:20" x14ac:dyDescent="0.3">
      <c r="A21" s="13" t="s">
        <v>267</v>
      </c>
      <c r="B21" s="13" t="s">
        <v>308</v>
      </c>
      <c r="C21" s="18" t="s">
        <v>0</v>
      </c>
      <c r="D21" s="17" t="s">
        <v>208</v>
      </c>
      <c r="E21" s="14"/>
      <c r="F21" s="15"/>
      <c r="G21" s="16" t="str">
        <f t="shared" si="1"/>
        <v>Path</v>
      </c>
      <c r="H21" s="4" t="str">
        <f>IF(LEN(Table23[[#This Row],[!type]])&gt;0,IF(Table23[[#This Row],[!type]]=H$1,"1","rg:None"),"-")</f>
        <v>rg:None</v>
      </c>
      <c r="I21" s="4" t="str">
        <f>IF(LEN(Table23[[#This Row],[!type]])&gt;0,IF(Table23[[#This Row],[!type]]=I$1,"1","rg:None"),"-")</f>
        <v>rg:None</v>
      </c>
      <c r="J21" s="4" t="str">
        <f>IF(LEN(Table23[[#This Row],[!type]])&gt;0,IF(Table23[[#This Row],[!type]]=J$1,"1","rg:None"),"-")</f>
        <v>1</v>
      </c>
      <c r="K21" s="4" t="str">
        <f>IF(LEN(Table23[[#This Row],[!type]])&gt;0,IF(Table23[[#This Row],[!type]]=K$1,"1","rg:None"),"-")</f>
        <v>rg:None</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Row],[!path]]) &gt;0,Table23[[#This Row],[!path]],"rg:None")</f>
        <v>usergroups</v>
      </c>
      <c r="Q21" s="4" t="str">
        <f>IF(LEN(Table23[[#This Row],[!tag]]) &gt;0,Table23[[#This Row],[!tag]],"rg:None")</f>
        <v>User</v>
      </c>
      <c r="R21" s="4" t="str">
        <f>IF(LEN(Table23[[#This Row],[!paramDef]]) &gt;0,Table23[[#This Row],[!paramDef]],"rg:None")</f>
        <v>GroupMembership</v>
      </c>
      <c r="S21" s="4" t="str">
        <f>IF(LEN(Table23[[#This Row],[!respDef]]) &gt;0,Table23[[#This Row],[!respDef]],"rg:None")</f>
        <v>rg:None</v>
      </c>
      <c r="T21" s="4" t="str">
        <f>IF(LEN(Table23[[#This Row],[!Description]]) &gt;0,Table23[[#This Row],[!Description]],"rg:None")</f>
        <v>rg:None</v>
      </c>
    </row>
    <row r="22" spans="1:20" x14ac:dyDescent="0.3">
      <c r="A22" s="12" t="s">
        <v>267</v>
      </c>
      <c r="B22" s="12" t="s">
        <v>301</v>
      </c>
      <c r="C22" s="17" t="s">
        <v>0</v>
      </c>
      <c r="D22" s="17" t="s">
        <v>199</v>
      </c>
      <c r="E22" s="3"/>
      <c r="F22" s="3"/>
      <c r="G22" s="10" t="str">
        <f t="shared" si="1"/>
        <v>Path</v>
      </c>
      <c r="H22" s="5" t="str">
        <f>IF(LEN(Table23[[#This Row],[!type]])&gt;0,IF(Table23[[#This Row],[!type]]=H$1,"1","rg:None"),"-")</f>
        <v>rg:None</v>
      </c>
      <c r="I22" s="5" t="str">
        <f>IF(LEN(Table23[[#This Row],[!type]])&gt;0,IF(Table23[[#This Row],[!type]]=I$1,"1","rg:None"),"-")</f>
        <v>rg:None</v>
      </c>
      <c r="J22" s="5" t="str">
        <f>IF(LEN(Table23[[#This Row],[!type]])&gt;0,IF(Table23[[#This Row],[!type]]=J$1,"1","rg:None"),"-")</f>
        <v>1</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userroles</v>
      </c>
      <c r="Q22" s="5" t="str">
        <f>IF(LEN(Table23[[#This Row],[!tag]]) &gt;0,Table23[[#This Row],[!tag]],"rg:None")</f>
        <v>User</v>
      </c>
      <c r="R22" s="5" t="str">
        <f>IF(LEN(Table23[[#This Row],[!paramDef]]) &gt;0,Table23[[#This Row],[!paramDef]],"rg:None")</f>
        <v>UserRole</v>
      </c>
      <c r="S22" s="5" t="str">
        <f>IF(LEN(Table23[[#This Row],[!respDef]]) &gt;0,Table23[[#This Row],[!respDef]],"rg:None")</f>
        <v>rg:None</v>
      </c>
      <c r="T22" s="5" t="str">
        <f>IF(LEN(Table23[[#This Row],[!Description]]) &gt;0,Table23[[#This Row],[!Description]],"rg:None")</f>
        <v>rg:None</v>
      </c>
    </row>
    <row r="23" spans="1:20" x14ac:dyDescent="0.3">
      <c r="A23" s="9" t="s">
        <v>265</v>
      </c>
      <c r="B23" s="12" t="s">
        <v>302</v>
      </c>
      <c r="C23" s="3" t="s">
        <v>150</v>
      </c>
      <c r="D23" s="3"/>
      <c r="E23" s="3"/>
      <c r="F23" s="3"/>
      <c r="G23" s="10" t="str">
        <f t="shared" si="0"/>
        <v>Path</v>
      </c>
      <c r="H23" s="5" t="str">
        <f>IF(LEN(Table23[[#This Row],[!type]])&gt;0,IF(Table23[[#This Row],[!type]]=H$1,"1","rg:None"),"-")</f>
        <v>1</v>
      </c>
      <c r="I23" s="5" t="str">
        <f>IF(LEN(Table23[[#This Row],[!type]])&gt;0,IF(Table23[[#This Row],[!type]]=I$1,"1","rg:None"),"-")</f>
        <v>rg:None</v>
      </c>
      <c r="J23" s="5" t="str">
        <f>IF(LEN(Table23[[#This Row],[!type]])&gt;0,IF(Table23[[#This Row],[!type]]=J$1,"1","rg:None"),"-")</f>
        <v>rg:None</v>
      </c>
      <c r="K23" s="5" t="str">
        <f>IF(LEN(Table23[[#This Row],[!type]])&gt;0,IF(Table23[[#This Row],[!type]]=K$1,"1","rg:None"),"-")</f>
        <v>rg:None</v>
      </c>
      <c r="L23" s="5" t="str">
        <f>IF(LEN(Table23[[#This Row],[!type]])&gt;0,IF(Table23[[#This Row],[!type]]=L$1,"1","rg:None"),"-")</f>
        <v>rg:None</v>
      </c>
      <c r="M23" s="5" t="str">
        <f>IF(LEN(Table23[[#This Row],[!type]])&gt;0,IF(Table23[[#This Row],[!type]]=M$1,"1","rg:None"),"-")</f>
        <v>rg:None</v>
      </c>
      <c r="N23" s="5" t="str">
        <f>IF(LEN(Table23[[#This Row],[!type]])&gt;0,IF(Table23[[#This Row],[!type]]=N$1,"1","rg:None"),"-")</f>
        <v>rg:None</v>
      </c>
      <c r="O23" s="5" t="str">
        <f>IF(LEN(Table23[[#This Row],[!type]])&gt;0,IF(Table23[[#This Row],[!type]]=O$1,"1","rg:None"),"-")</f>
        <v>rg:None</v>
      </c>
      <c r="P23" s="5" t="str">
        <f>IF(LEN(Table23[[#This Row],[!path]]) &gt;0,Table23[[#This Row],[!path]],"rg:None")</f>
        <v>regions</v>
      </c>
      <c r="Q23" s="5" t="str">
        <f>IF(LEN(Table23[[#This Row],[!tag]]) &gt;0,Table23[[#This Row],[!tag]],"rg:None")</f>
        <v>Region</v>
      </c>
      <c r="R23" s="5" t="str">
        <f>IF(LEN(Table23[[#This Row],[!paramDef]]) &gt;0,Table23[[#This Row],[!paramDef]],"rg:None")</f>
        <v>rg:None</v>
      </c>
      <c r="S23" s="5" t="str">
        <f>IF(LEN(Table23[[#This Row],[!respDef]]) &gt;0,Table23[[#This Row],[!respDef]],"rg:None")</f>
        <v>rg:None</v>
      </c>
      <c r="T23" s="5" t="str">
        <f>IF(LEN(Table23[[#This Row],[!Description]]) &gt;0,Table23[[#This Row],[!Description]],"rg:None")</f>
        <v>rg:None</v>
      </c>
    </row>
    <row r="24" spans="1:20" x14ac:dyDescent="0.3">
      <c r="A24" s="9" t="s">
        <v>265</v>
      </c>
      <c r="B24" s="12" t="s">
        <v>303</v>
      </c>
      <c r="C24" s="3" t="s">
        <v>158</v>
      </c>
      <c r="D24" s="3"/>
      <c r="E24" s="3"/>
      <c r="F24" s="3"/>
      <c r="G24" s="10" t="str">
        <f t="shared" si="0"/>
        <v>Path</v>
      </c>
      <c r="H24" s="5" t="str">
        <f>IF(LEN(Table23[[#This Row],[!type]])&gt;0,IF(Table23[[#This Row],[!type]]=H$1,"1","rg:None"),"-")</f>
        <v>1</v>
      </c>
      <c r="I24" s="5" t="str">
        <f>IF(LEN(Table23[[#This Row],[!type]])&gt;0,IF(Table23[[#This Row],[!type]]=I$1,"1","rg:None"),"-")</f>
        <v>rg:None</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districts</v>
      </c>
      <c r="Q24" s="5" t="str">
        <f>IF(LEN(Table23[[#This Row],[!tag]]) &gt;0,Table23[[#This Row],[!tag]],"rg:None")</f>
        <v>District</v>
      </c>
      <c r="R24" s="5" t="str">
        <f>IF(LEN(Table23[[#This Row],[!paramDef]]) &gt;0,Table23[[#This Row],[!paramDef]],"rg:None")</f>
        <v>rg:None</v>
      </c>
      <c r="S24" s="5" t="str">
        <f>IF(LEN(Table23[[#This Row],[!respDef]]) &gt;0,Table23[[#This Row],[!respDef]],"rg:None")</f>
        <v>rg:None</v>
      </c>
      <c r="T24" s="5" t="str">
        <f>IF(LEN(Table23[[#This Row],[!Description]]) &gt;0,Table23[[#This Row],[!Description]],"rg:None")</f>
        <v>rg:None</v>
      </c>
    </row>
    <row r="25" spans="1:20" x14ac:dyDescent="0.3">
      <c r="A25" s="9" t="s">
        <v>265</v>
      </c>
      <c r="B25" s="12" t="s">
        <v>304</v>
      </c>
      <c r="C25" s="3" t="s">
        <v>27</v>
      </c>
      <c r="D25" s="3"/>
      <c r="E25" s="3"/>
      <c r="F25" s="3"/>
      <c r="G25" s="10" t="str">
        <f t="shared" si="0"/>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serviceareas</v>
      </c>
      <c r="Q25" s="5" t="str">
        <f>IF(LEN(Table23[[#This Row],[!tag]]) &gt;0,Table23[[#This Row],[!tag]],"rg:None")</f>
        <v>ServiceArea</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
      <c r="A26" s="9" t="s">
        <v>265</v>
      </c>
      <c r="B26" s="12" t="s">
        <v>305</v>
      </c>
      <c r="C26" s="3" t="s">
        <v>34</v>
      </c>
      <c r="D26" s="3"/>
      <c r="E26" s="3"/>
      <c r="F26" s="3"/>
      <c r="G26" s="10" t="str">
        <f>IF(LEN(A26) &gt;0,"Path","-")</f>
        <v>Path</v>
      </c>
      <c r="H26" s="5" t="str">
        <f>IF(LEN(Table23[[#This Row],[!type]])&gt;0,IF(Table23[[#This Row],[!type]]=H$1,"1","rg:None"),"-")</f>
        <v>1</v>
      </c>
      <c r="I26" s="5" t="str">
        <f>IF(LEN(Table23[[#This Row],[!type]])&gt;0,IF(Table23[[#This Row],[!type]]=I$1,"1","rg:None"),"-")</f>
        <v>rg:None</v>
      </c>
      <c r="J26" s="5" t="str">
        <f>IF(LEN(Table23[[#This Row],[!type]])&gt;0,IF(Table23[[#This Row],[!type]]=J$1,"1","rg:None"),"-")</f>
        <v>rg:None</v>
      </c>
      <c r="K26" s="5" t="str">
        <f>IF(LEN(Table23[[#This Row],[!type]])&gt;0,IF(Table23[[#This Row],[!type]]=K$1,"1","rg:None"),"-")</f>
        <v>rg:None</v>
      </c>
      <c r="L26" s="5" t="str">
        <f>IF(LEN(Table23[[#This Row],[!type]])&gt;0,IF(Table23[[#This Row],[!type]]=L$1,"1","rg:None"),"-")</f>
        <v>rg:None</v>
      </c>
      <c r="M26" s="5" t="str">
        <f>IF(LEN(Table23[[#This Row],[!type]])&gt;0,IF(Table23[[#This Row],[!type]]=M$1,"1","rg:None"),"-")</f>
        <v>rg:None</v>
      </c>
      <c r="N26" s="5" t="str">
        <f>IF(LEN(Table23[[#This Row],[!type]])&gt;0,IF(Table23[[#This Row],[!type]]=N$1,"1","rg:None"),"-")</f>
        <v>rg:None</v>
      </c>
      <c r="O26" s="5" t="str">
        <f>IF(LEN(Table23[[#This Row],[!type]])&gt;0,IF(Table23[[#This Row],[!type]]=O$1,"1","rg:None"),"-")</f>
        <v>rg:None</v>
      </c>
      <c r="P26" s="5" t="str">
        <f>IF(LEN(Table23[[#This Row],[!path]]) &gt;0,Table23[[#This Row],[!path]],"rg:None")</f>
        <v>cities</v>
      </c>
      <c r="Q26" s="5" t="str">
        <f>IF(LEN(Table23[[#This Row],[!tag]]) &gt;0,Table23[[#This Row],[!tag]],"rg:None")</f>
        <v>City</v>
      </c>
      <c r="R26" s="5" t="str">
        <f>IF(LEN(Table23[[#This Row],[!paramDef]]) &gt;0,Table23[[#This Row],[!paramDef]],"rg:None")</f>
        <v>rg:None</v>
      </c>
      <c r="S26" s="5" t="str">
        <f>IF(LEN(Table23[[#This Row],[!respDef]]) &gt;0,Table23[[#This Row],[!respDef]],"rg:None")</f>
        <v>rg:None</v>
      </c>
      <c r="T26" s="5" t="str">
        <f>IF(LEN(Table23[[#This Row],[!Description]]) &gt;0,Table23[[#This Row],[!Description]],"rg:None")</f>
        <v>rg:None</v>
      </c>
    </row>
    <row r="27" spans="1:20" x14ac:dyDescent="0.3">
      <c r="A27" s="9" t="s">
        <v>265</v>
      </c>
      <c r="B27" s="12" t="s">
        <v>306</v>
      </c>
      <c r="C27" s="3" t="s">
        <v>50</v>
      </c>
      <c r="D27" s="3"/>
      <c r="E27" s="3"/>
      <c r="F27" s="3"/>
      <c r="G27" s="10" t="str">
        <f t="shared" si="0"/>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schooldistricts</v>
      </c>
      <c r="Q27" s="5" t="str">
        <f>IF(LEN(Table23[[#This Row],[!tag]]) &gt;0,Table23[[#This Row],[!tag]],"rg:None")</f>
        <v>SchoolDistrict</v>
      </c>
      <c r="R27" s="5" t="str">
        <f>IF(LEN(Table23[[#This Row],[!paramDef]]) &gt;0,Table23[[#This Row],[!paramDef]],"rg:None")</f>
        <v>rg:None</v>
      </c>
      <c r="S27" s="5" t="str">
        <f>IF(LEN(Table23[[#This Row],[!respDef]]) &gt;0,Table23[[#This Row],[!respDef]],"rg:None")</f>
        <v>rg:None</v>
      </c>
      <c r="T27" s="5"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5.6" x14ac:dyDescent="0.3"/>
  <cols>
    <col min="2" max="2" width="23" bestFit="1" customWidth="1"/>
  </cols>
  <sheetData>
    <row r="1" spans="1:2" x14ac:dyDescent="0.3">
      <c r="A1" t="s">
        <v>255</v>
      </c>
      <c r="B1" t="s">
        <v>258</v>
      </c>
    </row>
    <row r="2" spans="1:2" x14ac:dyDescent="0.3">
      <c r="A2" t="s">
        <v>260</v>
      </c>
      <c r="B2" t="s">
        <v>259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s="7" t="s">
        <v>255</v>
      </c>
      <c r="B1" s="7" t="s">
        <v>258</v>
      </c>
    </row>
    <row r="2" spans="1:2" x14ac:dyDescent="0.3">
      <c r="A2" t="s">
        <v>260</v>
      </c>
      <c r="B2" t="s">
        <v>312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2017-01-20T18:55:23Z</dcterms:modified>
</cp:coreProperties>
</file>