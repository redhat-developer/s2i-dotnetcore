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5" rupBuild="17571" codeName="{C999D3B4-68BB-379E-E534-F0D661931E69}"/>
  <workbookPr showInkAnnotation="0" codeName="ThisWorkbook" autoCompressPictures="0"/>
  <mc:AlternateContent xmlns:mc="http://schemas.openxmlformats.org/markup-compatibility/2006">
    <mc:Choice Requires="x15">
      <x15ac:absPath xmlns:x15ac="http://schemas.microsoft.com/office/spreadsheetml/2010/11/ac" url="C:\Users\swcur\moti\schoolbus\ApiSpec\in\"/>
    </mc:Choice>
  </mc:AlternateContent>
  <bookViews>
    <workbookView xWindow="240" yWindow="240" windowWidth="11136" windowHeight="6792" tabRatio="684"/>
  </bookViews>
  <sheets>
    <sheet name="defs.csv" sheetId="27" r:id="rId1"/>
    <sheet name="paths.csv" sheetId="30" r:id="rId2"/>
    <sheet name="model.csv" sheetId="29" r:id="rId3"/>
    <sheet name="api.csv" sheetId="31" r:id="rId4"/>
  </sheets>
  <functionGroups builtInGroupCount="18"/>
  <definedNames>
    <definedName name="_xlnm._FilterDatabase" localSheetId="1" hidden="1">paths.csv!$A$1:$F$42</definedName>
  </definedNames>
  <calcPr calcId="171027"/>
</workbook>
</file>

<file path=xl/calcChain.xml><?xml version="1.0" encoding="utf-8"?>
<calcChain xmlns="http://schemas.openxmlformats.org/spreadsheetml/2006/main">
  <c r="I115" i="27" l="1"/>
  <c r="J115" i="27"/>
  <c r="K115" i="27"/>
  <c r="L115" i="27"/>
  <c r="M115" i="27"/>
  <c r="N115" i="27"/>
  <c r="O115" i="27"/>
  <c r="P115" i="27"/>
  <c r="Q115" i="27"/>
  <c r="R115" i="27"/>
  <c r="S115" i="27"/>
  <c r="T115" i="27"/>
  <c r="U115" i="27"/>
  <c r="V115" i="27"/>
  <c r="W115" i="27"/>
  <c r="Y115" i="27"/>
  <c r="I118" i="27"/>
  <c r="J118" i="27"/>
  <c r="K118" i="27"/>
  <c r="L118" i="27"/>
  <c r="M118" i="27"/>
  <c r="N118" i="27"/>
  <c r="O118" i="27"/>
  <c r="P118" i="27"/>
  <c r="Q118" i="27"/>
  <c r="R118" i="27"/>
  <c r="S118" i="27"/>
  <c r="T118" i="27"/>
  <c r="U118" i="27"/>
  <c r="V118" i="27"/>
  <c r="W118" i="27"/>
  <c r="Y118" i="27"/>
  <c r="X115" i="27"/>
  <c r="X118" i="27"/>
  <c r="I107" i="27" l="1"/>
  <c r="J107" i="27"/>
  <c r="K107" i="27"/>
  <c r="L107" i="27"/>
  <c r="M107" i="27"/>
  <c r="N107" i="27"/>
  <c r="O107" i="27"/>
  <c r="P107" i="27"/>
  <c r="Q107" i="27"/>
  <c r="R107" i="27"/>
  <c r="S107" i="27"/>
  <c r="T107" i="27"/>
  <c r="U107" i="27"/>
  <c r="V107" i="27"/>
  <c r="W107" i="27"/>
  <c r="Y107" i="27"/>
  <c r="X107" i="27"/>
  <c r="I9" i="27" l="1"/>
  <c r="J9" i="27"/>
  <c r="K9" i="27"/>
  <c r="L9" i="27"/>
  <c r="M9" i="27"/>
  <c r="N9" i="27"/>
  <c r="O9" i="27"/>
  <c r="P9" i="27"/>
  <c r="Q9" i="27"/>
  <c r="R9" i="27"/>
  <c r="S9" i="27"/>
  <c r="T9" i="27"/>
  <c r="U9" i="27"/>
  <c r="V9" i="27"/>
  <c r="W9" i="27"/>
  <c r="Y9" i="27"/>
  <c r="X9" i="27"/>
  <c r="I35" i="27" l="1"/>
  <c r="J35" i="27"/>
  <c r="K35" i="27"/>
  <c r="L35" i="27"/>
  <c r="M35" i="27"/>
  <c r="N35" i="27"/>
  <c r="O35" i="27"/>
  <c r="P35" i="27"/>
  <c r="Q35" i="27"/>
  <c r="R35" i="27"/>
  <c r="S35" i="27"/>
  <c r="T35" i="27"/>
  <c r="U35" i="27"/>
  <c r="V35" i="27"/>
  <c r="W35" i="27"/>
  <c r="Y35" i="27"/>
  <c r="X35" i="27"/>
  <c r="R35" i="30" l="1"/>
  <c r="G35" i="30"/>
  <c r="G36" i="30"/>
  <c r="H35" i="30"/>
  <c r="H36" i="30"/>
  <c r="I35" i="30"/>
  <c r="I36" i="30"/>
  <c r="J35" i="30"/>
  <c r="J36" i="30"/>
  <c r="K35" i="30"/>
  <c r="K36" i="30"/>
  <c r="L35" i="30"/>
  <c r="L36" i="30"/>
  <c r="M35" i="30"/>
  <c r="M36" i="30"/>
  <c r="N35" i="30"/>
  <c r="N36" i="30"/>
  <c r="O35" i="30"/>
  <c r="O36" i="30"/>
  <c r="P35" i="30"/>
  <c r="P36" i="30"/>
  <c r="Q35" i="30"/>
  <c r="Q36" i="30"/>
  <c r="R36" i="30"/>
  <c r="S35" i="30"/>
  <c r="S36" i="30"/>
  <c r="T35" i="30"/>
  <c r="T36" i="30"/>
  <c r="I12" i="27"/>
  <c r="J12" i="27"/>
  <c r="K12" i="27"/>
  <c r="L12" i="27"/>
  <c r="M12" i="27"/>
  <c r="N12" i="27"/>
  <c r="O12" i="27"/>
  <c r="P12" i="27"/>
  <c r="Q12" i="27"/>
  <c r="R12" i="27"/>
  <c r="S12" i="27"/>
  <c r="T12" i="27"/>
  <c r="U12" i="27"/>
  <c r="V12" i="27"/>
  <c r="W12" i="27"/>
  <c r="Y12" i="27"/>
  <c r="I168" i="27"/>
  <c r="I169" i="27"/>
  <c r="J168" i="27"/>
  <c r="J169" i="27"/>
  <c r="K168" i="27"/>
  <c r="K169" i="27"/>
  <c r="L168" i="27"/>
  <c r="L169" i="27"/>
  <c r="M168" i="27"/>
  <c r="M169" i="27"/>
  <c r="N168" i="27"/>
  <c r="N169" i="27"/>
  <c r="O168" i="27"/>
  <c r="O169" i="27"/>
  <c r="P168" i="27"/>
  <c r="P169" i="27"/>
  <c r="Q168" i="27"/>
  <c r="Q169" i="27"/>
  <c r="R168" i="27"/>
  <c r="R169" i="27"/>
  <c r="S168" i="27"/>
  <c r="S169" i="27"/>
  <c r="T168" i="27"/>
  <c r="T169" i="27"/>
  <c r="U168" i="27"/>
  <c r="U169" i="27"/>
  <c r="V168" i="27"/>
  <c r="V169" i="27"/>
  <c r="W168" i="27"/>
  <c r="W169" i="27"/>
  <c r="Y168" i="27"/>
  <c r="Y169" i="27"/>
  <c r="I162" i="27"/>
  <c r="I163" i="27"/>
  <c r="I164" i="27"/>
  <c r="I165" i="27"/>
  <c r="I166" i="27"/>
  <c r="I167" i="27"/>
  <c r="J162" i="27"/>
  <c r="J163" i="27"/>
  <c r="J164" i="27"/>
  <c r="J165" i="27"/>
  <c r="J166" i="27"/>
  <c r="J167" i="27"/>
  <c r="K162" i="27"/>
  <c r="K163" i="27"/>
  <c r="K164" i="27"/>
  <c r="K165" i="27"/>
  <c r="K166" i="27"/>
  <c r="K167" i="27"/>
  <c r="L162" i="27"/>
  <c r="L163" i="27"/>
  <c r="L164" i="27"/>
  <c r="L165" i="27"/>
  <c r="L166" i="27"/>
  <c r="L167" i="27"/>
  <c r="M162" i="27"/>
  <c r="M163" i="27"/>
  <c r="M164" i="27"/>
  <c r="M165" i="27"/>
  <c r="M166" i="27"/>
  <c r="M167" i="27"/>
  <c r="N162" i="27"/>
  <c r="N163" i="27"/>
  <c r="N164" i="27"/>
  <c r="N165" i="27"/>
  <c r="N166" i="27"/>
  <c r="N167" i="27"/>
  <c r="O162" i="27"/>
  <c r="O163" i="27"/>
  <c r="O164" i="27"/>
  <c r="O165" i="27"/>
  <c r="O166" i="27"/>
  <c r="O167" i="27"/>
  <c r="P162" i="27"/>
  <c r="P163" i="27"/>
  <c r="P164" i="27"/>
  <c r="P165" i="27"/>
  <c r="P166" i="27"/>
  <c r="P167" i="27"/>
  <c r="Q162" i="27"/>
  <c r="Q163" i="27"/>
  <c r="Q164" i="27"/>
  <c r="Q165" i="27"/>
  <c r="Q166" i="27"/>
  <c r="Q167" i="27"/>
  <c r="R162" i="27"/>
  <c r="R163" i="27"/>
  <c r="R164" i="27"/>
  <c r="R165" i="27"/>
  <c r="R166" i="27"/>
  <c r="R167" i="27"/>
  <c r="S162" i="27"/>
  <c r="S163" i="27"/>
  <c r="S164" i="27"/>
  <c r="S165" i="27"/>
  <c r="S166" i="27"/>
  <c r="S167" i="27"/>
  <c r="T162" i="27"/>
  <c r="T163" i="27"/>
  <c r="T164" i="27"/>
  <c r="T165" i="27"/>
  <c r="T166" i="27"/>
  <c r="T167" i="27"/>
  <c r="U162" i="27"/>
  <c r="U163" i="27"/>
  <c r="U164" i="27"/>
  <c r="U165" i="27"/>
  <c r="U166" i="27"/>
  <c r="U167" i="27"/>
  <c r="V162" i="27"/>
  <c r="V163" i="27"/>
  <c r="V164" i="27"/>
  <c r="V165" i="27"/>
  <c r="V166" i="27"/>
  <c r="V167" i="27"/>
  <c r="W162" i="27"/>
  <c r="W163" i="27"/>
  <c r="W164" i="27"/>
  <c r="W165" i="27"/>
  <c r="W166" i="27"/>
  <c r="W167" i="27"/>
  <c r="Y162" i="27"/>
  <c r="Y163" i="27"/>
  <c r="Y164" i="27"/>
  <c r="Y165" i="27"/>
  <c r="Y166" i="27"/>
  <c r="Y167" i="27"/>
  <c r="X12" i="27"/>
  <c r="X165" i="27"/>
  <c r="X168" i="27"/>
  <c r="X169" i="27"/>
  <c r="X166" i="27"/>
  <c r="X163" i="27"/>
  <c r="X164" i="27"/>
  <c r="X167" i="27"/>
  <c r="X162" i="27"/>
  <c r="I200" i="27" l="1"/>
  <c r="J200" i="27"/>
  <c r="K200" i="27"/>
  <c r="L200" i="27"/>
  <c r="M200" i="27"/>
  <c r="N200" i="27"/>
  <c r="O200" i="27"/>
  <c r="P200" i="27"/>
  <c r="Q200" i="27"/>
  <c r="R200" i="27"/>
  <c r="S200" i="27"/>
  <c r="T200" i="27"/>
  <c r="U200" i="27"/>
  <c r="V200" i="27"/>
  <c r="W200" i="27"/>
  <c r="Y200" i="27"/>
  <c r="I77" i="27"/>
  <c r="J77" i="27"/>
  <c r="K77" i="27"/>
  <c r="L77" i="27"/>
  <c r="M77" i="27"/>
  <c r="N77" i="27"/>
  <c r="O77" i="27"/>
  <c r="P77" i="27"/>
  <c r="Q77" i="27"/>
  <c r="R77" i="27"/>
  <c r="S77" i="27"/>
  <c r="T77" i="27"/>
  <c r="U77" i="27"/>
  <c r="V77" i="27"/>
  <c r="W77" i="27"/>
  <c r="Y77" i="27"/>
  <c r="I76" i="27"/>
  <c r="J76" i="27"/>
  <c r="K76" i="27"/>
  <c r="L76" i="27"/>
  <c r="M76" i="27"/>
  <c r="N76" i="27"/>
  <c r="O76" i="27"/>
  <c r="P76" i="27"/>
  <c r="Q76" i="27"/>
  <c r="R76" i="27"/>
  <c r="S76" i="27"/>
  <c r="T76" i="27"/>
  <c r="U76" i="27"/>
  <c r="V76" i="27"/>
  <c r="W76" i="27"/>
  <c r="Y76" i="27"/>
  <c r="X77" i="27"/>
  <c r="X76" i="27"/>
  <c r="X200" i="27"/>
  <c r="R42" i="30" l="1"/>
  <c r="G42" i="30"/>
  <c r="H42" i="30"/>
  <c r="I42" i="30"/>
  <c r="J42" i="30"/>
  <c r="K42" i="30"/>
  <c r="L42" i="30"/>
  <c r="M42" i="30"/>
  <c r="N42" i="30"/>
  <c r="O42" i="30"/>
  <c r="P42" i="30"/>
  <c r="Q42" i="30"/>
  <c r="S42" i="30"/>
  <c r="T42" i="30"/>
  <c r="R40" i="30"/>
  <c r="G40" i="30"/>
  <c r="H40" i="30"/>
  <c r="I40" i="30"/>
  <c r="J40" i="30"/>
  <c r="K40" i="30"/>
  <c r="L40" i="30"/>
  <c r="M40" i="30"/>
  <c r="N40" i="30"/>
  <c r="O40" i="30"/>
  <c r="P40" i="30"/>
  <c r="Q40" i="30"/>
  <c r="S40" i="30"/>
  <c r="T40" i="30"/>
  <c r="G38" i="30"/>
  <c r="H38" i="30"/>
  <c r="I38" i="30"/>
  <c r="J38" i="30"/>
  <c r="K38" i="30"/>
  <c r="L38" i="30"/>
  <c r="M38" i="30"/>
  <c r="N38" i="30"/>
  <c r="O38" i="30"/>
  <c r="P38" i="30"/>
  <c r="Q38" i="30"/>
  <c r="R38" i="30"/>
  <c r="S38" i="30"/>
  <c r="T38" i="30"/>
  <c r="R34" i="30"/>
  <c r="G34" i="30"/>
  <c r="H34" i="30"/>
  <c r="I34" i="30"/>
  <c r="J34" i="30"/>
  <c r="K34" i="30"/>
  <c r="L34" i="30"/>
  <c r="M34" i="30"/>
  <c r="N34" i="30"/>
  <c r="O34" i="30"/>
  <c r="P34" i="30"/>
  <c r="Q34" i="30"/>
  <c r="S34" i="30"/>
  <c r="T34" i="30"/>
  <c r="R32" i="30"/>
  <c r="G32" i="30"/>
  <c r="H32" i="30"/>
  <c r="I32" i="30"/>
  <c r="J32" i="30"/>
  <c r="K32" i="30"/>
  <c r="L32" i="30"/>
  <c r="M32" i="30"/>
  <c r="N32" i="30"/>
  <c r="O32" i="30"/>
  <c r="P32" i="30"/>
  <c r="Q32" i="30"/>
  <c r="S32" i="30"/>
  <c r="T32" i="30"/>
  <c r="R23" i="30"/>
  <c r="G23" i="30"/>
  <c r="H23" i="30"/>
  <c r="I23" i="30"/>
  <c r="J23" i="30"/>
  <c r="K23" i="30"/>
  <c r="L23" i="30"/>
  <c r="M23" i="30"/>
  <c r="N23" i="30"/>
  <c r="O23" i="30"/>
  <c r="P23" i="30"/>
  <c r="Q23" i="30"/>
  <c r="S23" i="30"/>
  <c r="T23" i="30"/>
  <c r="R21" i="30"/>
  <c r="G21" i="30"/>
  <c r="H21" i="30"/>
  <c r="I21" i="30"/>
  <c r="J21" i="30"/>
  <c r="K21" i="30"/>
  <c r="L21" i="30"/>
  <c r="M21" i="30"/>
  <c r="N21" i="30"/>
  <c r="O21" i="30"/>
  <c r="P21" i="30"/>
  <c r="Q21" i="30"/>
  <c r="S21" i="30"/>
  <c r="T21" i="30"/>
  <c r="R19" i="30"/>
  <c r="G19" i="30"/>
  <c r="H19" i="30"/>
  <c r="I19" i="30"/>
  <c r="J19" i="30"/>
  <c r="K19" i="30"/>
  <c r="L19" i="30"/>
  <c r="M19" i="30"/>
  <c r="N19" i="30"/>
  <c r="O19" i="30"/>
  <c r="P19" i="30"/>
  <c r="Q19" i="30"/>
  <c r="S19" i="30"/>
  <c r="T19" i="30"/>
  <c r="R17" i="30"/>
  <c r="G17" i="30"/>
  <c r="H17" i="30"/>
  <c r="I17" i="30"/>
  <c r="J17" i="30"/>
  <c r="K17" i="30"/>
  <c r="L17" i="30"/>
  <c r="M17" i="30"/>
  <c r="N17" i="30"/>
  <c r="O17" i="30"/>
  <c r="P17" i="30"/>
  <c r="Q17" i="30"/>
  <c r="S17" i="30"/>
  <c r="T17" i="30"/>
  <c r="R15" i="30"/>
  <c r="G15" i="30"/>
  <c r="H15" i="30"/>
  <c r="I15" i="30"/>
  <c r="J15" i="30"/>
  <c r="K15" i="30"/>
  <c r="L15" i="30"/>
  <c r="M15" i="30"/>
  <c r="N15" i="30"/>
  <c r="O15" i="30"/>
  <c r="P15" i="30"/>
  <c r="Q15" i="30"/>
  <c r="S15" i="30"/>
  <c r="T15" i="30"/>
  <c r="R13" i="30"/>
  <c r="G13" i="30"/>
  <c r="H13" i="30"/>
  <c r="I13" i="30"/>
  <c r="J13" i="30"/>
  <c r="K13" i="30"/>
  <c r="L13" i="30"/>
  <c r="M13" i="30"/>
  <c r="N13" i="30"/>
  <c r="O13" i="30"/>
  <c r="P13" i="30"/>
  <c r="Q13" i="30"/>
  <c r="S13" i="30"/>
  <c r="T13" i="30"/>
  <c r="R11" i="30"/>
  <c r="G11" i="30"/>
  <c r="H11" i="30"/>
  <c r="I11" i="30"/>
  <c r="J11" i="30"/>
  <c r="K11" i="30"/>
  <c r="L11" i="30"/>
  <c r="M11" i="30"/>
  <c r="N11" i="30"/>
  <c r="O11" i="30"/>
  <c r="P11" i="30"/>
  <c r="Q11" i="30"/>
  <c r="S11" i="30"/>
  <c r="T11" i="30"/>
  <c r="R9" i="30"/>
  <c r="G9" i="30"/>
  <c r="H9" i="30"/>
  <c r="I9" i="30"/>
  <c r="J9" i="30"/>
  <c r="K9" i="30"/>
  <c r="L9" i="30"/>
  <c r="M9" i="30"/>
  <c r="N9" i="30"/>
  <c r="O9" i="30"/>
  <c r="P9" i="30"/>
  <c r="Q9" i="30"/>
  <c r="S9" i="30"/>
  <c r="T9" i="30"/>
  <c r="R7" i="30"/>
  <c r="G7" i="30"/>
  <c r="H7" i="30"/>
  <c r="I7" i="30"/>
  <c r="J7" i="30"/>
  <c r="K7" i="30"/>
  <c r="L7" i="30"/>
  <c r="M7" i="30"/>
  <c r="N7" i="30"/>
  <c r="O7" i="30"/>
  <c r="P7" i="30"/>
  <c r="Q7" i="30"/>
  <c r="S7" i="30"/>
  <c r="T7" i="30"/>
  <c r="R5" i="30"/>
  <c r="G5" i="30"/>
  <c r="H5" i="30"/>
  <c r="I5" i="30"/>
  <c r="J5" i="30"/>
  <c r="K5" i="30"/>
  <c r="L5" i="30"/>
  <c r="M5" i="30"/>
  <c r="N5" i="30"/>
  <c r="O5" i="30"/>
  <c r="P5" i="30"/>
  <c r="Q5" i="30"/>
  <c r="S5" i="30"/>
  <c r="T5" i="30"/>
  <c r="R3" i="30"/>
  <c r="G3" i="30"/>
  <c r="H3" i="30"/>
  <c r="I3" i="30"/>
  <c r="J3" i="30"/>
  <c r="K3" i="30"/>
  <c r="L3" i="30"/>
  <c r="M3" i="30"/>
  <c r="N3" i="30"/>
  <c r="O3" i="30"/>
  <c r="P3" i="30"/>
  <c r="Q3" i="30"/>
  <c r="S3" i="30"/>
  <c r="T3" i="30"/>
  <c r="I2" i="27" l="1"/>
  <c r="J2" i="27"/>
  <c r="K2" i="27"/>
  <c r="L2" i="27"/>
  <c r="M2" i="27"/>
  <c r="N2" i="27"/>
  <c r="O2" i="27"/>
  <c r="P2" i="27"/>
  <c r="Q2" i="27"/>
  <c r="R2" i="27"/>
  <c r="S2" i="27"/>
  <c r="T2" i="27"/>
  <c r="U2" i="27"/>
  <c r="V2" i="27"/>
  <c r="W2" i="27"/>
  <c r="Y2" i="27"/>
  <c r="I3" i="27"/>
  <c r="J3" i="27"/>
  <c r="K3" i="27"/>
  <c r="L3" i="27"/>
  <c r="M3" i="27"/>
  <c r="N3" i="27"/>
  <c r="O3" i="27"/>
  <c r="P3" i="27"/>
  <c r="Q3" i="27"/>
  <c r="R3" i="27"/>
  <c r="S3" i="27"/>
  <c r="T3" i="27"/>
  <c r="U3" i="27"/>
  <c r="V3" i="27"/>
  <c r="W3" i="27"/>
  <c r="Y3" i="27"/>
  <c r="I4" i="27"/>
  <c r="J4" i="27"/>
  <c r="K4" i="27"/>
  <c r="L4" i="27"/>
  <c r="M4" i="27"/>
  <c r="N4" i="27"/>
  <c r="O4" i="27"/>
  <c r="P4" i="27"/>
  <c r="Q4" i="27"/>
  <c r="R4" i="27"/>
  <c r="S4" i="27"/>
  <c r="T4" i="27"/>
  <c r="U4" i="27"/>
  <c r="V4" i="27"/>
  <c r="W4" i="27"/>
  <c r="Y4" i="27"/>
  <c r="I5" i="27"/>
  <c r="J5" i="27"/>
  <c r="K5" i="27"/>
  <c r="L5" i="27"/>
  <c r="M5" i="27"/>
  <c r="N5" i="27"/>
  <c r="O5" i="27"/>
  <c r="P5" i="27"/>
  <c r="Q5" i="27"/>
  <c r="R5" i="27"/>
  <c r="S5" i="27"/>
  <c r="T5" i="27"/>
  <c r="U5" i="27"/>
  <c r="V5" i="27"/>
  <c r="W5" i="27"/>
  <c r="Y5" i="27"/>
  <c r="I6" i="27"/>
  <c r="J6" i="27"/>
  <c r="K6" i="27"/>
  <c r="L6" i="27"/>
  <c r="M6" i="27"/>
  <c r="N6" i="27"/>
  <c r="O6" i="27"/>
  <c r="P6" i="27"/>
  <c r="Q6" i="27"/>
  <c r="R6" i="27"/>
  <c r="S6" i="27"/>
  <c r="T6" i="27"/>
  <c r="U6" i="27"/>
  <c r="V6" i="27"/>
  <c r="W6" i="27"/>
  <c r="Y6" i="27"/>
  <c r="I7" i="27"/>
  <c r="J7" i="27"/>
  <c r="K7" i="27"/>
  <c r="L7" i="27"/>
  <c r="M7" i="27"/>
  <c r="N7" i="27"/>
  <c r="O7" i="27"/>
  <c r="P7" i="27"/>
  <c r="Q7" i="27"/>
  <c r="R7" i="27"/>
  <c r="S7" i="27"/>
  <c r="T7" i="27"/>
  <c r="U7" i="27"/>
  <c r="V7" i="27"/>
  <c r="W7" i="27"/>
  <c r="Y7" i="27"/>
  <c r="I8" i="27"/>
  <c r="J8" i="27"/>
  <c r="K8" i="27"/>
  <c r="L8" i="27"/>
  <c r="M8" i="27"/>
  <c r="N8" i="27"/>
  <c r="O8" i="27"/>
  <c r="P8" i="27"/>
  <c r="Q8" i="27"/>
  <c r="R8" i="27"/>
  <c r="S8" i="27"/>
  <c r="T8" i="27"/>
  <c r="U8" i="27"/>
  <c r="V8" i="27"/>
  <c r="W8" i="27"/>
  <c r="Y8" i="27"/>
  <c r="I10" i="27"/>
  <c r="J10" i="27"/>
  <c r="K10" i="27"/>
  <c r="L10" i="27"/>
  <c r="M10" i="27"/>
  <c r="N10" i="27"/>
  <c r="O10" i="27"/>
  <c r="P10" i="27"/>
  <c r="Q10" i="27"/>
  <c r="R10" i="27"/>
  <c r="S10" i="27"/>
  <c r="T10" i="27"/>
  <c r="U10" i="27"/>
  <c r="V10" i="27"/>
  <c r="W10" i="27"/>
  <c r="Y10" i="27"/>
  <c r="I11" i="27"/>
  <c r="J11" i="27"/>
  <c r="K11" i="27"/>
  <c r="L11" i="27"/>
  <c r="M11" i="27"/>
  <c r="N11" i="27"/>
  <c r="O11" i="27"/>
  <c r="P11" i="27"/>
  <c r="Q11" i="27"/>
  <c r="R11" i="27"/>
  <c r="S11" i="27"/>
  <c r="T11" i="27"/>
  <c r="U11" i="27"/>
  <c r="V11" i="27"/>
  <c r="W11" i="27"/>
  <c r="Y11" i="27"/>
  <c r="I13" i="27"/>
  <c r="J13" i="27"/>
  <c r="K13" i="27"/>
  <c r="L13" i="27"/>
  <c r="M13" i="27"/>
  <c r="N13" i="27"/>
  <c r="O13" i="27"/>
  <c r="P13" i="27"/>
  <c r="Q13" i="27"/>
  <c r="R13" i="27"/>
  <c r="S13" i="27"/>
  <c r="T13" i="27"/>
  <c r="U13" i="27"/>
  <c r="V13" i="27"/>
  <c r="W13" i="27"/>
  <c r="Y13" i="27"/>
  <c r="I14" i="27"/>
  <c r="J14" i="27"/>
  <c r="K14" i="27"/>
  <c r="L14" i="27"/>
  <c r="M14" i="27"/>
  <c r="N14" i="27"/>
  <c r="O14" i="27"/>
  <c r="P14" i="27"/>
  <c r="Q14" i="27"/>
  <c r="R14" i="27"/>
  <c r="S14" i="27"/>
  <c r="T14" i="27"/>
  <c r="U14" i="27"/>
  <c r="V14" i="27"/>
  <c r="W14" i="27"/>
  <c r="Y14" i="27"/>
  <c r="I15" i="27"/>
  <c r="J15" i="27"/>
  <c r="K15" i="27"/>
  <c r="L15" i="27"/>
  <c r="M15" i="27"/>
  <c r="N15" i="27"/>
  <c r="O15" i="27"/>
  <c r="P15" i="27"/>
  <c r="Q15" i="27"/>
  <c r="R15" i="27"/>
  <c r="S15" i="27"/>
  <c r="T15" i="27"/>
  <c r="U15" i="27"/>
  <c r="V15" i="27"/>
  <c r="W15" i="27"/>
  <c r="Y15" i="27"/>
  <c r="I16" i="27"/>
  <c r="J16" i="27"/>
  <c r="K16" i="27"/>
  <c r="L16" i="27"/>
  <c r="M16" i="27"/>
  <c r="N16" i="27"/>
  <c r="O16" i="27"/>
  <c r="P16" i="27"/>
  <c r="Q16" i="27"/>
  <c r="R16" i="27"/>
  <c r="S16" i="27"/>
  <c r="T16" i="27"/>
  <c r="U16" i="27"/>
  <c r="V16" i="27"/>
  <c r="W16" i="27"/>
  <c r="Y16" i="27"/>
  <c r="I17" i="27"/>
  <c r="J17" i="27"/>
  <c r="K17" i="27"/>
  <c r="L17" i="27"/>
  <c r="M17" i="27"/>
  <c r="N17" i="27"/>
  <c r="O17" i="27"/>
  <c r="P17" i="27"/>
  <c r="Q17" i="27"/>
  <c r="R17" i="27"/>
  <c r="S17" i="27"/>
  <c r="T17" i="27"/>
  <c r="U17" i="27"/>
  <c r="V17" i="27"/>
  <c r="W17" i="27"/>
  <c r="Y17" i="27"/>
  <c r="I18" i="27"/>
  <c r="J18" i="27"/>
  <c r="K18" i="27"/>
  <c r="L18" i="27"/>
  <c r="M18" i="27"/>
  <c r="N18" i="27"/>
  <c r="O18" i="27"/>
  <c r="P18" i="27"/>
  <c r="Q18" i="27"/>
  <c r="R18" i="27"/>
  <c r="S18" i="27"/>
  <c r="T18" i="27"/>
  <c r="U18" i="27"/>
  <c r="V18" i="27"/>
  <c r="W18" i="27"/>
  <c r="Y18" i="27"/>
  <c r="I19" i="27"/>
  <c r="J19" i="27"/>
  <c r="K19" i="27"/>
  <c r="L19" i="27"/>
  <c r="M19" i="27"/>
  <c r="N19" i="27"/>
  <c r="O19" i="27"/>
  <c r="P19" i="27"/>
  <c r="Q19" i="27"/>
  <c r="R19" i="27"/>
  <c r="S19" i="27"/>
  <c r="T19" i="27"/>
  <c r="U19" i="27"/>
  <c r="V19" i="27"/>
  <c r="W19" i="27"/>
  <c r="X10" i="27"/>
  <c r="X2" i="27"/>
  <c r="X18" i="27"/>
  <c r="X7" i="27"/>
  <c r="X19" i="27"/>
  <c r="X13" i="27"/>
  <c r="X17" i="27"/>
  <c r="X3" i="27"/>
  <c r="X8" i="27"/>
  <c r="X14" i="27"/>
  <c r="X6" i="27"/>
  <c r="X5" i="27"/>
  <c r="X16" i="27"/>
  <c r="X11" i="27"/>
  <c r="X15" i="27"/>
  <c r="X4" i="27"/>
  <c r="Y19" i="27" l="1"/>
  <c r="I20" i="27"/>
  <c r="J20" i="27"/>
  <c r="K20" i="27"/>
  <c r="L20" i="27"/>
  <c r="M20" i="27"/>
  <c r="N20" i="27"/>
  <c r="O20" i="27"/>
  <c r="P20" i="27"/>
  <c r="Q20" i="27"/>
  <c r="R20" i="27"/>
  <c r="S20" i="27"/>
  <c r="T20" i="27"/>
  <c r="U20" i="27"/>
  <c r="V20" i="27"/>
  <c r="W20" i="27"/>
  <c r="Y20" i="27"/>
  <c r="I21" i="27"/>
  <c r="J21" i="27"/>
  <c r="K21" i="27"/>
  <c r="L21" i="27"/>
  <c r="M21" i="27"/>
  <c r="N21" i="27"/>
  <c r="O21" i="27"/>
  <c r="P21" i="27"/>
  <c r="Q21" i="27"/>
  <c r="R21" i="27"/>
  <c r="S21" i="27"/>
  <c r="T21" i="27"/>
  <c r="U21" i="27"/>
  <c r="V21" i="27"/>
  <c r="W21" i="27"/>
  <c r="Y21" i="27"/>
  <c r="I22" i="27"/>
  <c r="J22" i="27"/>
  <c r="K22" i="27"/>
  <c r="L22" i="27"/>
  <c r="M22" i="27"/>
  <c r="N22" i="27"/>
  <c r="O22" i="27"/>
  <c r="P22" i="27"/>
  <c r="Q22" i="27"/>
  <c r="R22" i="27"/>
  <c r="S22" i="27"/>
  <c r="T22" i="27"/>
  <c r="U22" i="27"/>
  <c r="V22" i="27"/>
  <c r="W22" i="27"/>
  <c r="Y22" i="27"/>
  <c r="I23" i="27"/>
  <c r="J23" i="27"/>
  <c r="K23" i="27"/>
  <c r="L23" i="27"/>
  <c r="M23" i="27"/>
  <c r="N23" i="27"/>
  <c r="O23" i="27"/>
  <c r="P23" i="27"/>
  <c r="Q23" i="27"/>
  <c r="R23" i="27"/>
  <c r="S23" i="27"/>
  <c r="T23" i="27"/>
  <c r="U23" i="27"/>
  <c r="V23" i="27"/>
  <c r="W23" i="27"/>
  <c r="Y23" i="27"/>
  <c r="I24" i="27"/>
  <c r="J24" i="27"/>
  <c r="K24" i="27"/>
  <c r="L24" i="27"/>
  <c r="M24" i="27"/>
  <c r="N24" i="27"/>
  <c r="O24" i="27"/>
  <c r="P24" i="27"/>
  <c r="Q24" i="27"/>
  <c r="R24" i="27"/>
  <c r="S24" i="27"/>
  <c r="T24" i="27"/>
  <c r="U24" i="27"/>
  <c r="V24" i="27"/>
  <c r="W24" i="27"/>
  <c r="Y24" i="27"/>
  <c r="I25" i="27"/>
  <c r="J25" i="27"/>
  <c r="K25" i="27"/>
  <c r="L25" i="27"/>
  <c r="M25" i="27"/>
  <c r="N25" i="27"/>
  <c r="O25" i="27"/>
  <c r="P25" i="27"/>
  <c r="Q25" i="27"/>
  <c r="R25" i="27"/>
  <c r="S25" i="27"/>
  <c r="T25" i="27"/>
  <c r="U25" i="27"/>
  <c r="V25" i="27"/>
  <c r="W25" i="27"/>
  <c r="Y25" i="27"/>
  <c r="I26" i="27"/>
  <c r="J26" i="27"/>
  <c r="K26" i="27"/>
  <c r="L26" i="27"/>
  <c r="M26" i="27"/>
  <c r="N26" i="27"/>
  <c r="O26" i="27"/>
  <c r="P26" i="27"/>
  <c r="Q26" i="27"/>
  <c r="R26" i="27"/>
  <c r="S26" i="27"/>
  <c r="T26" i="27"/>
  <c r="U26" i="27"/>
  <c r="V26" i="27"/>
  <c r="W26" i="27"/>
  <c r="Y26" i="27"/>
  <c r="I27" i="27"/>
  <c r="J27" i="27"/>
  <c r="K27" i="27"/>
  <c r="L27" i="27"/>
  <c r="M27" i="27"/>
  <c r="N27" i="27"/>
  <c r="O27" i="27"/>
  <c r="P27" i="27"/>
  <c r="Q27" i="27"/>
  <c r="R27" i="27"/>
  <c r="S27" i="27"/>
  <c r="T27" i="27"/>
  <c r="U27" i="27"/>
  <c r="V27" i="27"/>
  <c r="W27" i="27"/>
  <c r="Y27" i="27"/>
  <c r="I28" i="27"/>
  <c r="J28" i="27"/>
  <c r="K28" i="27"/>
  <c r="L28" i="27"/>
  <c r="M28" i="27"/>
  <c r="N28" i="27"/>
  <c r="O28" i="27"/>
  <c r="P28" i="27"/>
  <c r="Q28" i="27"/>
  <c r="R28" i="27"/>
  <c r="S28" i="27"/>
  <c r="T28" i="27"/>
  <c r="U28" i="27"/>
  <c r="V28" i="27"/>
  <c r="W28" i="27"/>
  <c r="X20" i="27"/>
  <c r="X22" i="27"/>
  <c r="X21" i="27"/>
  <c r="X23" i="27"/>
  <c r="X26" i="27"/>
  <c r="X24" i="27"/>
  <c r="X28" i="27"/>
  <c r="X25" i="27"/>
  <c r="X27" i="27"/>
  <c r="Y28" i="27" l="1"/>
  <c r="I29" i="27"/>
  <c r="J29" i="27"/>
  <c r="K29" i="27"/>
  <c r="L29" i="27"/>
  <c r="M29" i="27"/>
  <c r="N29" i="27"/>
  <c r="O29" i="27"/>
  <c r="P29" i="27"/>
  <c r="Q29" i="27"/>
  <c r="R29" i="27"/>
  <c r="S29" i="27"/>
  <c r="T29" i="27"/>
  <c r="U29" i="27"/>
  <c r="V29" i="27"/>
  <c r="W29" i="27"/>
  <c r="Y29" i="27"/>
  <c r="I30" i="27"/>
  <c r="J30" i="27"/>
  <c r="K30" i="27"/>
  <c r="L30" i="27"/>
  <c r="M30" i="27"/>
  <c r="N30" i="27"/>
  <c r="O30" i="27"/>
  <c r="P30" i="27"/>
  <c r="Q30" i="27"/>
  <c r="R30" i="27"/>
  <c r="S30" i="27"/>
  <c r="T30" i="27"/>
  <c r="U30" i="27"/>
  <c r="V30" i="27"/>
  <c r="W30" i="27"/>
  <c r="Y30" i="27"/>
  <c r="I31" i="27"/>
  <c r="J31" i="27"/>
  <c r="K31" i="27"/>
  <c r="L31" i="27"/>
  <c r="M31" i="27"/>
  <c r="N31" i="27"/>
  <c r="O31" i="27"/>
  <c r="P31" i="27"/>
  <c r="Q31" i="27"/>
  <c r="R31" i="27"/>
  <c r="S31" i="27"/>
  <c r="T31" i="27"/>
  <c r="U31" i="27"/>
  <c r="V31" i="27"/>
  <c r="W31" i="27"/>
  <c r="Y31" i="27"/>
  <c r="I32" i="27"/>
  <c r="J32" i="27"/>
  <c r="K32" i="27"/>
  <c r="L32" i="27"/>
  <c r="M32" i="27"/>
  <c r="N32" i="27"/>
  <c r="O32" i="27"/>
  <c r="P32" i="27"/>
  <c r="Q32" i="27"/>
  <c r="R32" i="27"/>
  <c r="S32" i="27"/>
  <c r="T32" i="27"/>
  <c r="U32" i="27"/>
  <c r="V32" i="27"/>
  <c r="W32" i="27"/>
  <c r="Y32" i="27"/>
  <c r="I33" i="27"/>
  <c r="J33" i="27"/>
  <c r="K33" i="27"/>
  <c r="L33" i="27"/>
  <c r="M33" i="27"/>
  <c r="N33" i="27"/>
  <c r="O33" i="27"/>
  <c r="P33" i="27"/>
  <c r="Q33" i="27"/>
  <c r="R33" i="27"/>
  <c r="S33" i="27"/>
  <c r="T33" i="27"/>
  <c r="U33" i="27"/>
  <c r="V33" i="27"/>
  <c r="W33" i="27"/>
  <c r="Y33" i="27"/>
  <c r="I34" i="27"/>
  <c r="J34" i="27"/>
  <c r="K34" i="27"/>
  <c r="L34" i="27"/>
  <c r="M34" i="27"/>
  <c r="N34" i="27"/>
  <c r="O34" i="27"/>
  <c r="P34" i="27"/>
  <c r="Q34" i="27"/>
  <c r="R34" i="27"/>
  <c r="S34" i="27"/>
  <c r="T34" i="27"/>
  <c r="U34" i="27"/>
  <c r="V34" i="27"/>
  <c r="W34" i="27"/>
  <c r="Y34" i="27"/>
  <c r="I36" i="27"/>
  <c r="J36" i="27"/>
  <c r="K36" i="27"/>
  <c r="L36" i="27"/>
  <c r="M36" i="27"/>
  <c r="N36" i="27"/>
  <c r="O36" i="27"/>
  <c r="P36" i="27"/>
  <c r="Q36" i="27"/>
  <c r="R36" i="27"/>
  <c r="S36" i="27"/>
  <c r="T36" i="27"/>
  <c r="U36" i="27"/>
  <c r="V36" i="27"/>
  <c r="W36" i="27"/>
  <c r="Y36" i="27"/>
  <c r="I37" i="27"/>
  <c r="J37" i="27"/>
  <c r="K37" i="27"/>
  <c r="L37" i="27"/>
  <c r="M37" i="27"/>
  <c r="N37" i="27"/>
  <c r="O37" i="27"/>
  <c r="P37" i="27"/>
  <c r="Q37" i="27"/>
  <c r="R37" i="27"/>
  <c r="S37" i="27"/>
  <c r="T37" i="27"/>
  <c r="U37" i="27"/>
  <c r="V37" i="27"/>
  <c r="W37" i="27"/>
  <c r="Y37" i="27"/>
  <c r="I38" i="27"/>
  <c r="J38" i="27"/>
  <c r="K38" i="27"/>
  <c r="L38" i="27"/>
  <c r="M38" i="27"/>
  <c r="N38" i="27"/>
  <c r="O38" i="27"/>
  <c r="P38" i="27"/>
  <c r="Q38" i="27"/>
  <c r="R38" i="27"/>
  <c r="S38" i="27"/>
  <c r="T38" i="27"/>
  <c r="U38" i="27"/>
  <c r="V38" i="27"/>
  <c r="W38" i="27"/>
  <c r="Y38" i="27"/>
  <c r="I39" i="27"/>
  <c r="J39" i="27"/>
  <c r="K39" i="27"/>
  <c r="L39" i="27"/>
  <c r="M39" i="27"/>
  <c r="N39" i="27"/>
  <c r="O39" i="27"/>
  <c r="P39" i="27"/>
  <c r="Q39" i="27"/>
  <c r="R39" i="27"/>
  <c r="S39" i="27"/>
  <c r="T39" i="27"/>
  <c r="U39" i="27"/>
  <c r="V39" i="27"/>
  <c r="W39" i="27"/>
  <c r="X29" i="27"/>
  <c r="X38" i="27"/>
  <c r="X33" i="27"/>
  <c r="X36" i="27"/>
  <c r="X30" i="27"/>
  <c r="X34" i="27"/>
  <c r="X32" i="27"/>
  <c r="X39" i="27"/>
  <c r="X31" i="27"/>
  <c r="X37" i="27"/>
  <c r="Y39" i="27" l="1"/>
  <c r="I40" i="27"/>
  <c r="J40" i="27"/>
  <c r="K40" i="27"/>
  <c r="L40" i="27"/>
  <c r="M40" i="27"/>
  <c r="N40" i="27"/>
  <c r="O40" i="27"/>
  <c r="P40" i="27"/>
  <c r="Q40" i="27"/>
  <c r="R40" i="27"/>
  <c r="S40" i="27"/>
  <c r="T40" i="27"/>
  <c r="U40" i="27"/>
  <c r="V40" i="27"/>
  <c r="W40" i="27"/>
  <c r="Y40" i="27"/>
  <c r="I41" i="27"/>
  <c r="J41" i="27"/>
  <c r="K41" i="27"/>
  <c r="L41" i="27"/>
  <c r="M41" i="27"/>
  <c r="N41" i="27"/>
  <c r="O41" i="27"/>
  <c r="P41" i="27"/>
  <c r="Q41" i="27"/>
  <c r="R41" i="27"/>
  <c r="S41" i="27"/>
  <c r="T41" i="27"/>
  <c r="U41" i="27"/>
  <c r="V41" i="27"/>
  <c r="W41" i="27"/>
  <c r="Y41" i="27"/>
  <c r="I42" i="27"/>
  <c r="J42" i="27"/>
  <c r="K42" i="27"/>
  <c r="L42" i="27"/>
  <c r="M42" i="27"/>
  <c r="N42" i="27"/>
  <c r="O42" i="27"/>
  <c r="P42" i="27"/>
  <c r="Q42" i="27"/>
  <c r="R42" i="27"/>
  <c r="S42" i="27"/>
  <c r="T42" i="27"/>
  <c r="U42" i="27"/>
  <c r="V42" i="27"/>
  <c r="W42" i="27"/>
  <c r="Y42" i="27"/>
  <c r="I43" i="27"/>
  <c r="J43" i="27"/>
  <c r="K43" i="27"/>
  <c r="L43" i="27"/>
  <c r="M43" i="27"/>
  <c r="N43" i="27"/>
  <c r="O43" i="27"/>
  <c r="P43" i="27"/>
  <c r="Q43" i="27"/>
  <c r="R43" i="27"/>
  <c r="S43" i="27"/>
  <c r="T43" i="27"/>
  <c r="U43" i="27"/>
  <c r="V43" i="27"/>
  <c r="W43" i="27"/>
  <c r="Y43" i="27"/>
  <c r="I44" i="27"/>
  <c r="J44" i="27"/>
  <c r="K44" i="27"/>
  <c r="L44" i="27"/>
  <c r="M44" i="27"/>
  <c r="N44" i="27"/>
  <c r="O44" i="27"/>
  <c r="P44" i="27"/>
  <c r="Q44" i="27"/>
  <c r="R44" i="27"/>
  <c r="S44" i="27"/>
  <c r="T44" i="27"/>
  <c r="U44" i="27"/>
  <c r="V44" i="27"/>
  <c r="W44" i="27"/>
  <c r="Y44" i="27"/>
  <c r="I45" i="27"/>
  <c r="J45" i="27"/>
  <c r="K45" i="27"/>
  <c r="L45" i="27"/>
  <c r="M45" i="27"/>
  <c r="N45" i="27"/>
  <c r="O45" i="27"/>
  <c r="P45" i="27"/>
  <c r="Q45" i="27"/>
  <c r="R45" i="27"/>
  <c r="S45" i="27"/>
  <c r="T45" i="27"/>
  <c r="U45" i="27"/>
  <c r="V45" i="27"/>
  <c r="W45" i="27"/>
  <c r="Y45" i="27"/>
  <c r="I46" i="27"/>
  <c r="J46" i="27"/>
  <c r="K46" i="27"/>
  <c r="L46" i="27"/>
  <c r="M46" i="27"/>
  <c r="N46" i="27"/>
  <c r="O46" i="27"/>
  <c r="P46" i="27"/>
  <c r="Q46" i="27"/>
  <c r="R46" i="27"/>
  <c r="S46" i="27"/>
  <c r="T46" i="27"/>
  <c r="U46" i="27"/>
  <c r="V46" i="27"/>
  <c r="W46" i="27"/>
  <c r="Y46" i="27"/>
  <c r="I47" i="27"/>
  <c r="J47" i="27"/>
  <c r="K47" i="27"/>
  <c r="L47" i="27"/>
  <c r="M47" i="27"/>
  <c r="N47" i="27"/>
  <c r="O47" i="27"/>
  <c r="P47" i="27"/>
  <c r="Q47" i="27"/>
  <c r="R47" i="27"/>
  <c r="S47" i="27"/>
  <c r="T47" i="27"/>
  <c r="U47" i="27"/>
  <c r="V47" i="27"/>
  <c r="W47" i="27"/>
  <c r="Y47" i="27"/>
  <c r="I48" i="27"/>
  <c r="J48" i="27"/>
  <c r="K48" i="27"/>
  <c r="L48" i="27"/>
  <c r="M48" i="27"/>
  <c r="N48" i="27"/>
  <c r="O48" i="27"/>
  <c r="P48" i="27"/>
  <c r="Q48" i="27"/>
  <c r="R48" i="27"/>
  <c r="S48" i="27"/>
  <c r="T48" i="27"/>
  <c r="U48" i="27"/>
  <c r="V48" i="27"/>
  <c r="W48" i="27"/>
  <c r="Y48" i="27"/>
  <c r="I49" i="27"/>
  <c r="J49" i="27"/>
  <c r="K49" i="27"/>
  <c r="L49" i="27"/>
  <c r="M49" i="27"/>
  <c r="N49" i="27"/>
  <c r="O49" i="27"/>
  <c r="P49" i="27"/>
  <c r="Q49" i="27"/>
  <c r="R49" i="27"/>
  <c r="S49" i="27"/>
  <c r="T49" i="27"/>
  <c r="U49" i="27"/>
  <c r="V49" i="27"/>
  <c r="W49" i="27"/>
  <c r="Y49" i="27"/>
  <c r="I50" i="27"/>
  <c r="J50" i="27"/>
  <c r="K50" i="27"/>
  <c r="L50" i="27"/>
  <c r="M50" i="27"/>
  <c r="N50" i="27"/>
  <c r="O50" i="27"/>
  <c r="P50" i="27"/>
  <c r="Q50" i="27"/>
  <c r="R50" i="27"/>
  <c r="S50" i="27"/>
  <c r="T50" i="27"/>
  <c r="U50" i="27"/>
  <c r="V50" i="27"/>
  <c r="W50" i="27"/>
  <c r="X40" i="27"/>
  <c r="X47" i="27"/>
  <c r="X43" i="27"/>
  <c r="X45" i="27"/>
  <c r="X50" i="27"/>
  <c r="X49" i="27"/>
  <c r="X46" i="27"/>
  <c r="X41" i="27"/>
  <c r="X42" i="27"/>
  <c r="X48" i="27"/>
  <c r="X44" i="27"/>
  <c r="Y50" i="27" l="1"/>
  <c r="I51" i="27"/>
  <c r="J51" i="27"/>
  <c r="K51" i="27"/>
  <c r="L51" i="27"/>
  <c r="M51" i="27"/>
  <c r="N51" i="27"/>
  <c r="O51" i="27"/>
  <c r="P51" i="27"/>
  <c r="Q51" i="27"/>
  <c r="R51" i="27"/>
  <c r="S51" i="27"/>
  <c r="T51" i="27"/>
  <c r="U51" i="27"/>
  <c r="V51" i="27"/>
  <c r="W51" i="27"/>
  <c r="Y51" i="27"/>
  <c r="I52" i="27"/>
  <c r="J52" i="27"/>
  <c r="K52" i="27"/>
  <c r="L52" i="27"/>
  <c r="M52" i="27"/>
  <c r="N52" i="27"/>
  <c r="O52" i="27"/>
  <c r="P52" i="27"/>
  <c r="Q52" i="27"/>
  <c r="R52" i="27"/>
  <c r="S52" i="27"/>
  <c r="T52" i="27"/>
  <c r="U52" i="27"/>
  <c r="V52" i="27"/>
  <c r="W52" i="27"/>
  <c r="X51" i="27"/>
  <c r="X52" i="27"/>
  <c r="Y52" i="27" l="1"/>
  <c r="I53" i="27"/>
  <c r="J53" i="27"/>
  <c r="K53" i="27"/>
  <c r="L53" i="27"/>
  <c r="M53" i="27"/>
  <c r="N53" i="27"/>
  <c r="O53" i="27"/>
  <c r="P53" i="27"/>
  <c r="Q53" i="27"/>
  <c r="R53" i="27"/>
  <c r="S53" i="27"/>
  <c r="T53" i="27"/>
  <c r="U53" i="27"/>
  <c r="V53" i="27"/>
  <c r="W53" i="27"/>
  <c r="Y53" i="27"/>
  <c r="I54" i="27"/>
  <c r="J54" i="27"/>
  <c r="K54" i="27"/>
  <c r="L54" i="27"/>
  <c r="M54" i="27"/>
  <c r="N54" i="27"/>
  <c r="O54" i="27"/>
  <c r="P54" i="27"/>
  <c r="Q54" i="27"/>
  <c r="R54" i="27"/>
  <c r="S54" i="27"/>
  <c r="T54" i="27"/>
  <c r="U54" i="27"/>
  <c r="V54" i="27"/>
  <c r="W54" i="27"/>
  <c r="X53" i="27"/>
  <c r="X54" i="27"/>
  <c r="Y54" i="27" l="1"/>
  <c r="I55" i="27"/>
  <c r="J55" i="27"/>
  <c r="K55" i="27"/>
  <c r="L55" i="27"/>
  <c r="M55" i="27"/>
  <c r="N55" i="27"/>
  <c r="O55" i="27"/>
  <c r="P55" i="27"/>
  <c r="Q55" i="27"/>
  <c r="R55" i="27"/>
  <c r="S55" i="27"/>
  <c r="T55" i="27"/>
  <c r="U55" i="27"/>
  <c r="V55" i="27"/>
  <c r="W55" i="27"/>
  <c r="Y55" i="27"/>
  <c r="I56" i="27"/>
  <c r="J56" i="27"/>
  <c r="K56" i="27"/>
  <c r="L56" i="27"/>
  <c r="M56" i="27"/>
  <c r="N56" i="27"/>
  <c r="O56" i="27"/>
  <c r="P56" i="27"/>
  <c r="Q56" i="27"/>
  <c r="R56" i="27"/>
  <c r="S56" i="27"/>
  <c r="T56" i="27"/>
  <c r="U56" i="27"/>
  <c r="V56" i="27"/>
  <c r="W56" i="27"/>
  <c r="Y56" i="27"/>
  <c r="I57" i="27"/>
  <c r="J57" i="27"/>
  <c r="K57" i="27"/>
  <c r="L57" i="27"/>
  <c r="M57" i="27"/>
  <c r="N57" i="27"/>
  <c r="O57" i="27"/>
  <c r="P57" i="27"/>
  <c r="Q57" i="27"/>
  <c r="R57" i="27"/>
  <c r="S57" i="27"/>
  <c r="T57" i="27"/>
  <c r="U57" i="27"/>
  <c r="V57" i="27"/>
  <c r="W57" i="27"/>
  <c r="X57" i="27"/>
  <c r="X55" i="27"/>
  <c r="X56" i="27"/>
  <c r="Y57" i="27" l="1"/>
  <c r="I58" i="27"/>
  <c r="J58" i="27"/>
  <c r="K58" i="27"/>
  <c r="L58" i="27"/>
  <c r="M58" i="27"/>
  <c r="N58" i="27"/>
  <c r="O58" i="27"/>
  <c r="P58" i="27"/>
  <c r="Q58" i="27"/>
  <c r="R58" i="27"/>
  <c r="S58" i="27"/>
  <c r="T58" i="27"/>
  <c r="U58" i="27"/>
  <c r="V58" i="27"/>
  <c r="W58" i="27"/>
  <c r="Y58" i="27"/>
  <c r="I59" i="27"/>
  <c r="J59" i="27"/>
  <c r="K59" i="27"/>
  <c r="L59" i="27"/>
  <c r="M59" i="27"/>
  <c r="N59" i="27"/>
  <c r="O59" i="27"/>
  <c r="P59" i="27"/>
  <c r="Q59" i="27"/>
  <c r="R59" i="27"/>
  <c r="S59" i="27"/>
  <c r="T59" i="27"/>
  <c r="U59" i="27"/>
  <c r="V59" i="27"/>
  <c r="W59" i="27"/>
  <c r="Y59" i="27"/>
  <c r="I60" i="27"/>
  <c r="J60" i="27"/>
  <c r="K60" i="27"/>
  <c r="L60" i="27"/>
  <c r="M60" i="27"/>
  <c r="N60" i="27"/>
  <c r="O60" i="27"/>
  <c r="P60" i="27"/>
  <c r="Q60" i="27"/>
  <c r="R60" i="27"/>
  <c r="S60" i="27"/>
  <c r="T60" i="27"/>
  <c r="U60" i="27"/>
  <c r="V60" i="27"/>
  <c r="W60" i="27"/>
  <c r="Y60" i="27"/>
  <c r="I61" i="27"/>
  <c r="J61" i="27"/>
  <c r="K61" i="27"/>
  <c r="L61" i="27"/>
  <c r="M61" i="27"/>
  <c r="N61" i="27"/>
  <c r="O61" i="27"/>
  <c r="P61" i="27"/>
  <c r="Q61" i="27"/>
  <c r="R61" i="27"/>
  <c r="S61" i="27"/>
  <c r="T61" i="27"/>
  <c r="U61" i="27"/>
  <c r="V61" i="27"/>
  <c r="W61" i="27"/>
  <c r="Y61" i="27"/>
  <c r="I62" i="27"/>
  <c r="J62" i="27"/>
  <c r="K62" i="27"/>
  <c r="L62" i="27"/>
  <c r="M62" i="27"/>
  <c r="N62" i="27"/>
  <c r="O62" i="27"/>
  <c r="P62" i="27"/>
  <c r="Q62" i="27"/>
  <c r="R62" i="27"/>
  <c r="S62" i="27"/>
  <c r="T62" i="27"/>
  <c r="U62" i="27"/>
  <c r="V62" i="27"/>
  <c r="W62" i="27"/>
  <c r="X58" i="27"/>
  <c r="X60" i="27"/>
  <c r="X62" i="27"/>
  <c r="X59" i="27"/>
  <c r="X61" i="27"/>
  <c r="Y62" i="27" l="1"/>
  <c r="I63" i="27"/>
  <c r="J63" i="27"/>
  <c r="K63" i="27"/>
  <c r="L63" i="27"/>
  <c r="M63" i="27"/>
  <c r="N63" i="27"/>
  <c r="O63" i="27"/>
  <c r="P63" i="27"/>
  <c r="Q63" i="27"/>
  <c r="R63" i="27"/>
  <c r="S63" i="27"/>
  <c r="T63" i="27"/>
  <c r="U63" i="27"/>
  <c r="V63" i="27"/>
  <c r="W63" i="27"/>
  <c r="Y63" i="27"/>
  <c r="I64" i="27"/>
  <c r="J64" i="27"/>
  <c r="K64" i="27"/>
  <c r="L64" i="27"/>
  <c r="M64" i="27"/>
  <c r="N64" i="27"/>
  <c r="O64" i="27"/>
  <c r="P64" i="27"/>
  <c r="Q64" i="27"/>
  <c r="R64" i="27"/>
  <c r="S64" i="27"/>
  <c r="T64" i="27"/>
  <c r="U64" i="27"/>
  <c r="V64" i="27"/>
  <c r="W64" i="27"/>
  <c r="Y64" i="27"/>
  <c r="I65" i="27"/>
  <c r="J65" i="27"/>
  <c r="K65" i="27"/>
  <c r="L65" i="27"/>
  <c r="M65" i="27"/>
  <c r="N65" i="27"/>
  <c r="O65" i="27"/>
  <c r="P65" i="27"/>
  <c r="Q65" i="27"/>
  <c r="R65" i="27"/>
  <c r="S65" i="27"/>
  <c r="T65" i="27"/>
  <c r="U65" i="27"/>
  <c r="V65" i="27"/>
  <c r="W65" i="27"/>
  <c r="Y65" i="27"/>
  <c r="I66" i="27"/>
  <c r="J66" i="27"/>
  <c r="K66" i="27"/>
  <c r="L66" i="27"/>
  <c r="M66" i="27"/>
  <c r="N66" i="27"/>
  <c r="O66" i="27"/>
  <c r="P66" i="27"/>
  <c r="Q66" i="27"/>
  <c r="R66" i="27"/>
  <c r="S66" i="27"/>
  <c r="T66" i="27"/>
  <c r="U66" i="27"/>
  <c r="V66" i="27"/>
  <c r="W66" i="27"/>
  <c r="Y66" i="27"/>
  <c r="I67" i="27"/>
  <c r="J67" i="27"/>
  <c r="K67" i="27"/>
  <c r="L67" i="27"/>
  <c r="M67" i="27"/>
  <c r="N67" i="27"/>
  <c r="O67" i="27"/>
  <c r="P67" i="27"/>
  <c r="Q67" i="27"/>
  <c r="R67" i="27"/>
  <c r="S67" i="27"/>
  <c r="T67" i="27"/>
  <c r="U67" i="27"/>
  <c r="V67" i="27"/>
  <c r="W67" i="27"/>
  <c r="Y67" i="27"/>
  <c r="I68" i="27"/>
  <c r="J68" i="27"/>
  <c r="K68" i="27"/>
  <c r="L68" i="27"/>
  <c r="M68" i="27"/>
  <c r="N68" i="27"/>
  <c r="O68" i="27"/>
  <c r="P68" i="27"/>
  <c r="Q68" i="27"/>
  <c r="R68" i="27"/>
  <c r="S68" i="27"/>
  <c r="T68" i="27"/>
  <c r="U68" i="27"/>
  <c r="V68" i="27"/>
  <c r="W68" i="27"/>
  <c r="Y68" i="27"/>
  <c r="I69" i="27"/>
  <c r="J69" i="27"/>
  <c r="K69" i="27"/>
  <c r="L69" i="27"/>
  <c r="M69" i="27"/>
  <c r="N69" i="27"/>
  <c r="O69" i="27"/>
  <c r="P69" i="27"/>
  <c r="Q69" i="27"/>
  <c r="R69" i="27"/>
  <c r="S69" i="27"/>
  <c r="T69" i="27"/>
  <c r="U69" i="27"/>
  <c r="V69" i="27"/>
  <c r="W69" i="27"/>
  <c r="Y69" i="27"/>
  <c r="I70" i="27"/>
  <c r="J70" i="27"/>
  <c r="K70" i="27"/>
  <c r="L70" i="27"/>
  <c r="M70" i="27"/>
  <c r="N70" i="27"/>
  <c r="O70" i="27"/>
  <c r="P70" i="27"/>
  <c r="Q70" i="27"/>
  <c r="R70" i="27"/>
  <c r="S70" i="27"/>
  <c r="T70" i="27"/>
  <c r="U70" i="27"/>
  <c r="V70" i="27"/>
  <c r="W70" i="27"/>
  <c r="Y70" i="27"/>
  <c r="I71" i="27"/>
  <c r="J71" i="27"/>
  <c r="K71" i="27"/>
  <c r="L71" i="27"/>
  <c r="M71" i="27"/>
  <c r="N71" i="27"/>
  <c r="O71" i="27"/>
  <c r="P71" i="27"/>
  <c r="Q71" i="27"/>
  <c r="R71" i="27"/>
  <c r="S71" i="27"/>
  <c r="T71" i="27"/>
  <c r="U71" i="27"/>
  <c r="V71" i="27"/>
  <c r="W71" i="27"/>
  <c r="Y71" i="27"/>
  <c r="I72" i="27"/>
  <c r="J72" i="27"/>
  <c r="K72" i="27"/>
  <c r="L72" i="27"/>
  <c r="M72" i="27"/>
  <c r="N72" i="27"/>
  <c r="O72" i="27"/>
  <c r="P72" i="27"/>
  <c r="Q72" i="27"/>
  <c r="R72" i="27"/>
  <c r="S72" i="27"/>
  <c r="T72" i="27"/>
  <c r="U72" i="27"/>
  <c r="V72" i="27"/>
  <c r="W72" i="27"/>
  <c r="Y72" i="27"/>
  <c r="I73" i="27"/>
  <c r="J73" i="27"/>
  <c r="K73" i="27"/>
  <c r="L73" i="27"/>
  <c r="M73" i="27"/>
  <c r="N73" i="27"/>
  <c r="O73" i="27"/>
  <c r="P73" i="27"/>
  <c r="Q73" i="27"/>
  <c r="R73" i="27"/>
  <c r="S73" i="27"/>
  <c r="T73" i="27"/>
  <c r="U73" i="27"/>
  <c r="V73" i="27"/>
  <c r="W73" i="27"/>
  <c r="Y73" i="27"/>
  <c r="I74" i="27"/>
  <c r="J74" i="27"/>
  <c r="K74" i="27"/>
  <c r="L74" i="27"/>
  <c r="M74" i="27"/>
  <c r="N74" i="27"/>
  <c r="O74" i="27"/>
  <c r="P74" i="27"/>
  <c r="Q74" i="27"/>
  <c r="R74" i="27"/>
  <c r="S74" i="27"/>
  <c r="T74" i="27"/>
  <c r="U74" i="27"/>
  <c r="V74" i="27"/>
  <c r="W74" i="27"/>
  <c r="Y74" i="27"/>
  <c r="I75" i="27"/>
  <c r="J75" i="27"/>
  <c r="K75" i="27"/>
  <c r="L75" i="27"/>
  <c r="M75" i="27"/>
  <c r="N75" i="27"/>
  <c r="O75" i="27"/>
  <c r="P75" i="27"/>
  <c r="Q75" i="27"/>
  <c r="R75" i="27"/>
  <c r="S75" i="27"/>
  <c r="T75" i="27"/>
  <c r="U75" i="27"/>
  <c r="V75" i="27"/>
  <c r="W75" i="27"/>
  <c r="Y75" i="27"/>
  <c r="I78" i="27"/>
  <c r="J78" i="27"/>
  <c r="K78" i="27"/>
  <c r="L78" i="27"/>
  <c r="M78" i="27"/>
  <c r="N78" i="27"/>
  <c r="O78" i="27"/>
  <c r="P78" i="27"/>
  <c r="Q78" i="27"/>
  <c r="R78" i="27"/>
  <c r="S78" i="27"/>
  <c r="T78" i="27"/>
  <c r="U78" i="27"/>
  <c r="V78" i="27"/>
  <c r="W78" i="27"/>
  <c r="Y78" i="27"/>
  <c r="I79" i="27"/>
  <c r="J79" i="27"/>
  <c r="K79" i="27"/>
  <c r="L79" i="27"/>
  <c r="M79" i="27"/>
  <c r="N79" i="27"/>
  <c r="O79" i="27"/>
  <c r="P79" i="27"/>
  <c r="Q79" i="27"/>
  <c r="R79" i="27"/>
  <c r="S79" i="27"/>
  <c r="T79" i="27"/>
  <c r="U79" i="27"/>
  <c r="V79" i="27"/>
  <c r="W79" i="27"/>
  <c r="Y79" i="27"/>
  <c r="I80" i="27"/>
  <c r="J80" i="27"/>
  <c r="K80" i="27"/>
  <c r="L80" i="27"/>
  <c r="M80" i="27"/>
  <c r="N80" i="27"/>
  <c r="O80" i="27"/>
  <c r="P80" i="27"/>
  <c r="Q80" i="27"/>
  <c r="R80" i="27"/>
  <c r="S80" i="27"/>
  <c r="T80" i="27"/>
  <c r="U80" i="27"/>
  <c r="V80" i="27"/>
  <c r="W80" i="27"/>
  <c r="Y80" i="27"/>
  <c r="I81" i="27"/>
  <c r="J81" i="27"/>
  <c r="K81" i="27"/>
  <c r="L81" i="27"/>
  <c r="M81" i="27"/>
  <c r="N81" i="27"/>
  <c r="O81" i="27"/>
  <c r="P81" i="27"/>
  <c r="Q81" i="27"/>
  <c r="R81" i="27"/>
  <c r="S81" i="27"/>
  <c r="T81" i="27"/>
  <c r="U81" i="27"/>
  <c r="V81" i="27"/>
  <c r="W81" i="27"/>
  <c r="Y81" i="27"/>
  <c r="I82" i="27"/>
  <c r="J82" i="27"/>
  <c r="K82" i="27"/>
  <c r="L82" i="27"/>
  <c r="M82" i="27"/>
  <c r="N82" i="27"/>
  <c r="O82" i="27"/>
  <c r="P82" i="27"/>
  <c r="Q82" i="27"/>
  <c r="R82" i="27"/>
  <c r="S82" i="27"/>
  <c r="T82" i="27"/>
  <c r="U82" i="27"/>
  <c r="V82" i="27"/>
  <c r="W82" i="27"/>
  <c r="Y82" i="27"/>
  <c r="I83" i="27"/>
  <c r="J83" i="27"/>
  <c r="K83" i="27"/>
  <c r="L83" i="27"/>
  <c r="M83" i="27"/>
  <c r="N83" i="27"/>
  <c r="O83" i="27"/>
  <c r="P83" i="27"/>
  <c r="Q83" i="27"/>
  <c r="R83" i="27"/>
  <c r="S83" i="27"/>
  <c r="T83" i="27"/>
  <c r="U83" i="27"/>
  <c r="V83" i="27"/>
  <c r="W83" i="27"/>
  <c r="Y83" i="27"/>
  <c r="I84" i="27"/>
  <c r="J84" i="27"/>
  <c r="K84" i="27"/>
  <c r="L84" i="27"/>
  <c r="M84" i="27"/>
  <c r="N84" i="27"/>
  <c r="O84" i="27"/>
  <c r="P84" i="27"/>
  <c r="Q84" i="27"/>
  <c r="R84" i="27"/>
  <c r="S84" i="27"/>
  <c r="T84" i="27"/>
  <c r="U84" i="27"/>
  <c r="V84" i="27"/>
  <c r="W84" i="27"/>
  <c r="Y84" i="27"/>
  <c r="I85" i="27"/>
  <c r="J85" i="27"/>
  <c r="K85" i="27"/>
  <c r="L85" i="27"/>
  <c r="M85" i="27"/>
  <c r="N85" i="27"/>
  <c r="O85" i="27"/>
  <c r="P85" i="27"/>
  <c r="Q85" i="27"/>
  <c r="R85" i="27"/>
  <c r="S85" i="27"/>
  <c r="T85" i="27"/>
  <c r="U85" i="27"/>
  <c r="V85" i="27"/>
  <c r="W85" i="27"/>
  <c r="Y85" i="27"/>
  <c r="I86" i="27"/>
  <c r="J86" i="27"/>
  <c r="K86" i="27"/>
  <c r="L86" i="27"/>
  <c r="M86" i="27"/>
  <c r="N86" i="27"/>
  <c r="O86" i="27"/>
  <c r="P86" i="27"/>
  <c r="Q86" i="27"/>
  <c r="R86" i="27"/>
  <c r="S86" i="27"/>
  <c r="T86" i="27"/>
  <c r="U86" i="27"/>
  <c r="V86" i="27"/>
  <c r="W86" i="27"/>
  <c r="Y86" i="27"/>
  <c r="I87" i="27"/>
  <c r="J87" i="27"/>
  <c r="K87" i="27"/>
  <c r="L87" i="27"/>
  <c r="M87" i="27"/>
  <c r="N87" i="27"/>
  <c r="O87" i="27"/>
  <c r="P87" i="27"/>
  <c r="Q87" i="27"/>
  <c r="R87" i="27"/>
  <c r="S87" i="27"/>
  <c r="T87" i="27"/>
  <c r="U87" i="27"/>
  <c r="V87" i="27"/>
  <c r="W87" i="27"/>
  <c r="Y87" i="27"/>
  <c r="I88" i="27"/>
  <c r="J88" i="27"/>
  <c r="K88" i="27"/>
  <c r="L88" i="27"/>
  <c r="M88" i="27"/>
  <c r="N88" i="27"/>
  <c r="O88" i="27"/>
  <c r="P88" i="27"/>
  <c r="Q88" i="27"/>
  <c r="R88" i="27"/>
  <c r="S88" i="27"/>
  <c r="T88" i="27"/>
  <c r="U88" i="27"/>
  <c r="V88" i="27"/>
  <c r="W88" i="27"/>
  <c r="Y88" i="27"/>
  <c r="I89" i="27"/>
  <c r="J89" i="27"/>
  <c r="K89" i="27"/>
  <c r="L89" i="27"/>
  <c r="M89" i="27"/>
  <c r="N89" i="27"/>
  <c r="O89" i="27"/>
  <c r="P89" i="27"/>
  <c r="Q89" i="27"/>
  <c r="R89" i="27"/>
  <c r="S89" i="27"/>
  <c r="T89" i="27"/>
  <c r="U89" i="27"/>
  <c r="V89" i="27"/>
  <c r="W89" i="27"/>
  <c r="Y89" i="27"/>
  <c r="I90" i="27"/>
  <c r="J90" i="27"/>
  <c r="K90" i="27"/>
  <c r="L90" i="27"/>
  <c r="M90" i="27"/>
  <c r="N90" i="27"/>
  <c r="O90" i="27"/>
  <c r="P90" i="27"/>
  <c r="Q90" i="27"/>
  <c r="R90" i="27"/>
  <c r="S90" i="27"/>
  <c r="T90" i="27"/>
  <c r="U90" i="27"/>
  <c r="V90" i="27"/>
  <c r="W90" i="27"/>
  <c r="Y90" i="27"/>
  <c r="I91" i="27"/>
  <c r="J91" i="27"/>
  <c r="K91" i="27"/>
  <c r="L91" i="27"/>
  <c r="M91" i="27"/>
  <c r="N91" i="27"/>
  <c r="O91" i="27"/>
  <c r="P91" i="27"/>
  <c r="Q91" i="27"/>
  <c r="R91" i="27"/>
  <c r="S91" i="27"/>
  <c r="T91" i="27"/>
  <c r="U91" i="27"/>
  <c r="V91" i="27"/>
  <c r="W91" i="27"/>
  <c r="Y91" i="27"/>
  <c r="I92" i="27"/>
  <c r="J92" i="27"/>
  <c r="K92" i="27"/>
  <c r="L92" i="27"/>
  <c r="M92" i="27"/>
  <c r="N92" i="27"/>
  <c r="O92" i="27"/>
  <c r="P92" i="27"/>
  <c r="Q92" i="27"/>
  <c r="R92" i="27"/>
  <c r="S92" i="27"/>
  <c r="T92" i="27"/>
  <c r="U92" i="27"/>
  <c r="V92" i="27"/>
  <c r="W92" i="27"/>
  <c r="Y92" i="27"/>
  <c r="I93" i="27"/>
  <c r="J93" i="27"/>
  <c r="K93" i="27"/>
  <c r="L93" i="27"/>
  <c r="M93" i="27"/>
  <c r="N93" i="27"/>
  <c r="O93" i="27"/>
  <c r="P93" i="27"/>
  <c r="Q93" i="27"/>
  <c r="R93" i="27"/>
  <c r="S93" i="27"/>
  <c r="T93" i="27"/>
  <c r="U93" i="27"/>
  <c r="V93" i="27"/>
  <c r="W93" i="27"/>
  <c r="Y93" i="27"/>
  <c r="I94" i="27"/>
  <c r="J94" i="27"/>
  <c r="K94" i="27"/>
  <c r="L94" i="27"/>
  <c r="M94" i="27"/>
  <c r="N94" i="27"/>
  <c r="O94" i="27"/>
  <c r="P94" i="27"/>
  <c r="Q94" i="27"/>
  <c r="R94" i="27"/>
  <c r="S94" i="27"/>
  <c r="T94" i="27"/>
  <c r="U94" i="27"/>
  <c r="V94" i="27"/>
  <c r="W94" i="27"/>
  <c r="X78" i="27"/>
  <c r="X93" i="27"/>
  <c r="X73" i="27"/>
  <c r="X75" i="27"/>
  <c r="X67" i="27"/>
  <c r="X83" i="27"/>
  <c r="X89" i="27"/>
  <c r="X79" i="27"/>
  <c r="X88" i="27"/>
  <c r="X69" i="27"/>
  <c r="X74" i="27"/>
  <c r="X80" i="27"/>
  <c r="X94" i="27"/>
  <c r="X71" i="27"/>
  <c r="X70" i="27"/>
  <c r="X85" i="27"/>
  <c r="X86" i="27"/>
  <c r="X92" i="27"/>
  <c r="X90" i="27"/>
  <c r="X87" i="27"/>
  <c r="X91" i="27"/>
  <c r="X72" i="27"/>
  <c r="X64" i="27"/>
  <c r="X65" i="27"/>
  <c r="X66" i="27"/>
  <c r="X63" i="27"/>
  <c r="X68" i="27"/>
  <c r="X84" i="27"/>
  <c r="X81" i="27"/>
  <c r="X82" i="27"/>
  <c r="Y94" i="27" l="1"/>
  <c r="I95" i="27"/>
  <c r="J95" i="27"/>
  <c r="K95" i="27"/>
  <c r="L95" i="27"/>
  <c r="M95" i="27"/>
  <c r="N95" i="27"/>
  <c r="O95" i="27"/>
  <c r="P95" i="27"/>
  <c r="Q95" i="27"/>
  <c r="R95" i="27"/>
  <c r="S95" i="27"/>
  <c r="T95" i="27"/>
  <c r="U95" i="27"/>
  <c r="V95" i="27"/>
  <c r="W95" i="27"/>
  <c r="Y95" i="27"/>
  <c r="I96" i="27"/>
  <c r="J96" i="27"/>
  <c r="K96" i="27"/>
  <c r="L96" i="27"/>
  <c r="M96" i="27"/>
  <c r="N96" i="27"/>
  <c r="O96" i="27"/>
  <c r="P96" i="27"/>
  <c r="Q96" i="27"/>
  <c r="R96" i="27"/>
  <c r="S96" i="27"/>
  <c r="T96" i="27"/>
  <c r="U96" i="27"/>
  <c r="V96" i="27"/>
  <c r="W96" i="27"/>
  <c r="Y96" i="27"/>
  <c r="I97" i="27"/>
  <c r="J97" i="27"/>
  <c r="K97" i="27"/>
  <c r="L97" i="27"/>
  <c r="M97" i="27"/>
  <c r="N97" i="27"/>
  <c r="O97" i="27"/>
  <c r="P97" i="27"/>
  <c r="Q97" i="27"/>
  <c r="R97" i="27"/>
  <c r="S97" i="27"/>
  <c r="T97" i="27"/>
  <c r="U97" i="27"/>
  <c r="V97" i="27"/>
  <c r="W97" i="27"/>
  <c r="Y97" i="27"/>
  <c r="I98" i="27"/>
  <c r="J98" i="27"/>
  <c r="K98" i="27"/>
  <c r="L98" i="27"/>
  <c r="M98" i="27"/>
  <c r="N98" i="27"/>
  <c r="O98" i="27"/>
  <c r="P98" i="27"/>
  <c r="Q98" i="27"/>
  <c r="R98" i="27"/>
  <c r="S98" i="27"/>
  <c r="T98" i="27"/>
  <c r="U98" i="27"/>
  <c r="V98" i="27"/>
  <c r="W98" i="27"/>
  <c r="Y98" i="27"/>
  <c r="I99" i="27"/>
  <c r="J99" i="27"/>
  <c r="K99" i="27"/>
  <c r="L99" i="27"/>
  <c r="M99" i="27"/>
  <c r="N99" i="27"/>
  <c r="O99" i="27"/>
  <c r="P99" i="27"/>
  <c r="Q99" i="27"/>
  <c r="R99" i="27"/>
  <c r="S99" i="27"/>
  <c r="T99" i="27"/>
  <c r="U99" i="27"/>
  <c r="V99" i="27"/>
  <c r="W99" i="27"/>
  <c r="Y99" i="27"/>
  <c r="I100" i="27"/>
  <c r="J100" i="27"/>
  <c r="K100" i="27"/>
  <c r="L100" i="27"/>
  <c r="M100" i="27"/>
  <c r="N100" i="27"/>
  <c r="O100" i="27"/>
  <c r="P100" i="27"/>
  <c r="Q100" i="27"/>
  <c r="R100" i="27"/>
  <c r="S100" i="27"/>
  <c r="T100" i="27"/>
  <c r="U100" i="27"/>
  <c r="V100" i="27"/>
  <c r="W100" i="27"/>
  <c r="Y100" i="27"/>
  <c r="I101" i="27"/>
  <c r="J101" i="27"/>
  <c r="K101" i="27"/>
  <c r="L101" i="27"/>
  <c r="M101" i="27"/>
  <c r="N101" i="27"/>
  <c r="O101" i="27"/>
  <c r="P101" i="27"/>
  <c r="Q101" i="27"/>
  <c r="R101" i="27"/>
  <c r="S101" i="27"/>
  <c r="T101" i="27"/>
  <c r="U101" i="27"/>
  <c r="V101" i="27"/>
  <c r="W101" i="27"/>
  <c r="Y101" i="27"/>
  <c r="I102" i="27"/>
  <c r="J102" i="27"/>
  <c r="K102" i="27"/>
  <c r="L102" i="27"/>
  <c r="M102" i="27"/>
  <c r="N102" i="27"/>
  <c r="O102" i="27"/>
  <c r="P102" i="27"/>
  <c r="Q102" i="27"/>
  <c r="R102" i="27"/>
  <c r="S102" i="27"/>
  <c r="T102" i="27"/>
  <c r="U102" i="27"/>
  <c r="V102" i="27"/>
  <c r="W102" i="27"/>
  <c r="Y102" i="27"/>
  <c r="I103" i="27"/>
  <c r="J103" i="27"/>
  <c r="K103" i="27"/>
  <c r="L103" i="27"/>
  <c r="M103" i="27"/>
  <c r="N103" i="27"/>
  <c r="O103" i="27"/>
  <c r="P103" i="27"/>
  <c r="Q103" i="27"/>
  <c r="R103" i="27"/>
  <c r="S103" i="27"/>
  <c r="T103" i="27"/>
  <c r="U103" i="27"/>
  <c r="V103" i="27"/>
  <c r="W103" i="27"/>
  <c r="Y103" i="27"/>
  <c r="I104" i="27"/>
  <c r="J104" i="27"/>
  <c r="K104" i="27"/>
  <c r="L104" i="27"/>
  <c r="M104" i="27"/>
  <c r="N104" i="27"/>
  <c r="O104" i="27"/>
  <c r="P104" i="27"/>
  <c r="Q104" i="27"/>
  <c r="R104" i="27"/>
  <c r="S104" i="27"/>
  <c r="T104" i="27"/>
  <c r="U104" i="27"/>
  <c r="V104" i="27"/>
  <c r="W104" i="27"/>
  <c r="Y104" i="27"/>
  <c r="I105" i="27"/>
  <c r="J105" i="27"/>
  <c r="K105" i="27"/>
  <c r="L105" i="27"/>
  <c r="M105" i="27"/>
  <c r="N105" i="27"/>
  <c r="O105" i="27"/>
  <c r="P105" i="27"/>
  <c r="Q105" i="27"/>
  <c r="R105" i="27"/>
  <c r="S105" i="27"/>
  <c r="T105" i="27"/>
  <c r="U105" i="27"/>
  <c r="V105" i="27"/>
  <c r="W105" i="27"/>
  <c r="X95" i="27"/>
  <c r="X101" i="27"/>
  <c r="X103" i="27"/>
  <c r="X102" i="27"/>
  <c r="X96" i="27"/>
  <c r="X104" i="27"/>
  <c r="X100" i="27"/>
  <c r="X97" i="27"/>
  <c r="X105" i="27"/>
  <c r="X99" i="27"/>
  <c r="X98" i="27"/>
  <c r="Y105" i="27" l="1"/>
  <c r="I106" i="27"/>
  <c r="J106" i="27"/>
  <c r="K106" i="27"/>
  <c r="L106" i="27"/>
  <c r="M106" i="27"/>
  <c r="N106" i="27"/>
  <c r="O106" i="27"/>
  <c r="P106" i="27"/>
  <c r="Q106" i="27"/>
  <c r="R106" i="27"/>
  <c r="S106" i="27"/>
  <c r="T106" i="27"/>
  <c r="U106" i="27"/>
  <c r="V106" i="27"/>
  <c r="W106" i="27"/>
  <c r="Y106" i="27"/>
  <c r="I108" i="27"/>
  <c r="J108" i="27"/>
  <c r="K108" i="27"/>
  <c r="L108" i="27"/>
  <c r="M108" i="27"/>
  <c r="N108" i="27"/>
  <c r="O108" i="27"/>
  <c r="P108" i="27"/>
  <c r="Q108" i="27"/>
  <c r="R108" i="27"/>
  <c r="S108" i="27"/>
  <c r="T108" i="27"/>
  <c r="U108" i="27"/>
  <c r="V108" i="27"/>
  <c r="W108" i="27"/>
  <c r="X106" i="27"/>
  <c r="X108" i="27"/>
  <c r="Y108" i="27" l="1"/>
  <c r="I109" i="27"/>
  <c r="J109" i="27"/>
  <c r="K109" i="27"/>
  <c r="L109" i="27"/>
  <c r="M109" i="27"/>
  <c r="N109" i="27"/>
  <c r="O109" i="27"/>
  <c r="P109" i="27"/>
  <c r="Q109" i="27"/>
  <c r="R109" i="27"/>
  <c r="S109" i="27"/>
  <c r="T109" i="27"/>
  <c r="U109" i="27"/>
  <c r="V109" i="27"/>
  <c r="W109" i="27"/>
  <c r="Y109" i="27"/>
  <c r="I110" i="27"/>
  <c r="J110" i="27"/>
  <c r="K110" i="27"/>
  <c r="L110" i="27"/>
  <c r="M110" i="27"/>
  <c r="N110" i="27"/>
  <c r="O110" i="27"/>
  <c r="P110" i="27"/>
  <c r="Q110" i="27"/>
  <c r="R110" i="27"/>
  <c r="S110" i="27"/>
  <c r="T110" i="27"/>
  <c r="U110" i="27"/>
  <c r="V110" i="27"/>
  <c r="W110" i="27"/>
  <c r="Y110" i="27"/>
  <c r="I111" i="27"/>
  <c r="J111" i="27"/>
  <c r="K111" i="27"/>
  <c r="L111" i="27"/>
  <c r="M111" i="27"/>
  <c r="N111" i="27"/>
  <c r="O111" i="27"/>
  <c r="P111" i="27"/>
  <c r="Q111" i="27"/>
  <c r="R111" i="27"/>
  <c r="S111" i="27"/>
  <c r="T111" i="27"/>
  <c r="U111" i="27"/>
  <c r="V111" i="27"/>
  <c r="W111" i="27"/>
  <c r="Y111" i="27"/>
  <c r="I112" i="27"/>
  <c r="J112" i="27"/>
  <c r="K112" i="27"/>
  <c r="L112" i="27"/>
  <c r="M112" i="27"/>
  <c r="N112" i="27"/>
  <c r="O112" i="27"/>
  <c r="P112" i="27"/>
  <c r="Q112" i="27"/>
  <c r="R112" i="27"/>
  <c r="S112" i="27"/>
  <c r="T112" i="27"/>
  <c r="U112" i="27"/>
  <c r="V112" i="27"/>
  <c r="W112" i="27"/>
  <c r="Y112" i="27"/>
  <c r="I113" i="27"/>
  <c r="J113" i="27"/>
  <c r="K113" i="27"/>
  <c r="L113" i="27"/>
  <c r="M113" i="27"/>
  <c r="N113" i="27"/>
  <c r="O113" i="27"/>
  <c r="P113" i="27"/>
  <c r="Q113" i="27"/>
  <c r="R113" i="27"/>
  <c r="S113" i="27"/>
  <c r="T113" i="27"/>
  <c r="U113" i="27"/>
  <c r="V113" i="27"/>
  <c r="W113" i="27"/>
  <c r="Y113" i="27"/>
  <c r="I114" i="27"/>
  <c r="J114" i="27"/>
  <c r="K114" i="27"/>
  <c r="L114" i="27"/>
  <c r="M114" i="27"/>
  <c r="N114" i="27"/>
  <c r="O114" i="27"/>
  <c r="P114" i="27"/>
  <c r="Q114" i="27"/>
  <c r="R114" i="27"/>
  <c r="S114" i="27"/>
  <c r="T114" i="27"/>
  <c r="U114" i="27"/>
  <c r="V114" i="27"/>
  <c r="W114" i="27"/>
  <c r="Y114" i="27"/>
  <c r="I116" i="27"/>
  <c r="J116" i="27"/>
  <c r="K116" i="27"/>
  <c r="L116" i="27"/>
  <c r="M116" i="27"/>
  <c r="N116" i="27"/>
  <c r="O116" i="27"/>
  <c r="P116" i="27"/>
  <c r="Q116" i="27"/>
  <c r="R116" i="27"/>
  <c r="S116" i="27"/>
  <c r="T116" i="27"/>
  <c r="U116" i="27"/>
  <c r="V116" i="27"/>
  <c r="W116" i="27"/>
  <c r="Y116" i="27"/>
  <c r="I117" i="27"/>
  <c r="J117" i="27"/>
  <c r="K117" i="27"/>
  <c r="L117" i="27"/>
  <c r="M117" i="27"/>
  <c r="N117" i="27"/>
  <c r="O117" i="27"/>
  <c r="P117" i="27"/>
  <c r="Q117" i="27"/>
  <c r="R117" i="27"/>
  <c r="S117" i="27"/>
  <c r="T117" i="27"/>
  <c r="U117" i="27"/>
  <c r="V117" i="27"/>
  <c r="W117" i="27"/>
  <c r="Y117" i="27"/>
  <c r="I119" i="27"/>
  <c r="J119" i="27"/>
  <c r="K119" i="27"/>
  <c r="L119" i="27"/>
  <c r="M119" i="27"/>
  <c r="N119" i="27"/>
  <c r="O119" i="27"/>
  <c r="P119" i="27"/>
  <c r="Q119" i="27"/>
  <c r="R119" i="27"/>
  <c r="S119" i="27"/>
  <c r="T119" i="27"/>
  <c r="U119" i="27"/>
  <c r="V119" i="27"/>
  <c r="W119" i="27"/>
  <c r="Y119" i="27"/>
  <c r="I120" i="27"/>
  <c r="J120" i="27"/>
  <c r="K120" i="27"/>
  <c r="L120" i="27"/>
  <c r="M120" i="27"/>
  <c r="N120" i="27"/>
  <c r="O120" i="27"/>
  <c r="P120" i="27"/>
  <c r="Q120" i="27"/>
  <c r="R120" i="27"/>
  <c r="S120" i="27"/>
  <c r="T120" i="27"/>
  <c r="U120" i="27"/>
  <c r="V120" i="27"/>
  <c r="W120" i="27"/>
  <c r="Y120" i="27"/>
  <c r="I121" i="27"/>
  <c r="J121" i="27"/>
  <c r="K121" i="27"/>
  <c r="L121" i="27"/>
  <c r="M121" i="27"/>
  <c r="N121" i="27"/>
  <c r="O121" i="27"/>
  <c r="P121" i="27"/>
  <c r="Q121" i="27"/>
  <c r="R121" i="27"/>
  <c r="S121" i="27"/>
  <c r="T121" i="27"/>
  <c r="U121" i="27"/>
  <c r="V121" i="27"/>
  <c r="W121" i="27"/>
  <c r="X109" i="27"/>
  <c r="X120" i="27"/>
  <c r="X121" i="27"/>
  <c r="X114" i="27"/>
  <c r="X113" i="27"/>
  <c r="X116" i="27"/>
  <c r="X119" i="27"/>
  <c r="X117" i="27"/>
  <c r="X111" i="27"/>
  <c r="X110" i="27"/>
  <c r="X112" i="27"/>
  <c r="Y121" i="27" l="1"/>
  <c r="I122" i="27"/>
  <c r="J122" i="27"/>
  <c r="K122" i="27"/>
  <c r="L122" i="27"/>
  <c r="M122" i="27"/>
  <c r="N122" i="27"/>
  <c r="O122" i="27"/>
  <c r="P122" i="27"/>
  <c r="Q122" i="27"/>
  <c r="R122" i="27"/>
  <c r="S122" i="27"/>
  <c r="T122" i="27"/>
  <c r="U122" i="27"/>
  <c r="V122" i="27"/>
  <c r="W122" i="27"/>
  <c r="Y122" i="27"/>
  <c r="I123" i="27"/>
  <c r="J123" i="27"/>
  <c r="K123" i="27"/>
  <c r="L123" i="27"/>
  <c r="M123" i="27"/>
  <c r="N123" i="27"/>
  <c r="O123" i="27"/>
  <c r="P123" i="27"/>
  <c r="Q123" i="27"/>
  <c r="R123" i="27"/>
  <c r="S123" i="27"/>
  <c r="T123" i="27"/>
  <c r="U123" i="27"/>
  <c r="V123" i="27"/>
  <c r="W123" i="27"/>
  <c r="Y123" i="27"/>
  <c r="I124" i="27"/>
  <c r="J124" i="27"/>
  <c r="K124" i="27"/>
  <c r="L124" i="27"/>
  <c r="M124" i="27"/>
  <c r="N124" i="27"/>
  <c r="O124" i="27"/>
  <c r="P124" i="27"/>
  <c r="Q124" i="27"/>
  <c r="R124" i="27"/>
  <c r="S124" i="27"/>
  <c r="T124" i="27"/>
  <c r="U124" i="27"/>
  <c r="V124" i="27"/>
  <c r="W124" i="27"/>
  <c r="Y124" i="27"/>
  <c r="I125" i="27"/>
  <c r="J125" i="27"/>
  <c r="K125" i="27"/>
  <c r="L125" i="27"/>
  <c r="M125" i="27"/>
  <c r="N125" i="27"/>
  <c r="O125" i="27"/>
  <c r="P125" i="27"/>
  <c r="Q125" i="27"/>
  <c r="R125" i="27"/>
  <c r="S125" i="27"/>
  <c r="T125" i="27"/>
  <c r="U125" i="27"/>
  <c r="V125" i="27"/>
  <c r="W125" i="27"/>
  <c r="X124" i="27"/>
  <c r="X122" i="27"/>
  <c r="X123" i="27"/>
  <c r="X125" i="27"/>
  <c r="Y125" i="27" l="1"/>
  <c r="I126" i="27"/>
  <c r="J126" i="27"/>
  <c r="K126" i="27"/>
  <c r="L126" i="27"/>
  <c r="M126" i="27"/>
  <c r="N126" i="27"/>
  <c r="O126" i="27"/>
  <c r="P126" i="27"/>
  <c r="Q126" i="27"/>
  <c r="R126" i="27"/>
  <c r="S126" i="27"/>
  <c r="T126" i="27"/>
  <c r="U126" i="27"/>
  <c r="V126" i="27"/>
  <c r="W126" i="27"/>
  <c r="Y126" i="27"/>
  <c r="I127" i="27"/>
  <c r="J127" i="27"/>
  <c r="K127" i="27"/>
  <c r="L127" i="27"/>
  <c r="M127" i="27"/>
  <c r="N127" i="27"/>
  <c r="O127" i="27"/>
  <c r="P127" i="27"/>
  <c r="Q127" i="27"/>
  <c r="R127" i="27"/>
  <c r="S127" i="27"/>
  <c r="T127" i="27"/>
  <c r="U127" i="27"/>
  <c r="V127" i="27"/>
  <c r="W127" i="27"/>
  <c r="Y127" i="27"/>
  <c r="I128" i="27"/>
  <c r="J128" i="27"/>
  <c r="K128" i="27"/>
  <c r="L128" i="27"/>
  <c r="M128" i="27"/>
  <c r="N128" i="27"/>
  <c r="O128" i="27"/>
  <c r="P128" i="27"/>
  <c r="Q128" i="27"/>
  <c r="R128" i="27"/>
  <c r="S128" i="27"/>
  <c r="T128" i="27"/>
  <c r="U128" i="27"/>
  <c r="V128" i="27"/>
  <c r="W128" i="27"/>
  <c r="Y128" i="27"/>
  <c r="I129" i="27"/>
  <c r="J129" i="27"/>
  <c r="K129" i="27"/>
  <c r="L129" i="27"/>
  <c r="M129" i="27"/>
  <c r="N129" i="27"/>
  <c r="O129" i="27"/>
  <c r="P129" i="27"/>
  <c r="Q129" i="27"/>
  <c r="R129" i="27"/>
  <c r="S129" i="27"/>
  <c r="T129" i="27"/>
  <c r="U129" i="27"/>
  <c r="V129" i="27"/>
  <c r="W129" i="27"/>
  <c r="Y129" i="27"/>
  <c r="I130" i="27"/>
  <c r="J130" i="27"/>
  <c r="K130" i="27"/>
  <c r="L130" i="27"/>
  <c r="M130" i="27"/>
  <c r="N130" i="27"/>
  <c r="O130" i="27"/>
  <c r="P130" i="27"/>
  <c r="Q130" i="27"/>
  <c r="R130" i="27"/>
  <c r="S130" i="27"/>
  <c r="T130" i="27"/>
  <c r="U130" i="27"/>
  <c r="V130" i="27"/>
  <c r="W130" i="27"/>
  <c r="Y130" i="27"/>
  <c r="I131" i="27"/>
  <c r="J131" i="27"/>
  <c r="K131" i="27"/>
  <c r="L131" i="27"/>
  <c r="M131" i="27"/>
  <c r="N131" i="27"/>
  <c r="O131" i="27"/>
  <c r="P131" i="27"/>
  <c r="Q131" i="27"/>
  <c r="R131" i="27"/>
  <c r="S131" i="27"/>
  <c r="T131" i="27"/>
  <c r="U131" i="27"/>
  <c r="V131" i="27"/>
  <c r="W131" i="27"/>
  <c r="Y131" i="27"/>
  <c r="I132" i="27"/>
  <c r="J132" i="27"/>
  <c r="K132" i="27"/>
  <c r="L132" i="27"/>
  <c r="M132" i="27"/>
  <c r="N132" i="27"/>
  <c r="O132" i="27"/>
  <c r="P132" i="27"/>
  <c r="Q132" i="27"/>
  <c r="R132" i="27"/>
  <c r="S132" i="27"/>
  <c r="T132" i="27"/>
  <c r="U132" i="27"/>
  <c r="V132" i="27"/>
  <c r="W132" i="27"/>
  <c r="Y132" i="27"/>
  <c r="I133" i="27"/>
  <c r="J133" i="27"/>
  <c r="K133" i="27"/>
  <c r="L133" i="27"/>
  <c r="M133" i="27"/>
  <c r="N133" i="27"/>
  <c r="O133" i="27"/>
  <c r="P133" i="27"/>
  <c r="Q133" i="27"/>
  <c r="R133" i="27"/>
  <c r="S133" i="27"/>
  <c r="T133" i="27"/>
  <c r="U133" i="27"/>
  <c r="V133" i="27"/>
  <c r="W133" i="27"/>
  <c r="Y133" i="27"/>
  <c r="I134" i="27"/>
  <c r="J134" i="27"/>
  <c r="K134" i="27"/>
  <c r="L134" i="27"/>
  <c r="M134" i="27"/>
  <c r="N134" i="27"/>
  <c r="O134" i="27"/>
  <c r="P134" i="27"/>
  <c r="Q134" i="27"/>
  <c r="R134" i="27"/>
  <c r="S134" i="27"/>
  <c r="T134" i="27"/>
  <c r="U134" i="27"/>
  <c r="V134" i="27"/>
  <c r="W134" i="27"/>
  <c r="Y134" i="27"/>
  <c r="I135" i="27"/>
  <c r="J135" i="27"/>
  <c r="K135" i="27"/>
  <c r="L135" i="27"/>
  <c r="M135" i="27"/>
  <c r="N135" i="27"/>
  <c r="O135" i="27"/>
  <c r="P135" i="27"/>
  <c r="Q135" i="27"/>
  <c r="R135" i="27"/>
  <c r="S135" i="27"/>
  <c r="T135" i="27"/>
  <c r="U135" i="27"/>
  <c r="V135" i="27"/>
  <c r="W135" i="27"/>
  <c r="Y135" i="27"/>
  <c r="I136" i="27"/>
  <c r="J136" i="27"/>
  <c r="K136" i="27"/>
  <c r="L136" i="27"/>
  <c r="M136" i="27"/>
  <c r="N136" i="27"/>
  <c r="O136" i="27"/>
  <c r="P136" i="27"/>
  <c r="Q136" i="27"/>
  <c r="R136" i="27"/>
  <c r="S136" i="27"/>
  <c r="T136" i="27"/>
  <c r="U136" i="27"/>
  <c r="V136" i="27"/>
  <c r="W136" i="27"/>
  <c r="Y136" i="27"/>
  <c r="I137" i="27"/>
  <c r="J137" i="27"/>
  <c r="K137" i="27"/>
  <c r="L137" i="27"/>
  <c r="M137" i="27"/>
  <c r="N137" i="27"/>
  <c r="O137" i="27"/>
  <c r="P137" i="27"/>
  <c r="Q137" i="27"/>
  <c r="R137" i="27"/>
  <c r="S137" i="27"/>
  <c r="T137" i="27"/>
  <c r="U137" i="27"/>
  <c r="V137" i="27"/>
  <c r="W137" i="27"/>
  <c r="Y137" i="27"/>
  <c r="I138" i="27"/>
  <c r="J138" i="27"/>
  <c r="K138" i="27"/>
  <c r="L138" i="27"/>
  <c r="M138" i="27"/>
  <c r="N138" i="27"/>
  <c r="O138" i="27"/>
  <c r="P138" i="27"/>
  <c r="Q138" i="27"/>
  <c r="R138" i="27"/>
  <c r="S138" i="27"/>
  <c r="T138" i="27"/>
  <c r="U138" i="27"/>
  <c r="V138" i="27"/>
  <c r="W138" i="27"/>
  <c r="Y138" i="27"/>
  <c r="I139" i="27"/>
  <c r="J139" i="27"/>
  <c r="K139" i="27"/>
  <c r="L139" i="27"/>
  <c r="M139" i="27"/>
  <c r="N139" i="27"/>
  <c r="O139" i="27"/>
  <c r="P139" i="27"/>
  <c r="Q139" i="27"/>
  <c r="R139" i="27"/>
  <c r="S139" i="27"/>
  <c r="T139" i="27"/>
  <c r="U139" i="27"/>
  <c r="V139" i="27"/>
  <c r="W139" i="27"/>
  <c r="Y139" i="27"/>
  <c r="I140" i="27"/>
  <c r="J140" i="27"/>
  <c r="K140" i="27"/>
  <c r="L140" i="27"/>
  <c r="M140" i="27"/>
  <c r="N140" i="27"/>
  <c r="O140" i="27"/>
  <c r="P140" i="27"/>
  <c r="Q140" i="27"/>
  <c r="R140" i="27"/>
  <c r="S140" i="27"/>
  <c r="T140" i="27"/>
  <c r="U140" i="27"/>
  <c r="V140" i="27"/>
  <c r="W140" i="27"/>
  <c r="Y140" i="27"/>
  <c r="I141" i="27"/>
  <c r="J141" i="27"/>
  <c r="K141" i="27"/>
  <c r="L141" i="27"/>
  <c r="M141" i="27"/>
  <c r="N141" i="27"/>
  <c r="O141" i="27"/>
  <c r="P141" i="27"/>
  <c r="Q141" i="27"/>
  <c r="R141" i="27"/>
  <c r="S141" i="27"/>
  <c r="T141" i="27"/>
  <c r="U141" i="27"/>
  <c r="V141" i="27"/>
  <c r="W141" i="27"/>
  <c r="Y141" i="27"/>
  <c r="I142" i="27"/>
  <c r="J142" i="27"/>
  <c r="K142" i="27"/>
  <c r="L142" i="27"/>
  <c r="M142" i="27"/>
  <c r="N142" i="27"/>
  <c r="O142" i="27"/>
  <c r="P142" i="27"/>
  <c r="Q142" i="27"/>
  <c r="R142" i="27"/>
  <c r="S142" i="27"/>
  <c r="T142" i="27"/>
  <c r="U142" i="27"/>
  <c r="V142" i="27"/>
  <c r="W142" i="27"/>
  <c r="Y142" i="27"/>
  <c r="I143" i="27"/>
  <c r="J143" i="27"/>
  <c r="K143" i="27"/>
  <c r="L143" i="27"/>
  <c r="M143" i="27"/>
  <c r="N143" i="27"/>
  <c r="O143" i="27"/>
  <c r="P143" i="27"/>
  <c r="Q143" i="27"/>
  <c r="R143" i="27"/>
  <c r="S143" i="27"/>
  <c r="T143" i="27"/>
  <c r="U143" i="27"/>
  <c r="V143" i="27"/>
  <c r="W143" i="27"/>
  <c r="Y143" i="27"/>
  <c r="I144" i="27"/>
  <c r="J144" i="27"/>
  <c r="K144" i="27"/>
  <c r="L144" i="27"/>
  <c r="M144" i="27"/>
  <c r="N144" i="27"/>
  <c r="O144" i="27"/>
  <c r="P144" i="27"/>
  <c r="Q144" i="27"/>
  <c r="R144" i="27"/>
  <c r="S144" i="27"/>
  <c r="T144" i="27"/>
  <c r="U144" i="27"/>
  <c r="V144" i="27"/>
  <c r="W144" i="27"/>
  <c r="Y144" i="27"/>
  <c r="I145" i="27"/>
  <c r="J145" i="27"/>
  <c r="K145" i="27"/>
  <c r="L145" i="27"/>
  <c r="M145" i="27"/>
  <c r="N145" i="27"/>
  <c r="O145" i="27"/>
  <c r="P145" i="27"/>
  <c r="Q145" i="27"/>
  <c r="R145" i="27"/>
  <c r="S145" i="27"/>
  <c r="T145" i="27"/>
  <c r="U145" i="27"/>
  <c r="V145" i="27"/>
  <c r="W145" i="27"/>
  <c r="Y145" i="27"/>
  <c r="I146" i="27"/>
  <c r="J146" i="27"/>
  <c r="K146" i="27"/>
  <c r="L146" i="27"/>
  <c r="M146" i="27"/>
  <c r="N146" i="27"/>
  <c r="O146" i="27"/>
  <c r="P146" i="27"/>
  <c r="Q146" i="27"/>
  <c r="R146" i="27"/>
  <c r="S146" i="27"/>
  <c r="T146" i="27"/>
  <c r="U146" i="27"/>
  <c r="V146" i="27"/>
  <c r="W146" i="27"/>
  <c r="Y146" i="27"/>
  <c r="I147" i="27"/>
  <c r="J147" i="27"/>
  <c r="K147" i="27"/>
  <c r="L147" i="27"/>
  <c r="M147" i="27"/>
  <c r="N147" i="27"/>
  <c r="O147" i="27"/>
  <c r="P147" i="27"/>
  <c r="Q147" i="27"/>
  <c r="R147" i="27"/>
  <c r="S147" i="27"/>
  <c r="T147" i="27"/>
  <c r="U147" i="27"/>
  <c r="V147" i="27"/>
  <c r="W147" i="27"/>
  <c r="Y147" i="27"/>
  <c r="I148" i="27"/>
  <c r="J148" i="27"/>
  <c r="K148" i="27"/>
  <c r="L148" i="27"/>
  <c r="M148" i="27"/>
  <c r="N148" i="27"/>
  <c r="O148" i="27"/>
  <c r="P148" i="27"/>
  <c r="Q148" i="27"/>
  <c r="R148" i="27"/>
  <c r="S148" i="27"/>
  <c r="T148" i="27"/>
  <c r="U148" i="27"/>
  <c r="V148" i="27"/>
  <c r="W148" i="27"/>
  <c r="Y148" i="27"/>
  <c r="I149" i="27"/>
  <c r="J149" i="27"/>
  <c r="K149" i="27"/>
  <c r="L149" i="27"/>
  <c r="M149" i="27"/>
  <c r="N149" i="27"/>
  <c r="O149" i="27"/>
  <c r="P149" i="27"/>
  <c r="Q149" i="27"/>
  <c r="R149" i="27"/>
  <c r="S149" i="27"/>
  <c r="T149" i="27"/>
  <c r="U149" i="27"/>
  <c r="V149" i="27"/>
  <c r="W149" i="27"/>
  <c r="Y149" i="27"/>
  <c r="I150" i="27"/>
  <c r="J150" i="27"/>
  <c r="K150" i="27"/>
  <c r="L150" i="27"/>
  <c r="M150" i="27"/>
  <c r="N150" i="27"/>
  <c r="O150" i="27"/>
  <c r="P150" i="27"/>
  <c r="Q150" i="27"/>
  <c r="R150" i="27"/>
  <c r="S150" i="27"/>
  <c r="T150" i="27"/>
  <c r="U150" i="27"/>
  <c r="V150" i="27"/>
  <c r="W150" i="27"/>
  <c r="Y150" i="27"/>
  <c r="I151" i="27"/>
  <c r="J151" i="27"/>
  <c r="K151" i="27"/>
  <c r="L151" i="27"/>
  <c r="M151" i="27"/>
  <c r="N151" i="27"/>
  <c r="O151" i="27"/>
  <c r="P151" i="27"/>
  <c r="Q151" i="27"/>
  <c r="R151" i="27"/>
  <c r="S151" i="27"/>
  <c r="T151" i="27"/>
  <c r="U151" i="27"/>
  <c r="V151" i="27"/>
  <c r="W151" i="27"/>
  <c r="Y151" i="27"/>
  <c r="I152" i="27"/>
  <c r="J152" i="27"/>
  <c r="K152" i="27"/>
  <c r="L152" i="27"/>
  <c r="M152" i="27"/>
  <c r="N152" i="27"/>
  <c r="O152" i="27"/>
  <c r="P152" i="27"/>
  <c r="Q152" i="27"/>
  <c r="R152" i="27"/>
  <c r="S152" i="27"/>
  <c r="T152" i="27"/>
  <c r="U152" i="27"/>
  <c r="V152" i="27"/>
  <c r="W152" i="27"/>
  <c r="Y152" i="27"/>
  <c r="I153" i="27"/>
  <c r="J153" i="27"/>
  <c r="K153" i="27"/>
  <c r="L153" i="27"/>
  <c r="M153" i="27"/>
  <c r="N153" i="27"/>
  <c r="O153" i="27"/>
  <c r="P153" i="27"/>
  <c r="Q153" i="27"/>
  <c r="R153" i="27"/>
  <c r="S153" i="27"/>
  <c r="T153" i="27"/>
  <c r="U153" i="27"/>
  <c r="V153" i="27"/>
  <c r="W153" i="27"/>
  <c r="Y153" i="27"/>
  <c r="I154" i="27"/>
  <c r="J154" i="27"/>
  <c r="K154" i="27"/>
  <c r="L154" i="27"/>
  <c r="M154" i="27"/>
  <c r="N154" i="27"/>
  <c r="O154" i="27"/>
  <c r="P154" i="27"/>
  <c r="Q154" i="27"/>
  <c r="R154" i="27"/>
  <c r="S154" i="27"/>
  <c r="T154" i="27"/>
  <c r="U154" i="27"/>
  <c r="V154" i="27"/>
  <c r="W154" i="27"/>
  <c r="Y154" i="27"/>
  <c r="I155" i="27"/>
  <c r="J155" i="27"/>
  <c r="K155" i="27"/>
  <c r="L155" i="27"/>
  <c r="M155" i="27"/>
  <c r="N155" i="27"/>
  <c r="O155" i="27"/>
  <c r="P155" i="27"/>
  <c r="Q155" i="27"/>
  <c r="R155" i="27"/>
  <c r="S155" i="27"/>
  <c r="T155" i="27"/>
  <c r="U155" i="27"/>
  <c r="V155" i="27"/>
  <c r="W155" i="27"/>
  <c r="Y155" i="27"/>
  <c r="I156" i="27"/>
  <c r="J156" i="27"/>
  <c r="K156" i="27"/>
  <c r="L156" i="27"/>
  <c r="M156" i="27"/>
  <c r="N156" i="27"/>
  <c r="O156" i="27"/>
  <c r="P156" i="27"/>
  <c r="Q156" i="27"/>
  <c r="R156" i="27"/>
  <c r="S156" i="27"/>
  <c r="T156" i="27"/>
  <c r="U156" i="27"/>
  <c r="V156" i="27"/>
  <c r="W156" i="27"/>
  <c r="Y156" i="27"/>
  <c r="I157" i="27"/>
  <c r="J157" i="27"/>
  <c r="K157" i="27"/>
  <c r="L157" i="27"/>
  <c r="M157" i="27"/>
  <c r="N157" i="27"/>
  <c r="O157" i="27"/>
  <c r="P157" i="27"/>
  <c r="Q157" i="27"/>
  <c r="R157" i="27"/>
  <c r="S157" i="27"/>
  <c r="T157" i="27"/>
  <c r="U157" i="27"/>
  <c r="V157" i="27"/>
  <c r="W157" i="27"/>
  <c r="Y157" i="27"/>
  <c r="I158" i="27"/>
  <c r="J158" i="27"/>
  <c r="K158" i="27"/>
  <c r="L158" i="27"/>
  <c r="M158" i="27"/>
  <c r="N158" i="27"/>
  <c r="O158" i="27"/>
  <c r="P158" i="27"/>
  <c r="Q158" i="27"/>
  <c r="R158" i="27"/>
  <c r="S158" i="27"/>
  <c r="T158" i="27"/>
  <c r="U158" i="27"/>
  <c r="V158" i="27"/>
  <c r="W158" i="27"/>
  <c r="Y158" i="27"/>
  <c r="I159" i="27"/>
  <c r="J159" i="27"/>
  <c r="K159" i="27"/>
  <c r="L159" i="27"/>
  <c r="M159" i="27"/>
  <c r="N159" i="27"/>
  <c r="O159" i="27"/>
  <c r="P159" i="27"/>
  <c r="Q159" i="27"/>
  <c r="R159" i="27"/>
  <c r="S159" i="27"/>
  <c r="T159" i="27"/>
  <c r="U159" i="27"/>
  <c r="V159" i="27"/>
  <c r="W159" i="27"/>
  <c r="Y159" i="27"/>
  <c r="I160" i="27"/>
  <c r="J160" i="27"/>
  <c r="K160" i="27"/>
  <c r="L160" i="27"/>
  <c r="M160" i="27"/>
  <c r="N160" i="27"/>
  <c r="O160" i="27"/>
  <c r="P160" i="27"/>
  <c r="Q160" i="27"/>
  <c r="R160" i="27"/>
  <c r="S160" i="27"/>
  <c r="T160" i="27"/>
  <c r="U160" i="27"/>
  <c r="V160" i="27"/>
  <c r="W160" i="27"/>
  <c r="Y160" i="27"/>
  <c r="I161" i="27"/>
  <c r="J161" i="27"/>
  <c r="K161" i="27"/>
  <c r="L161" i="27"/>
  <c r="M161" i="27"/>
  <c r="N161" i="27"/>
  <c r="O161" i="27"/>
  <c r="P161" i="27"/>
  <c r="Q161" i="27"/>
  <c r="R161" i="27"/>
  <c r="S161" i="27"/>
  <c r="T161" i="27"/>
  <c r="U161" i="27"/>
  <c r="V161" i="27"/>
  <c r="W161" i="27"/>
  <c r="Y161" i="27"/>
  <c r="I170" i="27"/>
  <c r="J170" i="27"/>
  <c r="K170" i="27"/>
  <c r="L170" i="27"/>
  <c r="M170" i="27"/>
  <c r="N170" i="27"/>
  <c r="O170" i="27"/>
  <c r="P170" i="27"/>
  <c r="Q170" i="27"/>
  <c r="R170" i="27"/>
  <c r="S170" i="27"/>
  <c r="T170" i="27"/>
  <c r="U170" i="27"/>
  <c r="V170" i="27"/>
  <c r="W170" i="27"/>
  <c r="Y170" i="27"/>
  <c r="I171" i="27"/>
  <c r="J171" i="27"/>
  <c r="K171" i="27"/>
  <c r="L171" i="27"/>
  <c r="M171" i="27"/>
  <c r="N171" i="27"/>
  <c r="O171" i="27"/>
  <c r="P171" i="27"/>
  <c r="Q171" i="27"/>
  <c r="R171" i="27"/>
  <c r="S171" i="27"/>
  <c r="T171" i="27"/>
  <c r="U171" i="27"/>
  <c r="V171" i="27"/>
  <c r="W171" i="27"/>
  <c r="Y171" i="27"/>
  <c r="I172" i="27"/>
  <c r="J172" i="27"/>
  <c r="K172" i="27"/>
  <c r="L172" i="27"/>
  <c r="M172" i="27"/>
  <c r="N172" i="27"/>
  <c r="O172" i="27"/>
  <c r="P172" i="27"/>
  <c r="Q172" i="27"/>
  <c r="R172" i="27"/>
  <c r="S172" i="27"/>
  <c r="T172" i="27"/>
  <c r="U172" i="27"/>
  <c r="V172" i="27"/>
  <c r="W172" i="27"/>
  <c r="Y172" i="27"/>
  <c r="I173" i="27"/>
  <c r="J173" i="27"/>
  <c r="K173" i="27"/>
  <c r="L173" i="27"/>
  <c r="M173" i="27"/>
  <c r="N173" i="27"/>
  <c r="O173" i="27"/>
  <c r="P173" i="27"/>
  <c r="Q173" i="27"/>
  <c r="R173" i="27"/>
  <c r="S173" i="27"/>
  <c r="T173" i="27"/>
  <c r="U173" i="27"/>
  <c r="V173" i="27"/>
  <c r="W173" i="27"/>
  <c r="Y173" i="27"/>
  <c r="I174" i="27"/>
  <c r="J174" i="27"/>
  <c r="K174" i="27"/>
  <c r="L174" i="27"/>
  <c r="M174" i="27"/>
  <c r="N174" i="27"/>
  <c r="O174" i="27"/>
  <c r="P174" i="27"/>
  <c r="Q174" i="27"/>
  <c r="R174" i="27"/>
  <c r="S174" i="27"/>
  <c r="T174" i="27"/>
  <c r="U174" i="27"/>
  <c r="V174" i="27"/>
  <c r="W174" i="27"/>
  <c r="Y174" i="27"/>
  <c r="I175" i="27"/>
  <c r="J175" i="27"/>
  <c r="K175" i="27"/>
  <c r="L175" i="27"/>
  <c r="M175" i="27"/>
  <c r="N175" i="27"/>
  <c r="O175" i="27"/>
  <c r="P175" i="27"/>
  <c r="Q175" i="27"/>
  <c r="R175" i="27"/>
  <c r="S175" i="27"/>
  <c r="T175" i="27"/>
  <c r="U175" i="27"/>
  <c r="V175" i="27"/>
  <c r="W175" i="27"/>
  <c r="Y175" i="27"/>
  <c r="I176" i="27"/>
  <c r="J176" i="27"/>
  <c r="K176" i="27"/>
  <c r="L176" i="27"/>
  <c r="M176" i="27"/>
  <c r="N176" i="27"/>
  <c r="O176" i="27"/>
  <c r="P176" i="27"/>
  <c r="Q176" i="27"/>
  <c r="R176" i="27"/>
  <c r="S176" i="27"/>
  <c r="T176" i="27"/>
  <c r="U176" i="27"/>
  <c r="V176" i="27"/>
  <c r="W176" i="27"/>
  <c r="Y176" i="27"/>
  <c r="I177" i="27"/>
  <c r="J177" i="27"/>
  <c r="K177" i="27"/>
  <c r="L177" i="27"/>
  <c r="M177" i="27"/>
  <c r="N177" i="27"/>
  <c r="O177" i="27"/>
  <c r="P177" i="27"/>
  <c r="Q177" i="27"/>
  <c r="R177" i="27"/>
  <c r="S177" i="27"/>
  <c r="T177" i="27"/>
  <c r="U177" i="27"/>
  <c r="V177" i="27"/>
  <c r="W177" i="27"/>
  <c r="Y177" i="27"/>
  <c r="I178" i="27"/>
  <c r="J178" i="27"/>
  <c r="K178" i="27"/>
  <c r="L178" i="27"/>
  <c r="M178" i="27"/>
  <c r="N178" i="27"/>
  <c r="O178" i="27"/>
  <c r="P178" i="27"/>
  <c r="Q178" i="27"/>
  <c r="R178" i="27"/>
  <c r="S178" i="27"/>
  <c r="T178" i="27"/>
  <c r="U178" i="27"/>
  <c r="V178" i="27"/>
  <c r="W178" i="27"/>
  <c r="Y178" i="27"/>
  <c r="I179" i="27"/>
  <c r="J179" i="27"/>
  <c r="K179" i="27"/>
  <c r="L179" i="27"/>
  <c r="M179" i="27"/>
  <c r="N179" i="27"/>
  <c r="O179" i="27"/>
  <c r="P179" i="27"/>
  <c r="Q179" i="27"/>
  <c r="R179" i="27"/>
  <c r="S179" i="27"/>
  <c r="T179" i="27"/>
  <c r="U179" i="27"/>
  <c r="V179" i="27"/>
  <c r="W179" i="27"/>
  <c r="Y179" i="27"/>
  <c r="I180" i="27"/>
  <c r="J180" i="27"/>
  <c r="K180" i="27"/>
  <c r="L180" i="27"/>
  <c r="M180" i="27"/>
  <c r="N180" i="27"/>
  <c r="O180" i="27"/>
  <c r="P180" i="27"/>
  <c r="Q180" i="27"/>
  <c r="R180" i="27"/>
  <c r="S180" i="27"/>
  <c r="T180" i="27"/>
  <c r="U180" i="27"/>
  <c r="V180" i="27"/>
  <c r="W180" i="27"/>
  <c r="Y180" i="27"/>
  <c r="I181" i="27"/>
  <c r="J181" i="27"/>
  <c r="K181" i="27"/>
  <c r="L181" i="27"/>
  <c r="M181" i="27"/>
  <c r="N181" i="27"/>
  <c r="O181" i="27"/>
  <c r="P181" i="27"/>
  <c r="Q181" i="27"/>
  <c r="R181" i="27"/>
  <c r="S181" i="27"/>
  <c r="T181" i="27"/>
  <c r="U181" i="27"/>
  <c r="V181" i="27"/>
  <c r="W181" i="27"/>
  <c r="Y181" i="27"/>
  <c r="I182" i="27"/>
  <c r="J182" i="27"/>
  <c r="K182" i="27"/>
  <c r="L182" i="27"/>
  <c r="M182" i="27"/>
  <c r="N182" i="27"/>
  <c r="O182" i="27"/>
  <c r="P182" i="27"/>
  <c r="Q182" i="27"/>
  <c r="R182" i="27"/>
  <c r="S182" i="27"/>
  <c r="T182" i="27"/>
  <c r="U182" i="27"/>
  <c r="V182" i="27"/>
  <c r="W182" i="27"/>
  <c r="Y182" i="27"/>
  <c r="I183" i="27"/>
  <c r="J183" i="27"/>
  <c r="K183" i="27"/>
  <c r="L183" i="27"/>
  <c r="M183" i="27"/>
  <c r="N183" i="27"/>
  <c r="O183" i="27"/>
  <c r="P183" i="27"/>
  <c r="Q183" i="27"/>
  <c r="R183" i="27"/>
  <c r="S183" i="27"/>
  <c r="T183" i="27"/>
  <c r="U183" i="27"/>
  <c r="V183" i="27"/>
  <c r="W183" i="27"/>
  <c r="Y183" i="27"/>
  <c r="I184" i="27"/>
  <c r="J184" i="27"/>
  <c r="K184" i="27"/>
  <c r="L184" i="27"/>
  <c r="M184" i="27"/>
  <c r="N184" i="27"/>
  <c r="O184" i="27"/>
  <c r="P184" i="27"/>
  <c r="Q184" i="27"/>
  <c r="R184" i="27"/>
  <c r="S184" i="27"/>
  <c r="T184" i="27"/>
  <c r="U184" i="27"/>
  <c r="V184" i="27"/>
  <c r="W184" i="27"/>
  <c r="Y184" i="27"/>
  <c r="I185" i="27"/>
  <c r="J185" i="27"/>
  <c r="K185" i="27"/>
  <c r="L185" i="27"/>
  <c r="M185" i="27"/>
  <c r="N185" i="27"/>
  <c r="O185" i="27"/>
  <c r="P185" i="27"/>
  <c r="Q185" i="27"/>
  <c r="R185" i="27"/>
  <c r="S185" i="27"/>
  <c r="T185" i="27"/>
  <c r="U185" i="27"/>
  <c r="V185" i="27"/>
  <c r="W185" i="27"/>
  <c r="Y185" i="27"/>
  <c r="I186" i="27"/>
  <c r="J186" i="27"/>
  <c r="K186" i="27"/>
  <c r="L186" i="27"/>
  <c r="M186" i="27"/>
  <c r="N186" i="27"/>
  <c r="O186" i="27"/>
  <c r="P186" i="27"/>
  <c r="Q186" i="27"/>
  <c r="R186" i="27"/>
  <c r="S186" i="27"/>
  <c r="T186" i="27"/>
  <c r="U186" i="27"/>
  <c r="V186" i="27"/>
  <c r="W186" i="27"/>
  <c r="Y186" i="27"/>
  <c r="I187" i="27"/>
  <c r="J187" i="27"/>
  <c r="K187" i="27"/>
  <c r="L187" i="27"/>
  <c r="M187" i="27"/>
  <c r="N187" i="27"/>
  <c r="O187" i="27"/>
  <c r="P187" i="27"/>
  <c r="Q187" i="27"/>
  <c r="R187" i="27"/>
  <c r="S187" i="27"/>
  <c r="T187" i="27"/>
  <c r="U187" i="27"/>
  <c r="V187" i="27"/>
  <c r="W187" i="27"/>
  <c r="Y187" i="27"/>
  <c r="I188" i="27"/>
  <c r="J188" i="27"/>
  <c r="K188" i="27"/>
  <c r="L188" i="27"/>
  <c r="M188" i="27"/>
  <c r="N188" i="27"/>
  <c r="O188" i="27"/>
  <c r="P188" i="27"/>
  <c r="Q188" i="27"/>
  <c r="R188" i="27"/>
  <c r="S188" i="27"/>
  <c r="T188" i="27"/>
  <c r="U188" i="27"/>
  <c r="V188" i="27"/>
  <c r="W188" i="27"/>
  <c r="Y188" i="27"/>
  <c r="I189" i="27"/>
  <c r="J189" i="27"/>
  <c r="K189" i="27"/>
  <c r="L189" i="27"/>
  <c r="M189" i="27"/>
  <c r="N189" i="27"/>
  <c r="O189" i="27"/>
  <c r="P189" i="27"/>
  <c r="Q189" i="27"/>
  <c r="R189" i="27"/>
  <c r="S189" i="27"/>
  <c r="T189" i="27"/>
  <c r="U189" i="27"/>
  <c r="V189" i="27"/>
  <c r="W189" i="27"/>
  <c r="Y189" i="27"/>
  <c r="I190" i="27"/>
  <c r="J190" i="27"/>
  <c r="K190" i="27"/>
  <c r="L190" i="27"/>
  <c r="M190" i="27"/>
  <c r="N190" i="27"/>
  <c r="O190" i="27"/>
  <c r="P190" i="27"/>
  <c r="Q190" i="27"/>
  <c r="R190" i="27"/>
  <c r="S190" i="27"/>
  <c r="T190" i="27"/>
  <c r="U190" i="27"/>
  <c r="V190" i="27"/>
  <c r="W190" i="27"/>
  <c r="Y190" i="27"/>
  <c r="I191" i="27"/>
  <c r="J191" i="27"/>
  <c r="K191" i="27"/>
  <c r="L191" i="27"/>
  <c r="M191" i="27"/>
  <c r="N191" i="27"/>
  <c r="O191" i="27"/>
  <c r="P191" i="27"/>
  <c r="Q191" i="27"/>
  <c r="R191" i="27"/>
  <c r="S191" i="27"/>
  <c r="T191" i="27"/>
  <c r="U191" i="27"/>
  <c r="V191" i="27"/>
  <c r="W191" i="27"/>
  <c r="Y191" i="27"/>
  <c r="I192" i="27"/>
  <c r="J192" i="27"/>
  <c r="K192" i="27"/>
  <c r="L192" i="27"/>
  <c r="M192" i="27"/>
  <c r="N192" i="27"/>
  <c r="O192" i="27"/>
  <c r="P192" i="27"/>
  <c r="Q192" i="27"/>
  <c r="R192" i="27"/>
  <c r="S192" i="27"/>
  <c r="T192" i="27"/>
  <c r="U192" i="27"/>
  <c r="V192" i="27"/>
  <c r="W192" i="27"/>
  <c r="Y192" i="27"/>
  <c r="I193" i="27"/>
  <c r="J193" i="27"/>
  <c r="K193" i="27"/>
  <c r="L193" i="27"/>
  <c r="M193" i="27"/>
  <c r="N193" i="27"/>
  <c r="O193" i="27"/>
  <c r="P193" i="27"/>
  <c r="Q193" i="27"/>
  <c r="R193" i="27"/>
  <c r="S193" i="27"/>
  <c r="T193" i="27"/>
  <c r="U193" i="27"/>
  <c r="V193" i="27"/>
  <c r="W193" i="27"/>
  <c r="Y193" i="27"/>
  <c r="I194" i="27"/>
  <c r="J194" i="27"/>
  <c r="K194" i="27"/>
  <c r="L194" i="27"/>
  <c r="M194" i="27"/>
  <c r="N194" i="27"/>
  <c r="O194" i="27"/>
  <c r="P194" i="27"/>
  <c r="Q194" i="27"/>
  <c r="R194" i="27"/>
  <c r="S194" i="27"/>
  <c r="T194" i="27"/>
  <c r="U194" i="27"/>
  <c r="V194" i="27"/>
  <c r="W194" i="27"/>
  <c r="Y194" i="27"/>
  <c r="I195" i="27"/>
  <c r="J195" i="27"/>
  <c r="K195" i="27"/>
  <c r="L195" i="27"/>
  <c r="M195" i="27"/>
  <c r="N195" i="27"/>
  <c r="O195" i="27"/>
  <c r="P195" i="27"/>
  <c r="Q195" i="27"/>
  <c r="R195" i="27"/>
  <c r="S195" i="27"/>
  <c r="T195" i="27"/>
  <c r="U195" i="27"/>
  <c r="V195" i="27"/>
  <c r="W195" i="27"/>
  <c r="Y195" i="27"/>
  <c r="I196" i="27"/>
  <c r="J196" i="27"/>
  <c r="K196" i="27"/>
  <c r="L196" i="27"/>
  <c r="M196" i="27"/>
  <c r="N196" i="27"/>
  <c r="O196" i="27"/>
  <c r="P196" i="27"/>
  <c r="Q196" i="27"/>
  <c r="R196" i="27"/>
  <c r="S196" i="27"/>
  <c r="T196" i="27"/>
  <c r="U196" i="27"/>
  <c r="V196" i="27"/>
  <c r="W196" i="27"/>
  <c r="Y196" i="27"/>
  <c r="I197" i="27"/>
  <c r="J197" i="27"/>
  <c r="K197" i="27"/>
  <c r="L197" i="27"/>
  <c r="M197" i="27"/>
  <c r="N197" i="27"/>
  <c r="O197" i="27"/>
  <c r="P197" i="27"/>
  <c r="Q197" i="27"/>
  <c r="R197" i="27"/>
  <c r="S197" i="27"/>
  <c r="T197" i="27"/>
  <c r="U197" i="27"/>
  <c r="V197" i="27"/>
  <c r="W197" i="27"/>
  <c r="Y197" i="27"/>
  <c r="I198" i="27"/>
  <c r="J198" i="27"/>
  <c r="K198" i="27"/>
  <c r="L198" i="27"/>
  <c r="M198" i="27"/>
  <c r="N198" i="27"/>
  <c r="O198" i="27"/>
  <c r="P198" i="27"/>
  <c r="Q198" i="27"/>
  <c r="R198" i="27"/>
  <c r="S198" i="27"/>
  <c r="T198" i="27"/>
  <c r="U198" i="27"/>
  <c r="V198" i="27"/>
  <c r="W198" i="27"/>
  <c r="Y198" i="27"/>
  <c r="I199" i="27"/>
  <c r="J199" i="27"/>
  <c r="K199" i="27"/>
  <c r="L199" i="27"/>
  <c r="M199" i="27"/>
  <c r="N199" i="27"/>
  <c r="O199" i="27"/>
  <c r="P199" i="27"/>
  <c r="Q199" i="27"/>
  <c r="R199" i="27"/>
  <c r="S199" i="27"/>
  <c r="T199" i="27"/>
  <c r="U199" i="27"/>
  <c r="V199" i="27"/>
  <c r="W199" i="27"/>
  <c r="Y199" i="27"/>
  <c r="I201" i="27"/>
  <c r="J201" i="27"/>
  <c r="K201" i="27"/>
  <c r="L201" i="27"/>
  <c r="M201" i="27"/>
  <c r="N201" i="27"/>
  <c r="O201" i="27"/>
  <c r="P201" i="27"/>
  <c r="Q201" i="27"/>
  <c r="R201" i="27"/>
  <c r="S201" i="27"/>
  <c r="T201" i="27"/>
  <c r="U201" i="27"/>
  <c r="V201" i="27"/>
  <c r="W201" i="27"/>
  <c r="Y201" i="27"/>
  <c r="I202" i="27"/>
  <c r="J202" i="27"/>
  <c r="K202" i="27"/>
  <c r="L202" i="27"/>
  <c r="M202" i="27"/>
  <c r="N202" i="27"/>
  <c r="O202" i="27"/>
  <c r="P202" i="27"/>
  <c r="Q202" i="27"/>
  <c r="R202" i="27"/>
  <c r="S202" i="27"/>
  <c r="T202" i="27"/>
  <c r="U202" i="27"/>
  <c r="V202" i="27"/>
  <c r="W202" i="27"/>
  <c r="Y202" i="27"/>
  <c r="I203" i="27"/>
  <c r="J203" i="27"/>
  <c r="K203" i="27"/>
  <c r="L203" i="27"/>
  <c r="M203" i="27"/>
  <c r="N203" i="27"/>
  <c r="O203" i="27"/>
  <c r="P203" i="27"/>
  <c r="Q203" i="27"/>
  <c r="R203" i="27"/>
  <c r="S203" i="27"/>
  <c r="T203" i="27"/>
  <c r="U203" i="27"/>
  <c r="V203" i="27"/>
  <c r="W203" i="27"/>
  <c r="Y203" i="27"/>
  <c r="I204" i="27"/>
  <c r="J204" i="27"/>
  <c r="K204" i="27"/>
  <c r="L204" i="27"/>
  <c r="M204" i="27"/>
  <c r="N204" i="27"/>
  <c r="O204" i="27"/>
  <c r="P204" i="27"/>
  <c r="Q204" i="27"/>
  <c r="R204" i="27"/>
  <c r="S204" i="27"/>
  <c r="T204" i="27"/>
  <c r="U204" i="27"/>
  <c r="V204" i="27"/>
  <c r="W204" i="27"/>
  <c r="Y204" i="27"/>
  <c r="I205" i="27"/>
  <c r="J205" i="27"/>
  <c r="K205" i="27"/>
  <c r="L205" i="27"/>
  <c r="M205" i="27"/>
  <c r="N205" i="27"/>
  <c r="O205" i="27"/>
  <c r="P205" i="27"/>
  <c r="Q205" i="27"/>
  <c r="R205" i="27"/>
  <c r="S205" i="27"/>
  <c r="T205" i="27"/>
  <c r="U205" i="27"/>
  <c r="V205" i="27"/>
  <c r="W205" i="27"/>
  <c r="Y205" i="27"/>
  <c r="I206" i="27"/>
  <c r="J206" i="27"/>
  <c r="K206" i="27"/>
  <c r="L206" i="27"/>
  <c r="M206" i="27"/>
  <c r="N206" i="27"/>
  <c r="O206" i="27"/>
  <c r="P206" i="27"/>
  <c r="Q206" i="27"/>
  <c r="R206" i="27"/>
  <c r="S206" i="27"/>
  <c r="T206" i="27"/>
  <c r="U206" i="27"/>
  <c r="V206" i="27"/>
  <c r="W206" i="27"/>
  <c r="Y206" i="27"/>
  <c r="I207" i="27"/>
  <c r="J207" i="27"/>
  <c r="K207" i="27"/>
  <c r="L207" i="27"/>
  <c r="M207" i="27"/>
  <c r="N207" i="27"/>
  <c r="O207" i="27"/>
  <c r="P207" i="27"/>
  <c r="Q207" i="27"/>
  <c r="R207" i="27"/>
  <c r="S207" i="27"/>
  <c r="T207" i="27"/>
  <c r="U207" i="27"/>
  <c r="V207" i="27"/>
  <c r="W207" i="27"/>
  <c r="Y207" i="27"/>
  <c r="I208" i="27"/>
  <c r="J208" i="27"/>
  <c r="K208" i="27"/>
  <c r="L208" i="27"/>
  <c r="M208" i="27"/>
  <c r="N208" i="27"/>
  <c r="O208" i="27"/>
  <c r="P208" i="27"/>
  <c r="Q208" i="27"/>
  <c r="R208" i="27"/>
  <c r="S208" i="27"/>
  <c r="T208" i="27"/>
  <c r="U208" i="27"/>
  <c r="V208" i="27"/>
  <c r="W208" i="27"/>
  <c r="Y208" i="27"/>
  <c r="I209" i="27"/>
  <c r="J209" i="27"/>
  <c r="K209" i="27"/>
  <c r="L209" i="27"/>
  <c r="M209" i="27"/>
  <c r="N209" i="27"/>
  <c r="O209" i="27"/>
  <c r="P209" i="27"/>
  <c r="Q209" i="27"/>
  <c r="R209" i="27"/>
  <c r="S209" i="27"/>
  <c r="T209" i="27"/>
  <c r="U209" i="27"/>
  <c r="V209" i="27"/>
  <c r="W209" i="27"/>
  <c r="Y209" i="27"/>
  <c r="I210" i="27"/>
  <c r="J210" i="27"/>
  <c r="K210" i="27"/>
  <c r="L210" i="27"/>
  <c r="M210" i="27"/>
  <c r="N210" i="27"/>
  <c r="O210" i="27"/>
  <c r="P210" i="27"/>
  <c r="Q210" i="27"/>
  <c r="R210" i="27"/>
  <c r="S210" i="27"/>
  <c r="T210" i="27"/>
  <c r="U210" i="27"/>
  <c r="V210" i="27"/>
  <c r="W210" i="27"/>
  <c r="Y210" i="27"/>
  <c r="I211" i="27"/>
  <c r="J211" i="27"/>
  <c r="K211" i="27"/>
  <c r="L211" i="27"/>
  <c r="M211" i="27"/>
  <c r="N211" i="27"/>
  <c r="O211" i="27"/>
  <c r="P211" i="27"/>
  <c r="Q211" i="27"/>
  <c r="R211" i="27"/>
  <c r="S211" i="27"/>
  <c r="T211" i="27"/>
  <c r="U211" i="27"/>
  <c r="V211" i="27"/>
  <c r="W211" i="27"/>
  <c r="Y211" i="27"/>
  <c r="I212" i="27"/>
  <c r="J212" i="27"/>
  <c r="K212" i="27"/>
  <c r="L212" i="27"/>
  <c r="M212" i="27"/>
  <c r="N212" i="27"/>
  <c r="O212" i="27"/>
  <c r="P212" i="27"/>
  <c r="Q212" i="27"/>
  <c r="R212" i="27"/>
  <c r="S212" i="27"/>
  <c r="T212" i="27"/>
  <c r="U212" i="27"/>
  <c r="V212" i="27"/>
  <c r="W212" i="27"/>
  <c r="Y212" i="27"/>
  <c r="I213" i="27"/>
  <c r="J213" i="27"/>
  <c r="K213" i="27"/>
  <c r="L213" i="27"/>
  <c r="M213" i="27"/>
  <c r="N213" i="27"/>
  <c r="O213" i="27"/>
  <c r="P213" i="27"/>
  <c r="Q213" i="27"/>
  <c r="R213" i="27"/>
  <c r="S213" i="27"/>
  <c r="T213" i="27"/>
  <c r="U213" i="27"/>
  <c r="V213" i="27"/>
  <c r="W213" i="27"/>
  <c r="Y213" i="27"/>
  <c r="I214" i="27"/>
  <c r="J214" i="27"/>
  <c r="K214" i="27"/>
  <c r="L214" i="27"/>
  <c r="M214" i="27"/>
  <c r="N214" i="27"/>
  <c r="O214" i="27"/>
  <c r="P214" i="27"/>
  <c r="Q214" i="27"/>
  <c r="R214" i="27"/>
  <c r="S214" i="27"/>
  <c r="T214" i="27"/>
  <c r="U214" i="27"/>
  <c r="V214" i="27"/>
  <c r="W214" i="27"/>
  <c r="Y214" i="27"/>
  <c r="I215" i="27"/>
  <c r="J215" i="27"/>
  <c r="K215" i="27"/>
  <c r="L215" i="27"/>
  <c r="M215" i="27"/>
  <c r="N215" i="27"/>
  <c r="O215" i="27"/>
  <c r="P215" i="27"/>
  <c r="Q215" i="27"/>
  <c r="R215" i="27"/>
  <c r="S215" i="27"/>
  <c r="T215" i="27"/>
  <c r="U215" i="27"/>
  <c r="V215" i="27"/>
  <c r="W215" i="27"/>
  <c r="Y215" i="27"/>
  <c r="I216" i="27"/>
  <c r="J216" i="27"/>
  <c r="K216" i="27"/>
  <c r="L216" i="27"/>
  <c r="M216" i="27"/>
  <c r="N216" i="27"/>
  <c r="O216" i="27"/>
  <c r="P216" i="27"/>
  <c r="Q216" i="27"/>
  <c r="R216" i="27"/>
  <c r="S216" i="27"/>
  <c r="T216" i="27"/>
  <c r="U216" i="27"/>
  <c r="V216" i="27"/>
  <c r="W216" i="27"/>
  <c r="Y216" i="27"/>
  <c r="I217" i="27"/>
  <c r="J217" i="27"/>
  <c r="K217" i="27"/>
  <c r="L217" i="27"/>
  <c r="M217" i="27"/>
  <c r="N217" i="27"/>
  <c r="O217" i="27"/>
  <c r="P217" i="27"/>
  <c r="Q217" i="27"/>
  <c r="R217" i="27"/>
  <c r="S217" i="27"/>
  <c r="T217" i="27"/>
  <c r="U217" i="27"/>
  <c r="V217" i="27"/>
  <c r="W217" i="27"/>
  <c r="Y217" i="27"/>
  <c r="I218" i="27"/>
  <c r="J218" i="27"/>
  <c r="K218" i="27"/>
  <c r="L218" i="27"/>
  <c r="M218" i="27"/>
  <c r="N218" i="27"/>
  <c r="O218" i="27"/>
  <c r="P218" i="27"/>
  <c r="Q218" i="27"/>
  <c r="R218" i="27"/>
  <c r="S218" i="27"/>
  <c r="T218" i="27"/>
  <c r="U218" i="27"/>
  <c r="V218" i="27"/>
  <c r="W218" i="27"/>
  <c r="Y218" i="27"/>
  <c r="I219" i="27"/>
  <c r="J219" i="27"/>
  <c r="K219" i="27"/>
  <c r="L219" i="27"/>
  <c r="M219" i="27"/>
  <c r="N219" i="27"/>
  <c r="O219" i="27"/>
  <c r="P219" i="27"/>
  <c r="Q219" i="27"/>
  <c r="R219" i="27"/>
  <c r="S219" i="27"/>
  <c r="T219" i="27"/>
  <c r="U219" i="27"/>
  <c r="V219" i="27"/>
  <c r="W219" i="27"/>
  <c r="Y219" i="27"/>
  <c r="I220" i="27"/>
  <c r="J220" i="27"/>
  <c r="K220" i="27"/>
  <c r="L220" i="27"/>
  <c r="M220" i="27"/>
  <c r="N220" i="27"/>
  <c r="O220" i="27"/>
  <c r="P220" i="27"/>
  <c r="Q220" i="27"/>
  <c r="R220" i="27"/>
  <c r="S220" i="27"/>
  <c r="T220" i="27"/>
  <c r="U220" i="27"/>
  <c r="V220" i="27"/>
  <c r="W220" i="27"/>
  <c r="Y220" i="27"/>
  <c r="I221" i="27"/>
  <c r="J221" i="27"/>
  <c r="K221" i="27"/>
  <c r="L221" i="27"/>
  <c r="M221" i="27"/>
  <c r="N221" i="27"/>
  <c r="O221" i="27"/>
  <c r="P221" i="27"/>
  <c r="Q221" i="27"/>
  <c r="R221" i="27"/>
  <c r="S221" i="27"/>
  <c r="T221" i="27"/>
  <c r="U221" i="27"/>
  <c r="V221" i="27"/>
  <c r="W221" i="27"/>
  <c r="Y221" i="27"/>
  <c r="I222" i="27"/>
  <c r="J222" i="27"/>
  <c r="K222" i="27"/>
  <c r="L222" i="27"/>
  <c r="M222" i="27"/>
  <c r="N222" i="27"/>
  <c r="O222" i="27"/>
  <c r="P222" i="27"/>
  <c r="Q222" i="27"/>
  <c r="R222" i="27"/>
  <c r="S222" i="27"/>
  <c r="T222" i="27"/>
  <c r="U222" i="27"/>
  <c r="V222" i="27"/>
  <c r="W222" i="27"/>
  <c r="Y222" i="27"/>
  <c r="I223" i="27"/>
  <c r="J223" i="27"/>
  <c r="K223" i="27"/>
  <c r="L223" i="27"/>
  <c r="M223" i="27"/>
  <c r="N223" i="27"/>
  <c r="O223" i="27"/>
  <c r="P223" i="27"/>
  <c r="Q223" i="27"/>
  <c r="R223" i="27"/>
  <c r="S223" i="27"/>
  <c r="T223" i="27"/>
  <c r="U223" i="27"/>
  <c r="V223" i="27"/>
  <c r="W223" i="27"/>
  <c r="Y223" i="27"/>
  <c r="I224" i="27"/>
  <c r="J224" i="27"/>
  <c r="K224" i="27"/>
  <c r="L224" i="27"/>
  <c r="M224" i="27"/>
  <c r="N224" i="27"/>
  <c r="O224" i="27"/>
  <c r="P224" i="27"/>
  <c r="Q224" i="27"/>
  <c r="R224" i="27"/>
  <c r="S224" i="27"/>
  <c r="T224" i="27"/>
  <c r="U224" i="27"/>
  <c r="V224" i="27"/>
  <c r="W224" i="27"/>
  <c r="Y224" i="27"/>
  <c r="I225" i="27"/>
  <c r="J225" i="27"/>
  <c r="K225" i="27"/>
  <c r="L225" i="27"/>
  <c r="M225" i="27"/>
  <c r="N225" i="27"/>
  <c r="O225" i="27"/>
  <c r="P225" i="27"/>
  <c r="Q225" i="27"/>
  <c r="R225" i="27"/>
  <c r="S225" i="27"/>
  <c r="T225" i="27"/>
  <c r="U225" i="27"/>
  <c r="V225" i="27"/>
  <c r="W225" i="27"/>
  <c r="Y225" i="27"/>
  <c r="I226" i="27"/>
  <c r="J226" i="27"/>
  <c r="K226" i="27"/>
  <c r="L226" i="27"/>
  <c r="M226" i="27"/>
  <c r="N226" i="27"/>
  <c r="O226" i="27"/>
  <c r="P226" i="27"/>
  <c r="Q226" i="27"/>
  <c r="R226" i="27"/>
  <c r="S226" i="27"/>
  <c r="T226" i="27"/>
  <c r="U226" i="27"/>
  <c r="V226" i="27"/>
  <c r="W226" i="27"/>
  <c r="Y226" i="27"/>
  <c r="I227" i="27"/>
  <c r="J227" i="27"/>
  <c r="K227" i="27"/>
  <c r="L227" i="27"/>
  <c r="M227" i="27"/>
  <c r="N227" i="27"/>
  <c r="O227" i="27"/>
  <c r="P227" i="27"/>
  <c r="Q227" i="27"/>
  <c r="R227" i="27"/>
  <c r="S227" i="27"/>
  <c r="T227" i="27"/>
  <c r="U227" i="27"/>
  <c r="V227" i="27"/>
  <c r="W227" i="27"/>
  <c r="Y227" i="27"/>
  <c r="I228" i="27"/>
  <c r="J228" i="27"/>
  <c r="K228" i="27"/>
  <c r="L228" i="27"/>
  <c r="M228" i="27"/>
  <c r="N228" i="27"/>
  <c r="O228" i="27"/>
  <c r="P228" i="27"/>
  <c r="Q228" i="27"/>
  <c r="R228" i="27"/>
  <c r="S228" i="27"/>
  <c r="T228" i="27"/>
  <c r="U228" i="27"/>
  <c r="V228" i="27"/>
  <c r="W228" i="27"/>
  <c r="Y228" i="27"/>
  <c r="I229" i="27"/>
  <c r="J229" i="27"/>
  <c r="K229" i="27"/>
  <c r="L229" i="27"/>
  <c r="M229" i="27"/>
  <c r="N229" i="27"/>
  <c r="O229" i="27"/>
  <c r="P229" i="27"/>
  <c r="Q229" i="27"/>
  <c r="R229" i="27"/>
  <c r="S229" i="27"/>
  <c r="T229" i="27"/>
  <c r="U229" i="27"/>
  <c r="V229" i="27"/>
  <c r="W229" i="27"/>
  <c r="Y229" i="27"/>
  <c r="X127" i="27"/>
  <c r="X140" i="27"/>
  <c r="X183" i="27"/>
  <c r="X138" i="27"/>
  <c r="X209" i="27"/>
  <c r="X180" i="27"/>
  <c r="X132" i="27"/>
  <c r="X133" i="27"/>
  <c r="X193" i="27"/>
  <c r="X151" i="27"/>
  <c r="X194" i="27"/>
  <c r="X219" i="27"/>
  <c r="X141" i="27"/>
  <c r="X126" i="27"/>
  <c r="X174" i="27"/>
  <c r="X142" i="27"/>
  <c r="X210" i="27"/>
  <c r="X170" i="27"/>
  <c r="X190" i="27"/>
  <c r="X178" i="27"/>
  <c r="X187" i="27"/>
  <c r="X139" i="27"/>
  <c r="X185" i="27"/>
  <c r="X154" i="27"/>
  <c r="X218" i="27"/>
  <c r="X221" i="27"/>
  <c r="X161" i="27"/>
  <c r="X186" i="27"/>
  <c r="X135" i="27"/>
  <c r="X191" i="27"/>
  <c r="X146" i="27"/>
  <c r="X197" i="27"/>
  <c r="X196" i="27"/>
  <c r="X224" i="27"/>
  <c r="X149" i="27"/>
  <c r="X188" i="27"/>
  <c r="X159" i="27"/>
  <c r="X172" i="27"/>
  <c r="X156" i="27"/>
  <c r="X184" i="27"/>
  <c r="X155" i="27"/>
  <c r="X192" i="27"/>
  <c r="X144" i="27"/>
  <c r="X199" i="27"/>
  <c r="X134" i="27"/>
  <c r="X173" i="27"/>
  <c r="X143" i="27"/>
  <c r="X160" i="27"/>
  <c r="X214" i="27"/>
  <c r="X195" i="27"/>
  <c r="X227" i="27"/>
  <c r="X211" i="27"/>
  <c r="X137" i="27"/>
  <c r="X175" i="27"/>
  <c r="X223" i="27"/>
  <c r="X226" i="27"/>
  <c r="X150" i="27"/>
  <c r="X228" i="27"/>
  <c r="X229" i="27"/>
  <c r="X207" i="27"/>
  <c r="X222" i="27"/>
  <c r="X202" i="27"/>
  <c r="X157" i="27"/>
  <c r="X171" i="27"/>
  <c r="X212" i="27"/>
  <c r="X206" i="27"/>
  <c r="X182" i="27"/>
  <c r="X128" i="27"/>
  <c r="X213" i="27"/>
  <c r="X129" i="27"/>
  <c r="X153" i="27"/>
  <c r="X198" i="27"/>
  <c r="X203" i="27"/>
  <c r="X179" i="27"/>
  <c r="X176" i="27"/>
  <c r="X215" i="27"/>
  <c r="X225" i="27"/>
  <c r="X208" i="27"/>
  <c r="X189" i="27"/>
  <c r="X216" i="27"/>
  <c r="X130" i="27"/>
  <c r="X217" i="27"/>
  <c r="X152" i="27"/>
  <c r="X204" i="27"/>
  <c r="X148" i="27"/>
  <c r="X147" i="27"/>
  <c r="X181" i="27"/>
  <c r="X136" i="27"/>
  <c r="X131" i="27"/>
  <c r="X220" i="27"/>
  <c r="X205" i="27"/>
  <c r="X158" i="27"/>
  <c r="X177" i="27"/>
  <c r="X201" i="27"/>
  <c r="X145" i="27"/>
  <c r="R25" i="30" l="1"/>
  <c r="G25" i="30"/>
  <c r="H25" i="30"/>
  <c r="I25" i="30"/>
  <c r="J25" i="30"/>
  <c r="K25" i="30"/>
  <c r="L25" i="30"/>
  <c r="M25" i="30"/>
  <c r="N25" i="30"/>
  <c r="O25" i="30"/>
  <c r="P25" i="30"/>
  <c r="Q25" i="30"/>
  <c r="S25" i="30"/>
  <c r="T25" i="30"/>
  <c r="G27" i="30"/>
  <c r="H27" i="30"/>
  <c r="I27" i="30"/>
  <c r="J27" i="30"/>
  <c r="K27" i="30"/>
  <c r="L27" i="30"/>
  <c r="M27" i="30"/>
  <c r="N27" i="30"/>
  <c r="O27" i="30"/>
  <c r="P27" i="30"/>
  <c r="Q27" i="30"/>
  <c r="R27" i="30"/>
  <c r="S27" i="30"/>
  <c r="T27" i="30"/>
  <c r="R29" i="30" l="1"/>
  <c r="G29" i="30"/>
  <c r="H29" i="30"/>
  <c r="I29" i="30"/>
  <c r="J29" i="30"/>
  <c r="K29" i="30"/>
  <c r="L29" i="30"/>
  <c r="M29" i="30"/>
  <c r="N29" i="30"/>
  <c r="O29" i="30"/>
  <c r="P29" i="30"/>
  <c r="Q29" i="30"/>
  <c r="S29" i="30"/>
  <c r="T29" i="30"/>
  <c r="R6" i="30"/>
  <c r="G6" i="30"/>
  <c r="H6" i="30"/>
  <c r="I6" i="30"/>
  <c r="J6" i="30"/>
  <c r="K6" i="30"/>
  <c r="L6" i="30"/>
  <c r="M6" i="30"/>
  <c r="N6" i="30"/>
  <c r="O6" i="30"/>
  <c r="P6" i="30"/>
  <c r="Q6" i="30"/>
  <c r="S6" i="30"/>
  <c r="T6" i="30"/>
  <c r="G8" i="30" l="1"/>
  <c r="G10" i="30"/>
  <c r="G12" i="30"/>
  <c r="G18" i="30"/>
  <c r="G20" i="30"/>
  <c r="G2" i="30"/>
  <c r="G4" i="30"/>
  <c r="G31" i="30"/>
  <c r="G33" i="30"/>
  <c r="G37" i="30"/>
  <c r="G41" i="30"/>
  <c r="G39" i="30"/>
  <c r="G14" i="30"/>
  <c r="G16" i="30"/>
  <c r="G30" i="30"/>
  <c r="G26" i="30"/>
  <c r="G28" i="30"/>
  <c r="G24" i="30"/>
  <c r="G22" i="30"/>
  <c r="T8" i="30"/>
  <c r="T10" i="30"/>
  <c r="T12" i="30"/>
  <c r="T18" i="30"/>
  <c r="T20" i="30"/>
  <c r="T2" i="30"/>
  <c r="T4" i="30"/>
  <c r="T31" i="30"/>
  <c r="T33" i="30"/>
  <c r="T37" i="30"/>
  <c r="T41" i="30"/>
  <c r="T39" i="30"/>
  <c r="T14" i="30"/>
  <c r="T16" i="30"/>
  <c r="T30" i="30"/>
  <c r="T26" i="30"/>
  <c r="T28" i="30"/>
  <c r="T24" i="30"/>
  <c r="T22" i="30"/>
  <c r="S8" i="30"/>
  <c r="S10" i="30"/>
  <c r="S12" i="30"/>
  <c r="S18" i="30"/>
  <c r="S20" i="30"/>
  <c r="S2" i="30"/>
  <c r="S4" i="30"/>
  <c r="S31" i="30"/>
  <c r="S33" i="30"/>
  <c r="S37" i="30"/>
  <c r="S41" i="30"/>
  <c r="S39" i="30"/>
  <c r="S14" i="30"/>
  <c r="S16" i="30"/>
  <c r="S30" i="30"/>
  <c r="S26" i="30"/>
  <c r="S28" i="30"/>
  <c r="S24" i="30"/>
  <c r="S22" i="30"/>
  <c r="R8" i="30"/>
  <c r="R10" i="30"/>
  <c r="R12" i="30"/>
  <c r="R18" i="30"/>
  <c r="R20" i="30"/>
  <c r="R2" i="30"/>
  <c r="R4" i="30"/>
  <c r="R31" i="30"/>
  <c r="R33" i="30"/>
  <c r="R37" i="30"/>
  <c r="R41" i="30"/>
  <c r="R39" i="30"/>
  <c r="R14" i="30"/>
  <c r="R16" i="30"/>
  <c r="R30" i="30"/>
  <c r="R26" i="30"/>
  <c r="R28" i="30"/>
  <c r="R24" i="30"/>
  <c r="R22" i="30"/>
  <c r="Q8" i="30"/>
  <c r="Q10" i="30"/>
  <c r="Q12" i="30"/>
  <c r="Q18" i="30"/>
  <c r="Q20" i="30"/>
  <c r="Q2" i="30"/>
  <c r="Q4" i="30"/>
  <c r="Q31" i="30"/>
  <c r="Q33" i="30"/>
  <c r="Q37" i="30"/>
  <c r="Q41" i="30"/>
  <c r="Q39" i="30"/>
  <c r="Q14" i="30"/>
  <c r="Q16" i="30"/>
  <c r="Q30" i="30"/>
  <c r="Q26" i="30"/>
  <c r="Q28" i="30"/>
  <c r="Q24" i="30"/>
  <c r="Q22" i="30"/>
  <c r="P8" i="30"/>
  <c r="P10" i="30"/>
  <c r="P12" i="30"/>
  <c r="P18" i="30"/>
  <c r="P20" i="30"/>
  <c r="P2" i="30"/>
  <c r="P4" i="30"/>
  <c r="P31" i="30"/>
  <c r="P33" i="30"/>
  <c r="P37" i="30"/>
  <c r="P41" i="30"/>
  <c r="P39" i="30"/>
  <c r="P14" i="30"/>
  <c r="P16" i="30"/>
  <c r="P30" i="30"/>
  <c r="P26" i="30"/>
  <c r="P28" i="30"/>
  <c r="P24" i="30"/>
  <c r="P22" i="30"/>
  <c r="I8" i="30"/>
  <c r="I10" i="30"/>
  <c r="I12" i="30"/>
  <c r="I18" i="30"/>
  <c r="I20" i="30"/>
  <c r="I2" i="30"/>
  <c r="I4" i="30"/>
  <c r="I31" i="30"/>
  <c r="I33" i="30"/>
  <c r="I37" i="30"/>
  <c r="I41" i="30"/>
  <c r="I39" i="30"/>
  <c r="I14" i="30"/>
  <c r="I16" i="30"/>
  <c r="I30" i="30"/>
  <c r="I26" i="30"/>
  <c r="I28" i="30"/>
  <c r="I24" i="30"/>
  <c r="I22" i="30"/>
  <c r="J8" i="30"/>
  <c r="J10" i="30"/>
  <c r="J12" i="30"/>
  <c r="J18" i="30"/>
  <c r="J20" i="30"/>
  <c r="J2" i="30"/>
  <c r="J4" i="30"/>
  <c r="J31" i="30"/>
  <c r="J33" i="30"/>
  <c r="J37" i="30"/>
  <c r="J41" i="30"/>
  <c r="J39" i="30"/>
  <c r="J14" i="30"/>
  <c r="J16" i="30"/>
  <c r="J30" i="30"/>
  <c r="J26" i="30"/>
  <c r="J28" i="30"/>
  <c r="J24" i="30"/>
  <c r="J22" i="30"/>
  <c r="K8" i="30"/>
  <c r="K10" i="30"/>
  <c r="K12" i="30"/>
  <c r="K18" i="30"/>
  <c r="K20" i="30"/>
  <c r="K2" i="30"/>
  <c r="K4" i="30"/>
  <c r="K31" i="30"/>
  <c r="K33" i="30"/>
  <c r="K37" i="30"/>
  <c r="K41" i="30"/>
  <c r="K39" i="30"/>
  <c r="K14" i="30"/>
  <c r="K16" i="30"/>
  <c r="K30" i="30"/>
  <c r="K26" i="30"/>
  <c r="K28" i="30"/>
  <c r="K24" i="30"/>
  <c r="K22" i="30"/>
  <c r="L8" i="30"/>
  <c r="L10" i="30"/>
  <c r="L12" i="30"/>
  <c r="L18" i="30"/>
  <c r="L20" i="30"/>
  <c r="L2" i="30"/>
  <c r="L4" i="30"/>
  <c r="L31" i="30"/>
  <c r="L33" i="30"/>
  <c r="L37" i="30"/>
  <c r="L41" i="30"/>
  <c r="L39" i="30"/>
  <c r="L14" i="30"/>
  <c r="L16" i="30"/>
  <c r="L30" i="30"/>
  <c r="L26" i="30"/>
  <c r="L28" i="30"/>
  <c r="L24" i="30"/>
  <c r="L22" i="30"/>
  <c r="M8" i="30"/>
  <c r="M10" i="30"/>
  <c r="M12" i="30"/>
  <c r="M18" i="30"/>
  <c r="M20" i="30"/>
  <c r="M2" i="30"/>
  <c r="M4" i="30"/>
  <c r="M31" i="30"/>
  <c r="M33" i="30"/>
  <c r="M37" i="30"/>
  <c r="M41" i="30"/>
  <c r="M39" i="30"/>
  <c r="M14" i="30"/>
  <c r="M16" i="30"/>
  <c r="M30" i="30"/>
  <c r="M26" i="30"/>
  <c r="M28" i="30"/>
  <c r="M24" i="30"/>
  <c r="M22" i="30"/>
  <c r="N8" i="30"/>
  <c r="N10" i="30"/>
  <c r="N12" i="30"/>
  <c r="N18" i="30"/>
  <c r="N20" i="30"/>
  <c r="N2" i="30"/>
  <c r="N4" i="30"/>
  <c r="N31" i="30"/>
  <c r="N33" i="30"/>
  <c r="N37" i="30"/>
  <c r="N41" i="30"/>
  <c r="N39" i="30"/>
  <c r="N14" i="30"/>
  <c r="N16" i="30"/>
  <c r="N30" i="30"/>
  <c r="N26" i="30"/>
  <c r="N28" i="30"/>
  <c r="N24" i="30"/>
  <c r="N22" i="30"/>
  <c r="O8" i="30"/>
  <c r="O10" i="30"/>
  <c r="O12" i="30"/>
  <c r="O18" i="30"/>
  <c r="O20" i="30"/>
  <c r="O2" i="30"/>
  <c r="O4" i="30"/>
  <c r="O31" i="30"/>
  <c r="O33" i="30"/>
  <c r="O37" i="30"/>
  <c r="O41" i="30"/>
  <c r="O39" i="30"/>
  <c r="O14" i="30"/>
  <c r="O16" i="30"/>
  <c r="O30" i="30"/>
  <c r="O26" i="30"/>
  <c r="O28" i="30"/>
  <c r="O24" i="30"/>
  <c r="O22" i="30"/>
  <c r="H8" i="30"/>
  <c r="H10" i="30"/>
  <c r="H12" i="30"/>
  <c r="H18" i="30"/>
  <c r="H20" i="30"/>
  <c r="H2" i="30"/>
  <c r="H4" i="30"/>
  <c r="H31" i="30"/>
  <c r="H33" i="30"/>
  <c r="H37" i="30"/>
  <c r="H41" i="30"/>
  <c r="H39" i="30"/>
  <c r="H14" i="30"/>
  <c r="H16" i="30"/>
  <c r="H30" i="30"/>
  <c r="H26" i="30"/>
  <c r="H28" i="30"/>
  <c r="H24" i="30"/>
  <c r="H22" i="30"/>
</calcChain>
</file>

<file path=xl/sharedStrings.xml><?xml version="1.0" encoding="utf-8"?>
<sst xmlns="http://schemas.openxmlformats.org/spreadsheetml/2006/main" count="1387" uniqueCount="434">
  <si>
    <t>User</t>
  </si>
  <si>
    <t>Description</t>
  </si>
  <si>
    <t>Length</t>
  </si>
  <si>
    <t>Name</t>
  </si>
  <si>
    <t>SchoolBus</t>
  </si>
  <si>
    <t>table</t>
  </si>
  <si>
    <t/>
  </si>
  <si>
    <t>id</t>
  </si>
  <si>
    <t>string</t>
  </si>
  <si>
    <t>ref</t>
  </si>
  <si>
    <t>schoolBusOwner</t>
  </si>
  <si>
    <t>SchoolBusOwner</t>
  </si>
  <si>
    <t>permitNumber</t>
  </si>
  <si>
    <t>status</t>
  </si>
  <si>
    <t>boolean</t>
  </si>
  <si>
    <t>isOutOfProvince</t>
  </si>
  <si>
    <t>ServiceArea</t>
  </si>
  <si>
    <t>homeTerminalCity</t>
  </si>
  <si>
    <t>City of physical location of the School Bus.</t>
  </si>
  <si>
    <t>City</t>
  </si>
  <si>
    <t>homeTerminalProvince</t>
  </si>
  <si>
    <t>Province of physical location of the School Bus - free form.</t>
  </si>
  <si>
    <t>homeTerminalPostalCode</t>
  </si>
  <si>
    <t>Postal Code of physical location of the School Bus.</t>
  </si>
  <si>
    <t>homeTerminalComment</t>
  </si>
  <si>
    <t>datetime</t>
  </si>
  <si>
    <t>nextInspectionDate</t>
  </si>
  <si>
    <t>The School District in which the School Bus operates. The school bus may or may not be associated with the School District itself - we just track where it is regardless.</t>
  </si>
  <si>
    <t>SchoolDistrict</t>
  </si>
  <si>
    <t>isIndependentSchool</t>
  </si>
  <si>
    <t>True if the School Bus is associated with an Independent School. If true,  the name of the Independent School should be in the companion field.</t>
  </si>
  <si>
    <t>The name of the Independent School to which the School Bus is associated. Should be null if the companion isIndependentSchool is false.</t>
  </si>
  <si>
    <t>The unit number of the Bus as defined by the School Bus owner - freeform text.</t>
  </si>
  <si>
    <t>integer</t>
  </si>
  <si>
    <t>schoolBusSeatingCapacity</t>
  </si>
  <si>
    <t>mobilityAidCapacity</t>
  </si>
  <si>
    <t>The number of mobility aid passenger seats in the bus.</t>
  </si>
  <si>
    <t>The contents of the note.</t>
  </si>
  <si>
    <t>isNoLongerRelevant</t>
  </si>
  <si>
    <t>schoolBus</t>
  </si>
  <si>
    <t>description</t>
  </si>
  <si>
    <t>A note about the attachment,  optionally maintained by the user.</t>
  </si>
  <si>
    <t>name</t>
  </si>
  <si>
    <t>The name of the School Bus owner as defined by the user/Inspector. Not tied to the ICBC or NSC names,  but whatever is most useful for the Inspectors.</t>
  </si>
  <si>
    <t>dateCreated</t>
  </si>
  <si>
    <t>primaryContact</t>
  </si>
  <si>
    <t>Link to the designated Primary Contact for the Inspector to the School Bus Owner organization.</t>
  </si>
  <si>
    <t>The District to which this School Bus is affliated.</t>
  </si>
  <si>
    <t>contacts</t>
  </si>
  <si>
    <t>givenName</t>
  </si>
  <si>
    <t>The given name of the contact.</t>
  </si>
  <si>
    <t>surname</t>
  </si>
  <si>
    <t>The surname of the contact.</t>
  </si>
  <si>
    <t>role</t>
  </si>
  <si>
    <t>notes</t>
  </si>
  <si>
    <t>links</t>
  </si>
  <si>
    <t>type</t>
  </si>
  <si>
    <t>Address 1 line of the address.</t>
  </si>
  <si>
    <t>Address 2 line of the address.</t>
  </si>
  <si>
    <t>city</t>
  </si>
  <si>
    <t>The City of the address.</t>
  </si>
  <si>
    <t>province</t>
  </si>
  <si>
    <t>The Province of the address.</t>
  </si>
  <si>
    <t>postalCode</t>
  </si>
  <si>
    <t>The postal code of the address.</t>
  </si>
  <si>
    <t>CCWData</t>
  </si>
  <si>
    <t>Vehicle Year</t>
  </si>
  <si>
    <t>Inspection</t>
  </si>
  <si>
    <t>inspector</t>
  </si>
  <si>
    <t>Defaults for a new inspection to the current user,  but can be changed as needed.</t>
  </si>
  <si>
    <t>inspectionDate</t>
  </si>
  <si>
    <t>The type of the inspection - enumerated type of Annual or Re-inspection,  pulled from the School Bus record at the time the inspection record is created</t>
  </si>
  <si>
    <t>The result of the inspection - enumerated type of Passed or Failed. The detailed results of the inspection are in RIP and not duplicated here.</t>
  </si>
  <si>
    <t>A note about the inspection independent of what goes into the RIP inspection - this is just for the School Bus application.</t>
  </si>
  <si>
    <t>The ID of the RIP inspection. The expectation is that the user will manually enter a RIP ID such that an external URL can be formed to allow the user to open the RIP inspection and see the inspection details.</t>
  </si>
  <si>
    <t>UserFavourite</t>
  </si>
  <si>
    <t>The user-defined name for the recorded settings. Allows the user to save different groups of settings and access each one easily when needed.</t>
  </si>
  <si>
    <t>value</t>
  </si>
  <si>
    <t>The settings saved by the user. In general,  a UI defined chunk of json that stores the settings in place when the user created the favourite.</t>
  </si>
  <si>
    <t>isDefault</t>
  </si>
  <si>
    <t>True if this Favourite is the default for this Context Type. On first access to a context in a session the default favourite for the context it is invoked. If there is no default favourite,  a system-wide default is invoked. On return to the context within a session,  the last parameters used are reapplied.</t>
  </si>
  <si>
    <t>Region</t>
  </si>
  <si>
    <t>ministryRegionID</t>
  </si>
  <si>
    <t>The Ministry ID for the Region</t>
  </si>
  <si>
    <t>The name of the Region</t>
  </si>
  <si>
    <t>startDate</t>
  </si>
  <si>
    <t>endDate</t>
  </si>
  <si>
    <t>District</t>
  </si>
  <si>
    <t>ministryDistrictID</t>
  </si>
  <si>
    <t>The Ministry ID for the District</t>
  </si>
  <si>
    <t>The name of the District</t>
  </si>
  <si>
    <t>region</t>
  </si>
  <si>
    <t>The region in which the District is found.</t>
  </si>
  <si>
    <t>ministryServiceAreaID</t>
  </si>
  <si>
    <t>The Ministry ID for the Service Area</t>
  </si>
  <si>
    <t>The name of the Service Area</t>
  </si>
  <si>
    <t>district</t>
  </si>
  <si>
    <t>The district in which the Service Area is found.</t>
  </si>
  <si>
    <t>The full name of the School District</t>
  </si>
  <si>
    <t>shortName</t>
  </si>
  <si>
    <t>A short name for the School District useful in some areas of the UI. Usually with format \&amp;quot;SD 61\&amp;quot;.</t>
  </si>
  <si>
    <t>The name of the City</t>
  </si>
  <si>
    <t>Notification</t>
  </si>
  <si>
    <t>event</t>
  </si>
  <si>
    <t>NotificationEvent</t>
  </si>
  <si>
    <t>event2</t>
  </si>
  <si>
    <t>hasBeenViewed</t>
  </si>
  <si>
    <t>isWatchNotification</t>
  </si>
  <si>
    <t>isExpired</t>
  </si>
  <si>
    <t>isAllDay</t>
  </si>
  <si>
    <t>priorityCode</t>
  </si>
  <si>
    <t>user</t>
  </si>
  <si>
    <t>eventTime</t>
  </si>
  <si>
    <t>eventTypeCode</t>
  </si>
  <si>
    <t>eventSubTypeCode</t>
  </si>
  <si>
    <t>notificationGenerated</t>
  </si>
  <si>
    <t>active</t>
  </si>
  <si>
    <t>initials</t>
  </si>
  <si>
    <t>email</t>
  </si>
  <si>
    <t>smUserId</t>
  </si>
  <si>
    <t>Security Manager User ID</t>
  </si>
  <si>
    <t>guid</t>
  </si>
  <si>
    <t>smAuthorizationDirectory</t>
  </si>
  <si>
    <t>userRoles</t>
  </si>
  <si>
    <t>UserRole</t>
  </si>
  <si>
    <t>effectiveDate</t>
  </si>
  <si>
    <t>expiryDate</t>
  </si>
  <si>
    <t>Role</t>
  </si>
  <si>
    <t>rolePermissions</t>
  </si>
  <si>
    <t>RolePermission</t>
  </si>
  <si>
    <t>permission</t>
  </si>
  <si>
    <t>Permission</t>
  </si>
  <si>
    <t>code</t>
  </si>
  <si>
    <t>GroupMembership</t>
  </si>
  <si>
    <t>group</t>
  </si>
  <si>
    <t>Group</t>
  </si>
  <si>
    <t>Y</t>
  </si>
  <si>
    <t>RIPInspectionId</t>
  </si>
  <si>
    <t>NSCPlateDecal</t>
  </si>
  <si>
    <t>ICBCModelYear</t>
  </si>
  <si>
    <t>ICBCVehicleType</t>
  </si>
  <si>
    <t>ICBCRateClass</t>
  </si>
  <si>
    <t>ICBCCVIPDecal</t>
  </si>
  <si>
    <t>ICBCFleetUnitNo</t>
  </si>
  <si>
    <t>ICBCGrossVehicleWeight</t>
  </si>
  <si>
    <t>ICBCMake</t>
  </si>
  <si>
    <t>ICBCBody</t>
  </si>
  <si>
    <t>ICBCRebuiltStatus</t>
  </si>
  <si>
    <t>ICBCCVIPExpiry</t>
  </si>
  <si>
    <t>ICBCNetWt</t>
  </si>
  <si>
    <t>ICBCModel</t>
  </si>
  <si>
    <t>ICBCFuel</t>
  </si>
  <si>
    <t>ICBCSeatingCapacity</t>
  </si>
  <si>
    <t>ICBCColour</t>
  </si>
  <si>
    <t>ICBCNotesAndOrders</t>
  </si>
  <si>
    <t>ICBCOrderedOn</t>
  </si>
  <si>
    <t>ICBCRegOwnerName</t>
  </si>
  <si>
    <t>ICBCRegOwnerAddr1</t>
  </si>
  <si>
    <t>ICBCRegOwnerAddr2</t>
  </si>
  <si>
    <t>ICBCRegOwnerCity</t>
  </si>
  <si>
    <t>ICBCRegOwnerProv</t>
  </si>
  <si>
    <t>ICBCRegOwnerPostalCode</t>
  </si>
  <si>
    <t>ICBCRegOwnerStatus</t>
  </si>
  <si>
    <t>ICBCRegOwnerRODL</t>
  </si>
  <si>
    <t>NSCClientNum</t>
  </si>
  <si>
    <t>NSCCarrierName</t>
  </si>
  <si>
    <t>NSCCarrierConditions</t>
  </si>
  <si>
    <t>NSCCarrierSafetyRating</t>
  </si>
  <si>
    <t>NSCPolicyNumber</t>
  </si>
  <si>
    <t>NSCPolicyEffectiveDate</t>
  </si>
  <si>
    <t>NSCPolicyStatusDate</t>
  </si>
  <si>
    <t>NSCPolicyExpiryDate</t>
  </si>
  <si>
    <t>NSCPolicyStatus</t>
  </si>
  <si>
    <t>User specific settings for a specific location in the UI. The location and saved settings are internally defined by the UI.</t>
  </si>
  <si>
    <t>A list of cities in BC. Authoritative source to be determined.</t>
  </si>
  <si>
    <t>Information about the users of the system.</t>
  </si>
  <si>
    <t>File</t>
  </si>
  <si>
    <t>Required</t>
  </si>
  <si>
    <t>!Required</t>
  </si>
  <si>
    <t>list</t>
  </si>
  <si>
    <t>rg:dataset('defs.csv','Defs')</t>
  </si>
  <si>
    <t>Defs</t>
  </si>
  <si>
    <t>path</t>
  </si>
  <si>
    <t>tag</t>
  </si>
  <si>
    <t>paramDef</t>
  </si>
  <si>
    <t>respDef</t>
  </si>
  <si>
    <t>crud</t>
  </si>
  <si>
    <t>post</t>
  </si>
  <si>
    <t>bulk</t>
  </si>
  <si>
    <t>getById</t>
  </si>
  <si>
    <t>putById</t>
  </si>
  <si>
    <t>deleteById</t>
  </si>
  <si>
    <t>fullpath</t>
  </si>
  <si>
    <t>idpath</t>
  </si>
  <si>
    <t>ccwdata</t>
  </si>
  <si>
    <t>!type</t>
  </si>
  <si>
    <t>!path</t>
  </si>
  <si>
    <t>!tag</t>
  </si>
  <si>
    <t>!paramDef</t>
  </si>
  <si>
    <t>!respDef</t>
  </si>
  <si>
    <t>!Description</t>
  </si>
  <si>
    <t>!Table</t>
  </si>
  <si>
    <t>!Type</t>
  </si>
  <si>
    <t>!Length</t>
  </si>
  <si>
    <t>!Name</t>
  </si>
  <si>
    <t>!FK</t>
  </si>
  <si>
    <t>RefDef</t>
  </si>
  <si>
    <t>inspections</t>
  </si>
  <si>
    <t>schoolbuses</t>
  </si>
  <si>
    <t>notificationevents</t>
  </si>
  <si>
    <t>notifications</t>
  </si>
  <si>
    <t>schoolbusowners</t>
  </si>
  <si>
    <t>groups</t>
  </si>
  <si>
    <t>permissions</t>
  </si>
  <si>
    <t>roles</t>
  </si>
  <si>
    <t>userroles</t>
  </si>
  <si>
    <t>regions</t>
  </si>
  <si>
    <t>districts</t>
  </si>
  <si>
    <t>serviceareas</t>
  </si>
  <si>
    <t>cities</t>
  </si>
  <si>
    <t>schooldistricts</t>
  </si>
  <si>
    <t>rolepermissions</t>
  </si>
  <si>
    <t>usergroups</t>
  </si>
  <si>
    <t>A list of School Districts in the Province of BC. Authoritative source to be determined.</t>
  </si>
  <si>
    <t>PermissionViewModel</t>
  </si>
  <si>
    <t>RoleViewModel</t>
  </si>
  <si>
    <t>rg:dataset('paths.csv','Path')</t>
  </si>
  <si>
    <t>The inspector assigned to this schoolbus</t>
  </si>
  <si>
    <t>The type of Favourite</t>
  </si>
  <si>
    <t>createdDate</t>
  </si>
  <si>
    <t>The User who has this Favourite</t>
  </si>
  <si>
    <t>homeTerminalAddress1</t>
  </si>
  <si>
    <t>homeTerminalAddress2</t>
  </si>
  <si>
    <t>VehicleIdentificationNumber</t>
  </si>
  <si>
    <t>Note</t>
  </si>
  <si>
    <t>attachments</t>
  </si>
  <si>
    <t>Attachment</t>
  </si>
  <si>
    <t>history</t>
  </si>
  <si>
    <t>History</t>
  </si>
  <si>
    <t>Notes entered by users about instance of entities - e.g. School Buses and School Bus Owners</t>
  </si>
  <si>
    <t>A user set flag that the note is no longer relevant. Allows the note to be retained for historical reasons,  but identified to other users as no longer applicable.</t>
  </si>
  <si>
    <t>Attachments uploaded by users about instance of entities - e.g. School Buses and School Bus Owners</t>
  </si>
  <si>
    <t>The history of updates made to an entity - e.g. a School Bus or a School Bus Owner</t>
  </si>
  <si>
    <t>The text of the history entry tracked against the related entity.</t>
  </si>
  <si>
    <t>Contact</t>
  </si>
  <si>
    <t>unitNumber</t>
  </si>
  <si>
    <t>The set of notes about the school bus entered by users.</t>
  </si>
  <si>
    <t>The set of attachments about the school bus uploaded by the users.</t>
  </si>
  <si>
    <t>The history of updates made to the School Bus.</t>
  </si>
  <si>
    <t>The set of notes about the school bus owner entered by users.</t>
  </si>
  <si>
    <t>The set of attachments about the school bus owner uploaded by the users.</t>
  </si>
  <si>
    <t>The history of updates made to the School Bus Owner data.</t>
  </si>
  <si>
    <t>The set of contacts related to the School Bus Owner.</t>
  </si>
  <si>
    <t>ICBCRegistrationNumber</t>
  </si>
  <si>
    <t>licencePlateNumber</t>
  </si>
  <si>
    <t>independentSchoolName</t>
  </si>
  <si>
    <t>restrictionsText</t>
  </si>
  <si>
    <t>schoolDistrict</t>
  </si>
  <si>
    <t>permitClassCode</t>
  </si>
  <si>
    <t>bodyTypeCode</t>
  </si>
  <si>
    <t>nextInspectionTypeCode</t>
  </si>
  <si>
    <t>inspectionTypeCode</t>
  </si>
  <si>
    <t>inspectionResultCode</t>
  </si>
  <si>
    <t>noteText</t>
  </si>
  <si>
    <t>historyText</t>
  </si>
  <si>
    <t>A note about the contact maintained by the users.</t>
  </si>
  <si>
    <t>address1</t>
  </si>
  <si>
    <t>address2</t>
  </si>
  <si>
    <t>!Unique</t>
  </si>
  <si>
    <t>Unique</t>
  </si>
  <si>
    <t>binary</t>
  </si>
  <si>
    <t>histories</t>
  </si>
  <si>
    <t>groupMemberships</t>
  </si>
  <si>
    <t>float</t>
  </si>
  <si>
    <t>The School Bus vehicle information supplementary to the vehicle information in ICBC</t>
  </si>
  <si>
    <t>A system-generated unique identifier for a SchoolBus</t>
  </si>
  <si>
    <t>A system-generated unique identifier for a SchoolBusOwner</t>
  </si>
  <si>
    <t>A system-generated unique identifier for a Note</t>
  </si>
  <si>
    <t>A system-generated unique identifier for a History</t>
  </si>
  <si>
    <t>A system-generated unique identifier for a Contact</t>
  </si>
  <si>
    <t>A system-generated unique identifier for a UserFavourite</t>
  </si>
  <si>
    <t>A system-generated unique identifier for a Region</t>
  </si>
  <si>
    <t>A system-generated unique identifier for a District</t>
  </si>
  <si>
    <t>A system-generated unique identifier for a ServiceArea</t>
  </si>
  <si>
    <t>A system-generated unique identifier for a SchoolDistrict</t>
  </si>
  <si>
    <t>A system-generated unique identifier for a City</t>
  </si>
  <si>
    <t>A system-generated unique identifier for a Notification</t>
  </si>
  <si>
    <t>A system-generated unique identifier for a NotificationEvent</t>
  </si>
  <si>
    <t>A system-generated unique identifier for a User</t>
  </si>
  <si>
    <t>A system-generated unique identifier for a UserRole</t>
  </si>
  <si>
    <t>A system-generated unique identifier for a Role</t>
  </si>
  <si>
    <t>A system-generated unique identifier for a RolePermission</t>
  </si>
  <si>
    <t>A system-generated unique identifier for a Permission</t>
  </si>
  <si>
    <t>A system-generated unique identifier for a GroupMembership</t>
  </si>
  <si>
    <t>A system-generated unique identifier for a Group</t>
  </si>
  <si>
    <t>A system-generated unique identifier for CCWData</t>
  </si>
  <si>
    <t>A system-generated unique identifier for an Inspection</t>
  </si>
  <si>
    <t>A system-generated unique identifier for an Attachment</t>
  </si>
  <si>
    <t>The name of the province of the city</t>
  </si>
  <si>
    <t>The registration number of the vehicle as entered by the user and confirmed by the CCW Web Services</t>
  </si>
  <si>
    <t>The License Plate Number for the vehicle</t>
  </si>
  <si>
    <t>Status of the school bus record - current values are Inactive, Active, Archived</t>
  </si>
  <si>
    <t>Address Line 1 of physical location of the School Bus.</t>
  </si>
  <si>
    <t>Address Line 2 of physical location of the School Bus.</t>
  </si>
  <si>
    <t>A comment about the physical location of the bus so that the Inspector can more easily find it for an inspection.</t>
  </si>
  <si>
    <t>Text of any restrictions to be printed on the school bus permit. Standard comments are associated with the Permit Class but the inspector can enter free form text.</t>
  </si>
  <si>
    <t>The next inspection date for this School Bus which is set when inspection results are saved</t>
  </si>
  <si>
    <t xml:space="preserve"> Annual or Re-inspection based on the Pass/Fail status of the most recent inspection - An enumerated type (by the UI) to indicate the type of the next inspection</t>
  </si>
  <si>
    <t>The enumerated class of School Bus from drop down</t>
  </si>
  <si>
    <t>The enumerated body type of the School Bus from drop down</t>
  </si>
  <si>
    <t>The maximum number of passengers in the bus based on the specific use of the bus including the driver. For example,  the same 2-per seat / 24-passenger model might have a seating capacity of 36 if the specific bus is to be used for small children,  3 per seat.</t>
  </si>
  <si>
    <t>Demographic information about companies, organizations, school districts, or individuals who own or lease school buses</t>
  </si>
  <si>
    <t>Status of the School Bus owner - enumerated value Active,  Inactive or Archived from drop down</t>
  </si>
  <si>
    <t>The original create date and time of the owner record. The date-time of the creation of the record from the audit fields. Since this might be surfaced in the API,  adding it to the definition.</t>
  </si>
  <si>
    <t>The Registration Number (Regi) is the link between the CCW vehicle information and a specific School Bus</t>
  </si>
  <si>
    <t>Defines usage such as pleasure only, business, delivery, etc..</t>
  </si>
  <si>
    <t>Six monthly commercial vehicle inspection decal number</t>
  </si>
  <si>
    <t>Vehicle gross weight in kgs</t>
  </si>
  <si>
    <t>Vehicle make</t>
  </si>
  <si>
    <t>Vehicle body code</t>
  </si>
  <si>
    <t xml:space="preserve">Expiry date of the last 6 month commercial vehicle inspection. </t>
  </si>
  <si>
    <t>Vehicle net weight in kgs</t>
  </si>
  <si>
    <t>Fuel type gasoline, propane, diesel etc..</t>
  </si>
  <si>
    <t>Vehicle seating capacity including driver</t>
  </si>
  <si>
    <t>Vehicle color ex BLU, WHI, etc..</t>
  </si>
  <si>
    <t>Owners address line 1</t>
  </si>
  <si>
    <t>Owners address line 2</t>
  </si>
  <si>
    <t>Owners address city</t>
  </si>
  <si>
    <t xml:space="preserve">Owners address Province </t>
  </si>
  <si>
    <t>Owners address Postal Code</t>
  </si>
  <si>
    <t>Registered Owners Driver Licence number</t>
  </si>
  <si>
    <t>Previous Owners Driver Licence number</t>
  </si>
  <si>
    <t>National Safety Code Carrier Number on ICBC client system</t>
  </si>
  <si>
    <t>National Safety Code Carrier Name on ICBC client system</t>
  </si>
  <si>
    <t>Carrier safety rating ex - satisfatory, SAT-unaudited etc..</t>
  </si>
  <si>
    <t>School Bus inspection details supplementary to the RIP inspection</t>
  </si>
  <si>
    <t>The date and time the inspection was conducted.</t>
  </si>
  <si>
    <t>Record creation date and time</t>
  </si>
  <si>
    <t xml:space="preserve"> A code used by the automotive industry to uniquely identify individual motor vehicles. A vehicle identification number is frequently referred to using the acronym VIN and it is occasionally referred to as a chassis number.</t>
  </si>
  <si>
    <t>The owner-defined number of the bus within their bus fleet.</t>
  </si>
  <si>
    <t>The MOTI-defined Regions - must match the official MOTI List</t>
  </si>
  <si>
    <t>The MOTI-defined Districts - must match the official MOTI List</t>
  </si>
  <si>
    <t>The effective date of the Region record - NOT CURRENTLY ENFORCED IN SCHOOL BUS</t>
  </si>
  <si>
    <t>The end date of the Region record; null if active - NOT CURRENTLY ENFORCED IN SCHOOL BUS</t>
  </si>
  <si>
    <t>The effective date of the District record - NOT CURRENTLY ENFORCED IN SCHOOL BUS</t>
  </si>
  <si>
    <t>The end date of the District record; null if active - NOT CURRENTLY ENFORCED IN SCHOOL BUS</t>
  </si>
  <si>
    <t>The MOTI-defined Service Areas - must match the official MOTI List</t>
  </si>
  <si>
    <t>The effective date of the Service Area record - NOT CURRENTLY ENFORCED IN SCHOOL BUS</t>
  </si>
  <si>
    <t>The end date of the Service Area record; null if active - NOT CURRENTLY ENFORCED IN SCHOOL BUS</t>
  </si>
  <si>
    <t>True if the user linked to the inspection has read the notification</t>
  </si>
  <si>
    <t>TO BE REMOVED</t>
  </si>
  <si>
    <t>Notifications associated about changes (mostly from CCW data) to information related to a specific school bus - e.g. change of owner at ICBC, change in NSC client rating, etc.</t>
  </si>
  <si>
    <t>Users associated with specific notifications, created at the time the notification record is created because of the user's business relationship to the bus - e.g. the user is the currently assigned inspector, or the user is the manager for the District in which the bus is located. The rules for linking a user to a notification for a specific bus could vary over time based on the needs of the business. At minimum, it is expected the current inspector assigned to a bus will be notified of every notification for that bus.</t>
  </si>
  <si>
    <t>The date/time of the creation of the event that triggered the creation of the notification.</t>
  </si>
  <si>
    <t>Surname of the user.</t>
  </si>
  <si>
    <t>Given name of the user.</t>
  </si>
  <si>
    <t>Initials of the user, to be presented where screen space is at a premium.</t>
  </si>
  <si>
    <t>The email address of the user in the system.</t>
  </si>
  <si>
    <t>ICBC coded field about whether or not the vehicle has been rebuilt and if so the nature of the rebuilding.</t>
  </si>
  <si>
    <t>Notes and orders from ICBC about the vehicle.</t>
  </si>
  <si>
    <t>The name of the registered owner of the vehicle - per ICBC.</t>
  </si>
  <si>
    <t>Conditions imposed on the carrier (bus owner) within NSC</t>
  </si>
  <si>
    <t>A categorization of the event for which the notification was created. The categories will be defined over time in code based on the requirements of the business. An example might be "ICBCOwnerNameChange" for when a change in the CCWData ICBC Owner Name field is changed.</t>
  </si>
  <si>
    <t>A further categorization of the event for which the notification was created.</t>
  </si>
  <si>
    <t>An assembled text string about the event that triggered the notification. Includes both static text and data about the notification. User Interface code will be used (based on the eventTypeCode - category) to assemble a dynamic string of information about the event - potentially including links to other relevant data - such as link to the School Bus detail screen.</t>
  </si>
  <si>
    <t>A flag indicating the User is active in the system. Set false to remove access to the system for the user.</t>
  </si>
  <si>
    <t>The GUID unique to the user as provided by the authentication system. In this case, authentication is done by Siteminder and the GUID uniquely identifies the user within the user directories managed by Siteminder - e.g. IDIR and BCeID. The GUID is equivalent to the IDIR Id, but is guaranteed unique to a person, while the IDIR ID is not - IDIR IDs can be recycled.</t>
  </si>
  <si>
    <t>The user directory service used by Siteminder to authenticate the user - usually IDIR or BCeID.</t>
  </si>
  <si>
    <t>The date on which the user was given the related role.</t>
  </si>
  <si>
    <t>The date on which a role previously assigned to a user was removed from that user.</t>
  </si>
  <si>
    <t>A table managed in the application by authorized users to create named Roles that can be assigned to Users as needed. Roles can be created as needed to support the users of the system and the roles they perform within the organization.</t>
  </si>
  <si>
    <t>The name of the Role, as established by the user creating the role.</t>
  </si>
  <si>
    <t>A description of the role as set by the user creating/updating the role.</t>
  </si>
  <si>
    <t>The collection of permissions included in a role.</t>
  </si>
  <si>
    <t xml:space="preserve">A join table that provides allows each user to have any number of Roles in the system.  At login time the user is given the sum of the permissions of the roles assigned to that user. </t>
  </si>
  <si>
    <t>The set of permissions defined in the application. Each permission is given a name and triggers some behavior defined in the application. For example, a permission might allow users to see data or to have access to functionality restricted to users without that permission. Permissions are created as needed to the application and are added to the permissions table by data migrations executed at the time the software that uses the permission is deployed.</t>
  </si>
  <si>
    <t>The name of the permission referenced in the software of the application.</t>
  </si>
  <si>
    <t>The 'user friendly' name of the permission exposed to the user selecting the permissions to be included in a Role.</t>
  </si>
  <si>
    <t>A description of the purpose of the permission and exposed to the user selecting the permissions to be included in a Role.</t>
  </si>
  <si>
    <t>The users associated with a given group that has been defined in the application.</t>
  </si>
  <si>
    <t>A flag indicating the User is active in the group. Set false to remove the user from the designated group.</t>
  </si>
  <si>
    <t>A named entity that is used to created a collection of users into a group. For example, the School Bus Inspectors are in the group Inspectors. Groups, like permissions are defined by the application and referenced in the code of the application.</t>
  </si>
  <si>
    <t>The name of the group, as refenced in the code.</t>
  </si>
  <si>
    <t>A description of the group that is presented to the user when they are setting a user into a group.</t>
  </si>
  <si>
    <t>The status (as defined by ICBC) of the registered owner of the vehicle.</t>
  </si>
  <si>
    <t>TO BE DETERMINED</t>
  </si>
  <si>
    <t>Data pulled in from external sources (ICBC, NSC, etc) about School Buses and retained but not updated in the School Bus app. All data elements are simply copied from the comparable fields in the WSDLs of the Web Service Calls. The true source of the field definitions are in those other systems.</t>
  </si>
  <si>
    <t>A table of contacts related to various entities in the system. FK fields are used to link contacts to records in the system.</t>
  </si>
  <si>
    <t>The role of the contact. UI controlled as to whether it is free form or selected from an enumerated list - for initial implementation, the field is freeform.</t>
  </si>
  <si>
    <t>ICBC defined field - designates Commercial, Private, Other Categories</t>
  </si>
  <si>
    <t>ICBCRegOwnerPODL</t>
  </si>
  <si>
    <t>Vehicle model codes used by ICBC - for example bus, scbus, dump, logtr</t>
  </si>
  <si>
    <t>From NSC - The number of the carrier (NSC Clients) necessary insurance required to operate the vehicle.</t>
  </si>
  <si>
    <t>From NSC - The effective data of the policy.</t>
  </si>
  <si>
    <t>From NSC - The date the status of the policy was established.</t>
  </si>
  <si>
    <t>From NSC - The data of expiration of the policy.</t>
  </si>
  <si>
    <t>From NSC - The latest status of the policy.</t>
  </si>
  <si>
    <t>From NSC - The plate decal as defined by NSC on the vehicle</t>
  </si>
  <si>
    <t>ICBCLicencePlateNumber</t>
  </si>
  <si>
    <t>ICBCVehicleIdentificationNumber</t>
  </si>
  <si>
    <t>The District that the User belongs to</t>
  </si>
  <si>
    <t>CCWJurisdiction</t>
  </si>
  <si>
    <t>The contents of the Jurisdiction table from CCW so that the user can select a Jurisdiction for passing to CCW on certain Out of Province School Bus Web Service calls</t>
  </si>
  <si>
    <t>jurisdictionId</t>
  </si>
  <si>
    <t>A system-generated unique identifier for a CCWJurisdiction</t>
  </si>
  <si>
    <t>The CCW system-generated unique identifier for a CCWJurisdiction. Needed for updating the table from CCW if necessary.</t>
  </si>
  <si>
    <t>The effective date of the CCWJurisdiction record - NOT CURRENTLY ENFORCED IN SCHOOL BUS</t>
  </si>
  <si>
    <t>The end date of the CCWJurisdiction record; null if active - NOT CURRENTLY ENFORCED IN SCHOOL BUS</t>
  </si>
  <si>
    <t>activeFlag</t>
  </si>
  <si>
    <t>Flag from CCW indicating if the record is still active - Y indicating it is active. NOT CURRENTLY ENFORCED IN SCHOOL BUS</t>
  </si>
  <si>
    <t>A short version of the Jurisdiction - the familiar two-letter province or state code</t>
  </si>
  <si>
    <t>The full version of the Jurisdiction name.</t>
  </si>
  <si>
    <t>The Jurisdication of an Out Of Province Bus. Needed for querying CCW.</t>
  </si>
  <si>
    <t>ccwjurisdictions</t>
  </si>
  <si>
    <t>CCWData for this School Bus</t>
  </si>
  <si>
    <t>permitIssueDate</t>
  </si>
  <si>
    <t>The date a permit number was established for this School Bus.</t>
  </si>
  <si>
    <t>The (generated) permit number for the School Bus. The number is set by the system when the inspector generates a permit based on a business rule permit number format.</t>
  </si>
  <si>
    <t>True if the School Bus is registered outside of BC.</t>
  </si>
  <si>
    <t>Type of attachment</t>
  </si>
  <si>
    <t>fileName</t>
  </si>
  <si>
    <t>Filename as passed by the user uploading the file</t>
  </si>
  <si>
    <t>Binary contents of the file</t>
  </si>
  <si>
    <t>fileContents</t>
  </si>
  <si>
    <t>workPhoneNumber</t>
  </si>
  <si>
    <t>mobilePhoneNumber</t>
  </si>
  <si>
    <t>faxPhoneNumber</t>
  </si>
  <si>
    <t>emailAddress</t>
  </si>
  <si>
    <t>The email address for the contact.</t>
  </si>
  <si>
    <t>The work phone number for the contact.</t>
  </si>
  <si>
    <t>The mobile phone number for the contact.</t>
  </si>
  <si>
    <t>The fax phone number for the contact.</t>
  </si>
  <si>
    <t>organizationName</t>
  </si>
  <si>
    <t>The organization name of the contact.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</si>
</sst>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8" x14ac:knownFonts="1">
    <font>
      <sz val="12"/>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u/>
      <sz val="12"/>
      <color theme="10"/>
      <name val="Calibri"/>
      <family val="2"/>
      <scheme val="minor"/>
    </font>
    <font>
      <u/>
      <sz val="12"/>
      <color theme="11"/>
      <name val="Calibri"/>
      <family val="2"/>
      <scheme val="minor"/>
    </font>
    <font>
      <b/>
      <sz val="12"/>
      <color theme="1"/>
      <name val="Calibri"/>
      <family val="2"/>
      <scheme val="minor"/>
    </font>
    <font>
      <b/>
      <sz val="11"/>
      <color theme="1"/>
      <name val="Calibri"/>
      <family val="2"/>
      <scheme val="minor"/>
    </font>
  </fonts>
  <fills count="2">
    <fill>
      <patternFill patternType="none"/>
    </fill>
    <fill>
      <patternFill patternType="gray125"/>
    </fill>
  </fills>
  <borders count="1">
    <border>
      <left/>
      <right/>
      <top/>
      <bottom/>
      <diagonal/>
    </border>
  </borders>
  <cellStyleXfs count="722">
    <xf numFmtId="0" fontId="0" fillId="0" borderId="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3" fillId="0" borderId="0"/>
    <xf numFmtId="0" fontId="10" fillId="0" borderId="0"/>
    <xf numFmtId="0" fontId="5" fillId="0" borderId="0"/>
  </cellStyleXfs>
  <cellXfs count="71">
    <xf numFmtId="0" fontId="0" fillId="0" borderId="0" xfId="0"/>
    <xf numFmtId="0" fontId="27" fillId="0" borderId="0" xfId="719" applyFont="1" applyAlignment="1">
      <alignment vertical="top"/>
    </xf>
    <xf numFmtId="0" fontId="27" fillId="0" borderId="0" xfId="719" applyFont="1" applyAlignment="1">
      <alignment vertical="top" wrapText="1"/>
    </xf>
    <xf numFmtId="0" fontId="23" fillId="0" borderId="0" xfId="719"/>
    <xf numFmtId="0" fontId="23" fillId="0" borderId="0" xfId="719" applyNumberFormat="1" applyAlignment="1">
      <alignment vertical="top"/>
    </xf>
    <xf numFmtId="0" fontId="23" fillId="0" borderId="0" xfId="719" applyAlignment="1">
      <alignment vertical="top"/>
    </xf>
    <xf numFmtId="0" fontId="23" fillId="0" borderId="0" xfId="719" applyAlignment="1">
      <alignment vertical="top" wrapText="1"/>
    </xf>
    <xf numFmtId="0" fontId="26" fillId="0" borderId="0" xfId="0" applyFont="1"/>
    <xf numFmtId="0" fontId="22" fillId="0" borderId="0" xfId="719" applyFont="1"/>
    <xf numFmtId="0" fontId="21" fillId="0" borderId="0" xfId="719" applyFont="1"/>
    <xf numFmtId="0" fontId="0" fillId="0" borderId="0" xfId="0" applyAlignment="1">
      <alignment vertical="top"/>
    </xf>
    <xf numFmtId="0" fontId="27" fillId="0" borderId="0" xfId="0" applyFont="1" applyAlignment="1">
      <alignment vertical="top"/>
    </xf>
    <xf numFmtId="0" fontId="20" fillId="0" borderId="0" xfId="719" applyFont="1"/>
    <xf numFmtId="0" fontId="20" fillId="0" borderId="0" xfId="719" applyFont="1" applyAlignment="1">
      <alignment vertical="top"/>
    </xf>
    <xf numFmtId="0" fontId="23" fillId="0" borderId="0" xfId="719" applyFill="1" applyAlignment="1">
      <alignment vertical="top" wrapText="1"/>
    </xf>
    <xf numFmtId="0" fontId="23" fillId="0" borderId="0" xfId="719" applyNumberFormat="1" applyFill="1"/>
    <xf numFmtId="0" fontId="0" fillId="0" borderId="0" xfId="0" applyNumberFormat="1" applyAlignment="1">
      <alignment vertical="top"/>
    </xf>
    <xf numFmtId="0" fontId="19" fillId="0" borderId="0" xfId="719" applyFont="1"/>
    <xf numFmtId="0" fontId="19" fillId="0" borderId="0" xfId="719" applyFont="1" applyFill="1"/>
    <xf numFmtId="0" fontId="23" fillId="0" borderId="0" xfId="719" applyNumberFormat="1" applyFill="1" applyAlignment="1">
      <alignment vertical="top"/>
    </xf>
    <xf numFmtId="0" fontId="18" fillId="0" borderId="0" xfId="719" applyFont="1" applyAlignment="1">
      <alignment vertical="top"/>
    </xf>
    <xf numFmtId="0" fontId="18" fillId="0" borderId="0" xfId="719" applyFont="1" applyAlignment="1">
      <alignment vertical="top" wrapText="1"/>
    </xf>
    <xf numFmtId="0" fontId="17" fillId="0" borderId="0" xfId="719" applyFont="1" applyAlignment="1">
      <alignment vertical="top"/>
    </xf>
    <xf numFmtId="0" fontId="17" fillId="0" borderId="0" xfId="719" applyFont="1" applyAlignment="1">
      <alignment vertical="top" wrapText="1"/>
    </xf>
    <xf numFmtId="0" fontId="16" fillId="0" borderId="0" xfId="719" applyFont="1"/>
    <xf numFmtId="0" fontId="16" fillId="0" borderId="0" xfId="719" applyFont="1" applyAlignment="1">
      <alignment vertical="top"/>
    </xf>
    <xf numFmtId="0" fontId="16" fillId="0" borderId="0" xfId="719" applyFont="1" applyAlignment="1">
      <alignment vertical="top" wrapText="1"/>
    </xf>
    <xf numFmtId="0" fontId="23" fillId="0" borderId="0" xfId="719" applyAlignment="1"/>
    <xf numFmtId="0" fontId="16" fillId="0" borderId="0" xfId="719" applyFont="1" applyAlignment="1"/>
    <xf numFmtId="0" fontId="19" fillId="0" borderId="0" xfId="719" applyFont="1" applyAlignment="1"/>
    <xf numFmtId="0" fontId="15" fillId="0" borderId="0" xfId="719" applyNumberFormat="1" applyFont="1" applyAlignment="1">
      <alignment vertical="top"/>
    </xf>
    <xf numFmtId="0" fontId="15" fillId="0" borderId="0" xfId="719" applyFont="1"/>
    <xf numFmtId="0" fontId="14" fillId="0" borderId="0" xfId="719" applyFont="1"/>
    <xf numFmtId="0" fontId="0" fillId="0" borderId="0" xfId="0" applyNumberFormat="1"/>
    <xf numFmtId="0" fontId="13" fillId="0" borderId="0" xfId="719" applyFont="1" applyAlignment="1">
      <alignment vertical="top"/>
    </xf>
    <xf numFmtId="0" fontId="13" fillId="0" borderId="0" xfId="719" applyFont="1"/>
    <xf numFmtId="0" fontId="13" fillId="0" borderId="0" xfId="719" applyFont="1" applyAlignment="1">
      <alignment vertical="top" wrapText="1"/>
    </xf>
    <xf numFmtId="0" fontId="27" fillId="0" borderId="0" xfId="0" applyFont="1"/>
    <xf numFmtId="0" fontId="12" fillId="0" borderId="0" xfId="719" applyFont="1" applyAlignment="1">
      <alignment vertical="top"/>
    </xf>
    <xf numFmtId="0" fontId="11" fillId="0" borderId="0" xfId="719" applyFont="1" applyAlignment="1">
      <alignment vertical="top"/>
    </xf>
    <xf numFmtId="0" fontId="11" fillId="0" borderId="0" xfId="719" applyFont="1" applyFill="1"/>
    <xf numFmtId="0" fontId="11" fillId="0" borderId="0" xfId="719" applyNumberFormat="1" applyFont="1" applyAlignment="1">
      <alignment vertical="top"/>
    </xf>
    <xf numFmtId="0" fontId="10" fillId="0" borderId="0" xfId="719" applyFont="1" applyAlignment="1"/>
    <xf numFmtId="0" fontId="9" fillId="0" borderId="0" xfId="719" applyFont="1" applyAlignment="1"/>
    <xf numFmtId="0" fontId="9" fillId="0" borderId="0" xfId="719" applyFont="1" applyAlignment="1">
      <alignment vertical="top"/>
    </xf>
    <xf numFmtId="0" fontId="9" fillId="0" borderId="0" xfId="719" applyNumberFormat="1" applyFont="1" applyAlignment="1">
      <alignment vertical="top"/>
    </xf>
    <xf numFmtId="0" fontId="9" fillId="0" borderId="0" xfId="719" applyNumberFormat="1" applyFont="1" applyFill="1" applyAlignment="1">
      <alignment vertical="top"/>
    </xf>
    <xf numFmtId="0" fontId="8" fillId="0" borderId="0" xfId="719" applyFont="1" applyAlignment="1"/>
    <xf numFmtId="0" fontId="7" fillId="0" borderId="0" xfId="719" applyFont="1" applyAlignment="1">
      <alignment vertical="top"/>
    </xf>
    <xf numFmtId="0" fontId="7" fillId="0" borderId="0" xfId="719" applyFont="1"/>
    <xf numFmtId="0" fontId="7" fillId="0" borderId="0" xfId="719" applyFont="1" applyFill="1"/>
    <xf numFmtId="0" fontId="7" fillId="0" borderId="0" xfId="719" applyNumberFormat="1" applyFont="1" applyAlignment="1">
      <alignment vertical="top"/>
    </xf>
    <xf numFmtId="0" fontId="7" fillId="0" borderId="0" xfId="719" applyFont="1" applyAlignment="1"/>
    <xf numFmtId="0" fontId="6" fillId="0" borderId="0" xfId="719" applyFont="1"/>
    <xf numFmtId="0" fontId="6" fillId="0" borderId="0" xfId="719" applyFont="1" applyAlignment="1">
      <alignment vertical="top"/>
    </xf>
    <xf numFmtId="0" fontId="6" fillId="0" borderId="0" xfId="719" applyFont="1" applyAlignment="1">
      <alignment vertical="top" wrapText="1"/>
    </xf>
    <xf numFmtId="0" fontId="5" fillId="0" borderId="0" xfId="719" applyFont="1" applyAlignment="1">
      <alignment vertical="top"/>
    </xf>
    <xf numFmtId="0" fontId="5" fillId="0" borderId="0" xfId="719" applyFont="1" applyAlignment="1"/>
    <xf numFmtId="0" fontId="5" fillId="0" borderId="0" xfId="719" applyFont="1" applyAlignment="1">
      <alignment vertical="top" wrapText="1"/>
    </xf>
    <xf numFmtId="0" fontId="5" fillId="0" borderId="0" xfId="719" applyFont="1" applyFill="1"/>
    <xf numFmtId="0" fontId="5" fillId="0" borderId="0" xfId="719" applyNumberFormat="1" applyFont="1" applyFill="1" applyAlignment="1">
      <alignment vertical="top"/>
    </xf>
    <xf numFmtId="0" fontId="4" fillId="0" borderId="0" xfId="719" applyFont="1" applyAlignment="1">
      <alignment vertical="top"/>
    </xf>
    <xf numFmtId="0" fontId="4" fillId="0" borderId="0" xfId="719" applyFont="1" applyAlignment="1">
      <alignment vertical="top" wrapText="1"/>
    </xf>
    <xf numFmtId="0" fontId="3" fillId="0" borderId="0" xfId="719" applyFont="1" applyAlignment="1">
      <alignment vertical="top"/>
    </xf>
    <xf numFmtId="0" fontId="3" fillId="0" borderId="0" xfId="719" applyFont="1" applyAlignment="1"/>
    <xf numFmtId="0" fontId="2" fillId="0" borderId="0" xfId="719" applyFont="1"/>
    <xf numFmtId="0" fontId="2" fillId="0" borderId="0" xfId="719" applyFont="1" applyAlignment="1">
      <alignment vertical="top"/>
    </xf>
    <xf numFmtId="0" fontId="2" fillId="0" borderId="0" xfId="719" applyFont="1" applyAlignment="1"/>
    <xf numFmtId="0" fontId="1" fillId="0" borderId="0" xfId="719" applyFont="1"/>
    <xf numFmtId="0" fontId="1" fillId="0" borderId="0" xfId="719" applyFont="1" applyAlignment="1">
      <alignment vertical="top"/>
    </xf>
    <xf numFmtId="0" fontId="1" fillId="0" borderId="0" xfId="719" applyFont="1" applyAlignment="1"/>
  </cellXfs>
  <cellStyles count="722">
    <cellStyle name="Followed Hyperlink" xfId="2" builtinId="9" hidden="1"/>
    <cellStyle name="Followed Hyperlink" xfId="4" builtinId="9" hidden="1"/>
    <cellStyle name="Followed Hyperlink" xfId="6" builtinId="9" hidden="1"/>
    <cellStyle name="Followed Hyperlink" xfId="8" builtinId="9" hidden="1"/>
    <cellStyle name="Followed Hyperlink" xfId="10" builtinId="9" hidden="1"/>
    <cellStyle name="Followed Hyperlink" xfId="12" builtinId="9" hidden="1"/>
    <cellStyle name="Followed Hyperlink" xfId="14" builtinId="9" hidden="1"/>
    <cellStyle name="Followed Hyperlink" xfId="16" builtinId="9" hidden="1"/>
    <cellStyle name="Followed Hyperlink" xfId="18" builtinId="9" hidden="1"/>
    <cellStyle name="Followed Hyperlink" xfId="20" builtinId="9" hidden="1"/>
    <cellStyle name="Followed Hyperlink" xfId="22" builtinId="9" hidden="1"/>
    <cellStyle name="Followed Hyperlink" xfId="24" builtinId="9" hidden="1"/>
    <cellStyle name="Followed Hyperlink" xfId="26" builtinId="9" hidden="1"/>
    <cellStyle name="Followed Hyperlink" xfId="28" builtinId="9" hidden="1"/>
    <cellStyle name="Followed Hyperlink" xfId="30" builtinId="9" hidden="1"/>
    <cellStyle name="Followed Hyperlink" xfId="32" builtinId="9" hidden="1"/>
    <cellStyle name="Followed Hyperlink" xfId="34" builtinId="9" hidden="1"/>
    <cellStyle name="Followed Hyperlink" xfId="36" builtinId="9" hidden="1"/>
    <cellStyle name="Followed Hyperlink" xfId="38" builtinId="9" hidden="1"/>
    <cellStyle name="Followed Hyperlink" xfId="40" builtinId="9" hidden="1"/>
    <cellStyle name="Followed Hyperlink" xfId="42" builtinId="9" hidden="1"/>
    <cellStyle name="Followed Hyperlink" xfId="44" builtinId="9" hidden="1"/>
    <cellStyle name="Followed Hyperlink" xfId="46" builtinId="9" hidden="1"/>
    <cellStyle name="Followed Hyperlink" xfId="48" builtinId="9" hidden="1"/>
    <cellStyle name="Followed Hyperlink" xfId="50" builtinId="9" hidden="1"/>
    <cellStyle name="Followed Hyperlink" xfId="52" builtinId="9" hidden="1"/>
    <cellStyle name="Followed Hyperlink" xfId="54" builtinId="9" hidden="1"/>
    <cellStyle name="Followed Hyperlink" xfId="56" builtinId="9" hidden="1"/>
    <cellStyle name="Followed Hyperlink" xfId="58" builtinId="9" hidden="1"/>
    <cellStyle name="Followed Hyperlink" xfId="60" builtinId="9" hidden="1"/>
    <cellStyle name="Followed Hyperlink" xfId="62" builtinId="9" hidden="1"/>
    <cellStyle name="Followed Hyperlink" xfId="64" builtinId="9" hidden="1"/>
    <cellStyle name="Followed Hyperlink" xfId="66" builtinId="9" hidden="1"/>
    <cellStyle name="Followed Hyperlink" xfId="68" builtinId="9" hidden="1"/>
    <cellStyle name="Followed Hyperlink" xfId="70" builtinId="9" hidden="1"/>
    <cellStyle name="Followed Hyperlink" xfId="72" builtinId="9" hidden="1"/>
    <cellStyle name="Followed Hyperlink" xfId="74" builtinId="9" hidden="1"/>
    <cellStyle name="Followed Hyperlink" xfId="76" builtinId="9" hidden="1"/>
    <cellStyle name="Followed Hyperlink" xfId="78" builtinId="9" hidden="1"/>
    <cellStyle name="Followed Hyperlink" xfId="80" builtinId="9" hidden="1"/>
    <cellStyle name="Followed Hyperlink" xfId="82" builtinId="9" hidden="1"/>
    <cellStyle name="Followed Hyperlink" xfId="84" builtinId="9" hidden="1"/>
    <cellStyle name="Followed Hyperlink" xfId="86" builtinId="9" hidden="1"/>
    <cellStyle name="Followed Hyperlink" xfId="88" builtinId="9" hidden="1"/>
    <cellStyle name="Followed Hyperlink" xfId="90" builtinId="9" hidden="1"/>
    <cellStyle name="Followed Hyperlink" xfId="92" builtinId="9" hidden="1"/>
    <cellStyle name="Followed Hyperlink" xfId="94" builtinId="9" hidden="1"/>
    <cellStyle name="Followed Hyperlink" xfId="96" builtinId="9" hidden="1"/>
    <cellStyle name="Followed Hyperlink" xfId="98" builtinId="9" hidden="1"/>
    <cellStyle name="Followed Hyperlink" xfId="100" builtinId="9" hidden="1"/>
    <cellStyle name="Followed Hyperlink" xfId="102" builtinId="9" hidden="1"/>
    <cellStyle name="Followed Hyperlink" xfId="104" builtinId="9" hidden="1"/>
    <cellStyle name="Followed Hyperlink" xfId="106" builtinId="9" hidden="1"/>
    <cellStyle name="Followed Hyperlink" xfId="108" builtinId="9" hidden="1"/>
    <cellStyle name="Followed Hyperlink" xfId="110" builtinId="9" hidden="1"/>
    <cellStyle name="Followed Hyperlink" xfId="112" builtinId="9" hidden="1"/>
    <cellStyle name="Followed Hyperlink" xfId="114" builtinId="9" hidden="1"/>
    <cellStyle name="Followed Hyperlink" xfId="116" builtinId="9" hidden="1"/>
    <cellStyle name="Followed Hyperlink" xfId="118" builtinId="9" hidden="1"/>
    <cellStyle name="Followed Hyperlink" xfId="120" builtinId="9" hidden="1"/>
    <cellStyle name="Followed Hyperlink" xfId="122" builtinId="9" hidden="1"/>
    <cellStyle name="Followed Hyperlink" xfId="124" builtinId="9" hidden="1"/>
    <cellStyle name="Followed Hyperlink" xfId="126" builtinId="9" hidden="1"/>
    <cellStyle name="Followed Hyperlink" xfId="128" builtinId="9" hidden="1"/>
    <cellStyle name="Followed Hyperlink" xfId="130" builtinId="9" hidden="1"/>
    <cellStyle name="Followed Hyperlink" xfId="132" builtinId="9" hidden="1"/>
    <cellStyle name="Followed Hyperlink" xfId="134" builtinId="9" hidden="1"/>
    <cellStyle name="Followed Hyperlink" xfId="136" builtinId="9" hidden="1"/>
    <cellStyle name="Followed Hyperlink" xfId="138" builtinId="9" hidden="1"/>
    <cellStyle name="Followed Hyperlink" xfId="140" builtinId="9" hidden="1"/>
    <cellStyle name="Followed Hyperlink" xfId="142" builtinId="9" hidden="1"/>
    <cellStyle name="Followed Hyperlink" xfId="144" builtinId="9" hidden="1"/>
    <cellStyle name="Followed Hyperlink" xfId="146" builtinId="9" hidden="1"/>
    <cellStyle name="Followed Hyperlink" xfId="148" builtinId="9" hidden="1"/>
    <cellStyle name="Followed Hyperlink" xfId="150" builtinId="9" hidden="1"/>
    <cellStyle name="Followed Hyperlink" xfId="152" builtinId="9" hidden="1"/>
    <cellStyle name="Followed Hyperlink" xfId="154" builtinId="9" hidden="1"/>
    <cellStyle name="Followed Hyperlink" xfId="156" builtinId="9" hidden="1"/>
    <cellStyle name="Followed Hyperlink" xfId="158" builtinId="9" hidden="1"/>
    <cellStyle name="Followed Hyperlink" xfId="160" builtinId="9" hidden="1"/>
    <cellStyle name="Followed Hyperlink" xfId="162" builtinId="9" hidden="1"/>
    <cellStyle name="Followed Hyperlink" xfId="164" builtinId="9" hidden="1"/>
    <cellStyle name="Followed Hyperlink" xfId="166" builtinId="9" hidden="1"/>
    <cellStyle name="Followed Hyperlink" xfId="168" builtinId="9" hidden="1"/>
    <cellStyle name="Followed Hyperlink" xfId="170" builtinId="9" hidden="1"/>
    <cellStyle name="Followed Hyperlink" xfId="172" builtinId="9" hidden="1"/>
    <cellStyle name="Followed Hyperlink" xfId="174" builtinId="9" hidden="1"/>
    <cellStyle name="Followed Hyperlink" xfId="176" builtinId="9" hidden="1"/>
    <cellStyle name="Followed Hyperlink" xfId="178" builtinId="9" hidden="1"/>
    <cellStyle name="Followed Hyperlink" xfId="180" builtinId="9" hidden="1"/>
    <cellStyle name="Followed Hyperlink" xfId="182" builtinId="9" hidden="1"/>
    <cellStyle name="Followed Hyperlink" xfId="184" builtinId="9" hidden="1"/>
    <cellStyle name="Followed Hyperlink" xfId="186" builtinId="9" hidden="1"/>
    <cellStyle name="Followed Hyperlink" xfId="188" builtinId="9" hidden="1"/>
    <cellStyle name="Followed Hyperlink" xfId="190" builtinId="9" hidden="1"/>
    <cellStyle name="Followed Hyperlink" xfId="192" builtinId="9" hidden="1"/>
    <cellStyle name="Followed Hyperlink" xfId="194" builtinId="9" hidden="1"/>
    <cellStyle name="Followed Hyperlink" xfId="196" builtinId="9" hidden="1"/>
    <cellStyle name="Followed Hyperlink" xfId="198" builtinId="9" hidden="1"/>
    <cellStyle name="Followed Hyperlink" xfId="200" builtinId="9" hidden="1"/>
    <cellStyle name="Followed Hyperlink" xfId="202" builtinId="9" hidden="1"/>
    <cellStyle name="Followed Hyperlink" xfId="204" builtinId="9" hidden="1"/>
    <cellStyle name="Followed Hyperlink" xfId="206" builtinId="9" hidden="1"/>
    <cellStyle name="Followed Hyperlink" xfId="208" builtinId="9" hidden="1"/>
    <cellStyle name="Followed Hyperlink" xfId="210" builtinId="9" hidden="1"/>
    <cellStyle name="Followed Hyperlink" xfId="212" builtinId="9" hidden="1"/>
    <cellStyle name="Followed Hyperlink" xfId="214" builtinId="9" hidden="1"/>
    <cellStyle name="Followed Hyperlink" xfId="216" builtinId="9" hidden="1"/>
    <cellStyle name="Followed Hyperlink" xfId="218" builtinId="9" hidden="1"/>
    <cellStyle name="Followed Hyperlink" xfId="220" builtinId="9" hidden="1"/>
    <cellStyle name="Followed Hyperlink" xfId="222" builtinId="9" hidden="1"/>
    <cellStyle name="Followed Hyperlink" xfId="224" builtinId="9" hidden="1"/>
    <cellStyle name="Followed Hyperlink" xfId="226" builtinId="9" hidden="1"/>
    <cellStyle name="Followed Hyperlink" xfId="228" builtinId="9" hidden="1"/>
    <cellStyle name="Followed Hyperlink" xfId="230" builtinId="9" hidden="1"/>
    <cellStyle name="Followed Hyperlink" xfId="232" builtinId="9" hidden="1"/>
    <cellStyle name="Followed Hyperlink" xfId="234" builtinId="9" hidden="1"/>
    <cellStyle name="Followed Hyperlink" xfId="236" builtinId="9" hidden="1"/>
    <cellStyle name="Followed Hyperlink" xfId="238" builtinId="9" hidden="1"/>
    <cellStyle name="Followed Hyperlink" xfId="240" builtinId="9" hidden="1"/>
    <cellStyle name="Followed Hyperlink" xfId="242" builtinId="9" hidden="1"/>
    <cellStyle name="Followed Hyperlink" xfId="244" builtinId="9" hidden="1"/>
    <cellStyle name="Followed Hyperlink" xfId="246" builtinId="9" hidden="1"/>
    <cellStyle name="Followed Hyperlink" xfId="248" builtinId="9" hidden="1"/>
    <cellStyle name="Followed Hyperlink" xfId="250" builtinId="9" hidden="1"/>
    <cellStyle name="Followed Hyperlink" xfId="252" builtinId="9" hidden="1"/>
    <cellStyle name="Followed Hyperlink" xfId="254" builtinId="9" hidden="1"/>
    <cellStyle name="Followed Hyperlink" xfId="256" builtinId="9" hidden="1"/>
    <cellStyle name="Followed Hyperlink" xfId="258" builtinId="9" hidden="1"/>
    <cellStyle name="Followed Hyperlink" xfId="260" builtinId="9" hidden="1"/>
    <cellStyle name="Followed Hyperlink" xfId="262" builtinId="9" hidden="1"/>
    <cellStyle name="Followed Hyperlink" xfId="264" builtinId="9" hidden="1"/>
    <cellStyle name="Followed Hyperlink" xfId="266" builtinId="9" hidden="1"/>
    <cellStyle name="Followed Hyperlink" xfId="268" builtinId="9" hidden="1"/>
    <cellStyle name="Followed Hyperlink" xfId="270" builtinId="9" hidden="1"/>
    <cellStyle name="Followed Hyperlink" xfId="272" builtinId="9" hidden="1"/>
    <cellStyle name="Followed Hyperlink" xfId="274" builtinId="9" hidden="1"/>
    <cellStyle name="Followed Hyperlink" xfId="276" builtinId="9" hidden="1"/>
    <cellStyle name="Followed Hyperlink" xfId="278" builtinId="9" hidden="1"/>
    <cellStyle name="Followed Hyperlink" xfId="280" builtinId="9" hidden="1"/>
    <cellStyle name="Followed Hyperlink" xfId="282" builtinId="9" hidden="1"/>
    <cellStyle name="Followed Hyperlink" xfId="284" builtinId="9" hidden="1"/>
    <cellStyle name="Followed Hyperlink" xfId="286" builtinId="9" hidden="1"/>
    <cellStyle name="Followed Hyperlink" xfId="288" builtinId="9" hidden="1"/>
    <cellStyle name="Followed Hyperlink" xfId="290" builtinId="9" hidden="1"/>
    <cellStyle name="Followed Hyperlink" xfId="292" builtinId="9" hidden="1"/>
    <cellStyle name="Followed Hyperlink" xfId="294" builtinId="9" hidden="1"/>
    <cellStyle name="Followed Hyperlink" xfId="296" builtinId="9" hidden="1"/>
    <cellStyle name="Followed Hyperlink" xfId="298" builtinId="9" hidden="1"/>
    <cellStyle name="Followed Hyperlink" xfId="300" builtinId="9" hidden="1"/>
    <cellStyle name="Followed Hyperlink" xfId="302" builtinId="9" hidden="1"/>
    <cellStyle name="Followed Hyperlink" xfId="304" builtinId="9" hidden="1"/>
    <cellStyle name="Followed Hyperlink" xfId="306" builtinId="9" hidden="1"/>
    <cellStyle name="Followed Hyperlink" xfId="308" builtinId="9" hidden="1"/>
    <cellStyle name="Followed Hyperlink" xfId="310" builtinId="9" hidden="1"/>
    <cellStyle name="Followed Hyperlink" xfId="312" builtinId="9" hidden="1"/>
    <cellStyle name="Followed Hyperlink" xfId="314" builtinId="9" hidden="1"/>
    <cellStyle name="Followed Hyperlink" xfId="316" builtinId="9" hidden="1"/>
    <cellStyle name="Followed Hyperlink" xfId="318" builtinId="9" hidden="1"/>
    <cellStyle name="Followed Hyperlink" xfId="320" builtinId="9" hidden="1"/>
    <cellStyle name="Followed Hyperlink" xfId="322" builtinId="9" hidden="1"/>
    <cellStyle name="Followed Hyperlink" xfId="324" builtinId="9" hidden="1"/>
    <cellStyle name="Followed Hyperlink" xfId="326" builtinId="9" hidden="1"/>
    <cellStyle name="Followed Hyperlink" xfId="328" builtinId="9" hidden="1"/>
    <cellStyle name="Followed Hyperlink" xfId="330" builtinId="9" hidden="1"/>
    <cellStyle name="Followed Hyperlink" xfId="332" builtinId="9" hidden="1"/>
    <cellStyle name="Followed Hyperlink" xfId="334" builtinId="9" hidden="1"/>
    <cellStyle name="Followed Hyperlink" xfId="336" builtinId="9" hidden="1"/>
    <cellStyle name="Followed Hyperlink" xfId="338" builtinId="9" hidden="1"/>
    <cellStyle name="Followed Hyperlink" xfId="340" builtinId="9" hidden="1"/>
    <cellStyle name="Followed Hyperlink" xfId="342" builtinId="9" hidden="1"/>
    <cellStyle name="Followed Hyperlink" xfId="344" builtinId="9" hidden="1"/>
    <cellStyle name="Followed Hyperlink" xfId="346" builtinId="9" hidden="1"/>
    <cellStyle name="Followed Hyperlink" xfId="348" builtinId="9" hidden="1"/>
    <cellStyle name="Followed Hyperlink" xfId="350" builtinId="9" hidden="1"/>
    <cellStyle name="Followed Hyperlink" xfId="352" builtinId="9" hidden="1"/>
    <cellStyle name="Followed Hyperlink" xfId="354" builtinId="9" hidden="1"/>
    <cellStyle name="Followed Hyperlink" xfId="356" builtinId="9" hidden="1"/>
    <cellStyle name="Followed Hyperlink" xfId="358" builtinId="9" hidden="1"/>
    <cellStyle name="Followed Hyperlink" xfId="360" builtinId="9" hidden="1"/>
    <cellStyle name="Followed Hyperlink" xfId="362" builtinId="9" hidden="1"/>
    <cellStyle name="Followed Hyperlink" xfId="364" builtinId="9" hidden="1"/>
    <cellStyle name="Followed Hyperlink" xfId="366" builtinId="9" hidden="1"/>
    <cellStyle name="Followed Hyperlink" xfId="368" builtinId="9" hidden="1"/>
    <cellStyle name="Followed Hyperlink" xfId="370" builtinId="9" hidden="1"/>
    <cellStyle name="Followed Hyperlink" xfId="372" builtinId="9" hidden="1"/>
    <cellStyle name="Followed Hyperlink" xfId="374" builtinId="9" hidden="1"/>
    <cellStyle name="Followed Hyperlink" xfId="376" builtinId="9" hidden="1"/>
    <cellStyle name="Followed Hyperlink" xfId="378" builtinId="9" hidden="1"/>
    <cellStyle name="Followed Hyperlink" xfId="380" builtinId="9" hidden="1"/>
    <cellStyle name="Followed Hyperlink" xfId="382" builtinId="9" hidden="1"/>
    <cellStyle name="Followed Hyperlink" xfId="384" builtinId="9" hidden="1"/>
    <cellStyle name="Followed Hyperlink" xfId="386" builtinId="9" hidden="1"/>
    <cellStyle name="Followed Hyperlink" xfId="388" builtinId="9" hidden="1"/>
    <cellStyle name="Followed Hyperlink" xfId="390" builtinId="9" hidden="1"/>
    <cellStyle name="Followed Hyperlink" xfId="392" builtinId="9" hidden="1"/>
    <cellStyle name="Followed Hyperlink" xfId="394" builtinId="9" hidden="1"/>
    <cellStyle name="Followed Hyperlink" xfId="396" builtinId="9" hidden="1"/>
    <cellStyle name="Followed Hyperlink" xfId="398" builtinId="9" hidden="1"/>
    <cellStyle name="Followed Hyperlink" xfId="400" builtinId="9" hidden="1"/>
    <cellStyle name="Followed Hyperlink" xfId="402" builtinId="9" hidden="1"/>
    <cellStyle name="Followed Hyperlink" xfId="404" builtinId="9" hidden="1"/>
    <cellStyle name="Followed Hyperlink" xfId="406" builtinId="9" hidden="1"/>
    <cellStyle name="Followed Hyperlink" xfId="408" builtinId="9" hidden="1"/>
    <cellStyle name="Followed Hyperlink" xfId="410" builtinId="9" hidden="1"/>
    <cellStyle name="Followed Hyperlink" xfId="412" builtinId="9" hidden="1"/>
    <cellStyle name="Followed Hyperlink" xfId="414" builtinId="9" hidden="1"/>
    <cellStyle name="Followed Hyperlink" xfId="416" builtinId="9" hidden="1"/>
    <cellStyle name="Followed Hyperlink" xfId="418" builtinId="9" hidden="1"/>
    <cellStyle name="Followed Hyperlink" xfId="420" builtinId="9" hidden="1"/>
    <cellStyle name="Followed Hyperlink" xfId="422" builtinId="9" hidden="1"/>
    <cellStyle name="Followed Hyperlink" xfId="424" builtinId="9" hidden="1"/>
    <cellStyle name="Followed Hyperlink" xfId="426" builtinId="9" hidden="1"/>
    <cellStyle name="Followed Hyperlink" xfId="428" builtinId="9" hidden="1"/>
    <cellStyle name="Followed Hyperlink" xfId="430" builtinId="9" hidden="1"/>
    <cellStyle name="Followed Hyperlink" xfId="432" builtinId="9" hidden="1"/>
    <cellStyle name="Followed Hyperlink" xfId="434" builtinId="9" hidden="1"/>
    <cellStyle name="Followed Hyperlink" xfId="436" builtinId="9" hidden="1"/>
    <cellStyle name="Followed Hyperlink" xfId="438" builtinId="9" hidden="1"/>
    <cellStyle name="Followed Hyperlink" xfId="440" builtinId="9" hidden="1"/>
    <cellStyle name="Followed Hyperlink" xfId="442" builtinId="9" hidden="1"/>
    <cellStyle name="Followed Hyperlink" xfId="444" builtinId="9" hidden="1"/>
    <cellStyle name="Followed Hyperlink" xfId="446" builtinId="9" hidden="1"/>
    <cellStyle name="Followed Hyperlink" xfId="448" builtinId="9" hidden="1"/>
    <cellStyle name="Followed Hyperlink" xfId="450" builtinId="9" hidden="1"/>
    <cellStyle name="Followed Hyperlink" xfId="452" builtinId="9" hidden="1"/>
    <cellStyle name="Followed Hyperlink" xfId="454" builtinId="9" hidden="1"/>
    <cellStyle name="Followed Hyperlink" xfId="456" builtinId="9" hidden="1"/>
    <cellStyle name="Followed Hyperlink" xfId="458" builtinId="9" hidden="1"/>
    <cellStyle name="Followed Hyperlink" xfId="460" builtinId="9" hidden="1"/>
    <cellStyle name="Followed Hyperlink" xfId="462" builtinId="9" hidden="1"/>
    <cellStyle name="Followed Hyperlink" xfId="464" builtinId="9" hidden="1"/>
    <cellStyle name="Followed Hyperlink" xfId="466" builtinId="9" hidden="1"/>
    <cellStyle name="Followed Hyperlink" xfId="468" builtinId="9" hidden="1"/>
    <cellStyle name="Followed Hyperlink" xfId="470" builtinId="9" hidden="1"/>
    <cellStyle name="Followed Hyperlink" xfId="472" builtinId="9" hidden="1"/>
    <cellStyle name="Followed Hyperlink" xfId="474" builtinId="9" hidden="1"/>
    <cellStyle name="Followed Hyperlink" xfId="476" builtinId="9" hidden="1"/>
    <cellStyle name="Followed Hyperlink" xfId="478" builtinId="9" hidden="1"/>
    <cellStyle name="Followed Hyperlink" xfId="480" builtinId="9" hidden="1"/>
    <cellStyle name="Followed Hyperlink" xfId="482" builtinId="9" hidden="1"/>
    <cellStyle name="Followed Hyperlink" xfId="484" builtinId="9" hidden="1"/>
    <cellStyle name="Followed Hyperlink" xfId="486" builtinId="9" hidden="1"/>
    <cellStyle name="Followed Hyperlink" xfId="488" builtinId="9" hidden="1"/>
    <cellStyle name="Followed Hyperlink" xfId="490" builtinId="9" hidden="1"/>
    <cellStyle name="Followed Hyperlink" xfId="492" builtinId="9" hidden="1"/>
    <cellStyle name="Followed Hyperlink" xfId="494" builtinId="9" hidden="1"/>
    <cellStyle name="Followed Hyperlink" xfId="496" builtinId="9" hidden="1"/>
    <cellStyle name="Followed Hyperlink" xfId="498" builtinId="9" hidden="1"/>
    <cellStyle name="Followed Hyperlink" xfId="500" builtinId="9" hidden="1"/>
    <cellStyle name="Followed Hyperlink" xfId="502" builtinId="9" hidden="1"/>
    <cellStyle name="Followed Hyperlink" xfId="504" builtinId="9" hidden="1"/>
    <cellStyle name="Followed Hyperlink" xfId="506" builtinId="9" hidden="1"/>
    <cellStyle name="Followed Hyperlink" xfId="508" builtinId="9" hidden="1"/>
    <cellStyle name="Followed Hyperlink" xfId="510" builtinId="9" hidden="1"/>
    <cellStyle name="Followed Hyperlink" xfId="512" builtinId="9" hidden="1"/>
    <cellStyle name="Followed Hyperlink" xfId="514" builtinId="9" hidden="1"/>
    <cellStyle name="Followed Hyperlink" xfId="516" builtinId="9" hidden="1"/>
    <cellStyle name="Followed Hyperlink" xfId="518" builtinId="9" hidden="1"/>
    <cellStyle name="Followed Hyperlink" xfId="520" builtinId="9" hidden="1"/>
    <cellStyle name="Followed Hyperlink" xfId="522" builtinId="9" hidden="1"/>
    <cellStyle name="Followed Hyperlink" xfId="524" builtinId="9" hidden="1"/>
    <cellStyle name="Followed Hyperlink" xfId="526" builtinId="9" hidden="1"/>
    <cellStyle name="Followed Hyperlink" xfId="528" builtinId="9" hidden="1"/>
    <cellStyle name="Followed Hyperlink" xfId="530" builtinId="9" hidden="1"/>
    <cellStyle name="Followed Hyperlink" xfId="532" builtinId="9" hidden="1"/>
    <cellStyle name="Followed Hyperlink" xfId="534" builtinId="9" hidden="1"/>
    <cellStyle name="Followed Hyperlink" xfId="536" builtinId="9" hidden="1"/>
    <cellStyle name="Followed Hyperlink" xfId="538" builtinId="9" hidden="1"/>
    <cellStyle name="Followed Hyperlink" xfId="540" builtinId="9" hidden="1"/>
    <cellStyle name="Followed Hyperlink" xfId="542" builtinId="9" hidden="1"/>
    <cellStyle name="Followed Hyperlink" xfId="544" builtinId="9" hidden="1"/>
    <cellStyle name="Followed Hyperlink" xfId="546" builtinId="9" hidden="1"/>
    <cellStyle name="Followed Hyperlink" xfId="548" builtinId="9" hidden="1"/>
    <cellStyle name="Followed Hyperlink" xfId="550" builtinId="9" hidden="1"/>
    <cellStyle name="Followed Hyperlink" xfId="552" builtinId="9" hidden="1"/>
    <cellStyle name="Followed Hyperlink" xfId="554" builtinId="9" hidden="1"/>
    <cellStyle name="Followed Hyperlink" xfId="556" builtinId="9" hidden="1"/>
    <cellStyle name="Followed Hyperlink" xfId="558" builtinId="9" hidden="1"/>
    <cellStyle name="Followed Hyperlink" xfId="560" builtinId="9" hidden="1"/>
    <cellStyle name="Followed Hyperlink" xfId="562" builtinId="9" hidden="1"/>
    <cellStyle name="Followed Hyperlink" xfId="564" builtinId="9" hidden="1"/>
    <cellStyle name="Followed Hyperlink" xfId="566" builtinId="9" hidden="1"/>
    <cellStyle name="Followed Hyperlink" xfId="568" builtinId="9" hidden="1"/>
    <cellStyle name="Followed Hyperlink" xfId="570" builtinId="9" hidden="1"/>
    <cellStyle name="Followed Hyperlink" xfId="572" builtinId="9" hidden="1"/>
    <cellStyle name="Followed Hyperlink" xfId="574" builtinId="9" hidden="1"/>
    <cellStyle name="Followed Hyperlink" xfId="576" builtinId="9" hidden="1"/>
    <cellStyle name="Followed Hyperlink" xfId="578" builtinId="9" hidden="1"/>
    <cellStyle name="Followed Hyperlink" xfId="580" builtinId="9" hidden="1"/>
    <cellStyle name="Followed Hyperlink" xfId="582" builtinId="9" hidden="1"/>
    <cellStyle name="Followed Hyperlink" xfId="584" builtinId="9" hidden="1"/>
    <cellStyle name="Followed Hyperlink" xfId="586" builtinId="9" hidden="1"/>
    <cellStyle name="Followed Hyperlink" xfId="588" builtinId="9" hidden="1"/>
    <cellStyle name="Followed Hyperlink" xfId="590" builtinId="9" hidden="1"/>
    <cellStyle name="Followed Hyperlink" xfId="592" builtinId="9" hidden="1"/>
    <cellStyle name="Followed Hyperlink" xfId="594" builtinId="9" hidden="1"/>
    <cellStyle name="Followed Hyperlink" xfId="596" builtinId="9" hidden="1"/>
    <cellStyle name="Followed Hyperlink" xfId="598" builtinId="9" hidden="1"/>
    <cellStyle name="Followed Hyperlink" xfId="600" builtinId="9" hidden="1"/>
    <cellStyle name="Followed Hyperlink" xfId="602" builtinId="9" hidden="1"/>
    <cellStyle name="Followed Hyperlink" xfId="604" builtinId="9" hidden="1"/>
    <cellStyle name="Followed Hyperlink" xfId="606" builtinId="9" hidden="1"/>
    <cellStyle name="Followed Hyperlink" xfId="608" builtinId="9" hidden="1"/>
    <cellStyle name="Followed Hyperlink" xfId="610" builtinId="9" hidden="1"/>
    <cellStyle name="Followed Hyperlink" xfId="612" builtinId="9" hidden="1"/>
    <cellStyle name="Followed Hyperlink" xfId="614" builtinId="9" hidden="1"/>
    <cellStyle name="Followed Hyperlink" xfId="616" builtinId="9" hidden="1"/>
    <cellStyle name="Followed Hyperlink" xfId="618" builtinId="9" hidden="1"/>
    <cellStyle name="Followed Hyperlink" xfId="620" builtinId="9" hidden="1"/>
    <cellStyle name="Followed Hyperlink" xfId="622" builtinId="9" hidden="1"/>
    <cellStyle name="Followed Hyperlink" xfId="624" builtinId="9" hidden="1"/>
    <cellStyle name="Followed Hyperlink" xfId="626" builtinId="9" hidden="1"/>
    <cellStyle name="Followed Hyperlink" xfId="628" builtinId="9" hidden="1"/>
    <cellStyle name="Followed Hyperlink" xfId="630" builtinId="9" hidden="1"/>
    <cellStyle name="Followed Hyperlink" xfId="632" builtinId="9" hidden="1"/>
    <cellStyle name="Followed Hyperlink" xfId="634" builtinId="9" hidden="1"/>
    <cellStyle name="Followed Hyperlink" xfId="636" builtinId="9" hidden="1"/>
    <cellStyle name="Followed Hyperlink" xfId="638" builtinId="9" hidden="1"/>
    <cellStyle name="Followed Hyperlink" xfId="640" builtinId="9" hidden="1"/>
    <cellStyle name="Followed Hyperlink" xfId="642" builtinId="9" hidden="1"/>
    <cellStyle name="Followed Hyperlink" xfId="644" builtinId="9" hidden="1"/>
    <cellStyle name="Followed Hyperlink" xfId="646" builtinId="9" hidden="1"/>
    <cellStyle name="Followed Hyperlink" xfId="648" builtinId="9" hidden="1"/>
    <cellStyle name="Followed Hyperlink" xfId="650" builtinId="9" hidden="1"/>
    <cellStyle name="Followed Hyperlink" xfId="652" builtinId="9" hidden="1"/>
    <cellStyle name="Followed Hyperlink" xfId="654" builtinId="9" hidden="1"/>
    <cellStyle name="Followed Hyperlink" xfId="656" builtinId="9" hidden="1"/>
    <cellStyle name="Followed Hyperlink" xfId="658" builtinId="9" hidden="1"/>
    <cellStyle name="Followed Hyperlink" xfId="660" builtinId="9" hidden="1"/>
    <cellStyle name="Followed Hyperlink" xfId="662" builtinId="9" hidden="1"/>
    <cellStyle name="Followed Hyperlink" xfId="664" builtinId="9" hidden="1"/>
    <cellStyle name="Followed Hyperlink" xfId="666" builtinId="9" hidden="1"/>
    <cellStyle name="Followed Hyperlink" xfId="668" builtinId="9" hidden="1"/>
    <cellStyle name="Followed Hyperlink" xfId="670" builtinId="9" hidden="1"/>
    <cellStyle name="Followed Hyperlink" xfId="672" builtinId="9" hidden="1"/>
    <cellStyle name="Followed Hyperlink" xfId="674" builtinId="9" hidden="1"/>
    <cellStyle name="Followed Hyperlink" xfId="676" builtinId="9" hidden="1"/>
    <cellStyle name="Followed Hyperlink" xfId="678" builtinId="9" hidden="1"/>
    <cellStyle name="Followed Hyperlink" xfId="680" builtinId="9" hidden="1"/>
    <cellStyle name="Followed Hyperlink" xfId="682" builtinId="9" hidden="1"/>
    <cellStyle name="Followed Hyperlink" xfId="684" builtinId="9" hidden="1"/>
    <cellStyle name="Followed Hyperlink" xfId="686" builtinId="9" hidden="1"/>
    <cellStyle name="Followed Hyperlink" xfId="688" builtinId="9" hidden="1"/>
    <cellStyle name="Followed Hyperlink" xfId="690" builtinId="9" hidden="1"/>
    <cellStyle name="Followed Hyperlink" xfId="692" builtinId="9" hidden="1"/>
    <cellStyle name="Followed Hyperlink" xfId="694" builtinId="9" hidden="1"/>
    <cellStyle name="Followed Hyperlink" xfId="696" builtinId="9" hidden="1"/>
    <cellStyle name="Followed Hyperlink" xfId="698" builtinId="9" hidden="1"/>
    <cellStyle name="Followed Hyperlink" xfId="700" builtinId="9" hidden="1"/>
    <cellStyle name="Followed Hyperlink" xfId="702" builtinId="9" hidden="1"/>
    <cellStyle name="Followed Hyperlink" xfId="704" builtinId="9" hidden="1"/>
    <cellStyle name="Followed Hyperlink" xfId="706" builtinId="9" hidden="1"/>
    <cellStyle name="Followed Hyperlink" xfId="708" builtinId="9" hidden="1"/>
    <cellStyle name="Followed Hyperlink" xfId="710" builtinId="9" hidden="1"/>
    <cellStyle name="Followed Hyperlink" xfId="712" builtinId="9" hidden="1"/>
    <cellStyle name="Followed Hyperlink" xfId="714" builtinId="9" hidden="1"/>
    <cellStyle name="Followed Hyperlink" xfId="716" builtinId="9" hidden="1"/>
    <cellStyle name="Followed Hyperlink" xfId="718" builtinId="9" hidden="1"/>
    <cellStyle name="Hyperlink" xfId="1" builtinId="8" hidden="1"/>
    <cellStyle name="Hyperlink" xfId="3" builtinId="8" hidden="1"/>
    <cellStyle name="Hyperlink" xfId="5" builtinId="8" hidden="1"/>
    <cellStyle name="Hyperlink" xfId="7" builtinId="8" hidden="1"/>
    <cellStyle name="Hyperlink" xfId="9" builtinId="8" hidden="1"/>
    <cellStyle name="Hyperlink" xfId="11" builtinId="8" hidden="1"/>
    <cellStyle name="Hyperlink" xfId="13" builtinId="8" hidden="1"/>
    <cellStyle name="Hyperlink" xfId="15" builtinId="8" hidden="1"/>
    <cellStyle name="Hyperlink" xfId="17" builtinId="8" hidden="1"/>
    <cellStyle name="Hyperlink" xfId="19" builtinId="8" hidden="1"/>
    <cellStyle name="Hyperlink" xfId="21" builtinId="8" hidden="1"/>
    <cellStyle name="Hyperlink" xfId="23" builtinId="8" hidden="1"/>
    <cellStyle name="Hyperlink" xfId="25" builtinId="8" hidden="1"/>
    <cellStyle name="Hyperlink" xfId="27" builtinId="8" hidden="1"/>
    <cellStyle name="Hyperlink" xfId="29" builtinId="8" hidden="1"/>
    <cellStyle name="Hyperlink" xfId="31" builtinId="8" hidden="1"/>
    <cellStyle name="Hyperlink" xfId="33" builtinId="8" hidden="1"/>
    <cellStyle name="Hyperlink" xfId="35" builtinId="8" hidden="1"/>
    <cellStyle name="Hyperlink" xfId="37" builtinId="8" hidden="1"/>
    <cellStyle name="Hyperlink" xfId="39" builtinId="8" hidden="1"/>
    <cellStyle name="Hyperlink" xfId="41" builtinId="8" hidden="1"/>
    <cellStyle name="Hyperlink" xfId="43" builtinId="8" hidden="1"/>
    <cellStyle name="Hyperlink" xfId="45" builtinId="8" hidden="1"/>
    <cellStyle name="Hyperlink" xfId="47" builtinId="8" hidden="1"/>
    <cellStyle name="Hyperlink" xfId="49" builtinId="8" hidden="1"/>
    <cellStyle name="Hyperlink" xfId="51" builtinId="8" hidden="1"/>
    <cellStyle name="Hyperlink" xfId="53" builtinId="8" hidden="1"/>
    <cellStyle name="Hyperlink" xfId="55" builtinId="8" hidden="1"/>
    <cellStyle name="Hyperlink" xfId="57" builtinId="8" hidden="1"/>
    <cellStyle name="Hyperlink" xfId="59" builtinId="8" hidden="1"/>
    <cellStyle name="Hyperlink" xfId="61" builtinId="8" hidden="1"/>
    <cellStyle name="Hyperlink" xfId="63" builtinId="8" hidden="1"/>
    <cellStyle name="Hyperlink" xfId="65" builtinId="8" hidden="1"/>
    <cellStyle name="Hyperlink" xfId="67" builtinId="8" hidden="1"/>
    <cellStyle name="Hyperlink" xfId="69" builtinId="8" hidden="1"/>
    <cellStyle name="Hyperlink" xfId="71" builtinId="8" hidden="1"/>
    <cellStyle name="Hyperlink" xfId="73" builtinId="8" hidden="1"/>
    <cellStyle name="Hyperlink" xfId="75" builtinId="8" hidden="1"/>
    <cellStyle name="Hyperlink" xfId="77" builtinId="8" hidden="1"/>
    <cellStyle name="Hyperlink" xfId="79" builtinId="8" hidden="1"/>
    <cellStyle name="Hyperlink" xfId="81" builtinId="8" hidden="1"/>
    <cellStyle name="Hyperlink" xfId="83" builtinId="8" hidden="1"/>
    <cellStyle name="Hyperlink" xfId="85" builtinId="8" hidden="1"/>
    <cellStyle name="Hyperlink" xfId="87" builtinId="8" hidden="1"/>
    <cellStyle name="Hyperlink" xfId="89" builtinId="8" hidden="1"/>
    <cellStyle name="Hyperlink" xfId="91" builtinId="8" hidden="1"/>
    <cellStyle name="Hyperlink" xfId="93" builtinId="8" hidden="1"/>
    <cellStyle name="Hyperlink" xfId="95" builtinId="8" hidden="1"/>
    <cellStyle name="Hyperlink" xfId="97" builtinId="8" hidden="1"/>
    <cellStyle name="Hyperlink" xfId="99" builtinId="8" hidden="1"/>
    <cellStyle name="Hyperlink" xfId="101" builtinId="8" hidden="1"/>
    <cellStyle name="Hyperlink" xfId="103" builtinId="8" hidden="1"/>
    <cellStyle name="Hyperlink" xfId="105" builtinId="8" hidden="1"/>
    <cellStyle name="Hyperlink" xfId="107" builtinId="8" hidden="1"/>
    <cellStyle name="Hyperlink" xfId="109" builtinId="8" hidden="1"/>
    <cellStyle name="Hyperlink" xfId="111" builtinId="8" hidden="1"/>
    <cellStyle name="Hyperlink" xfId="113" builtinId="8" hidden="1"/>
    <cellStyle name="Hyperlink" xfId="115" builtinId="8" hidden="1"/>
    <cellStyle name="Hyperlink" xfId="117" builtinId="8" hidden="1"/>
    <cellStyle name="Hyperlink" xfId="119" builtinId="8" hidden="1"/>
    <cellStyle name="Hyperlink" xfId="121" builtinId="8" hidden="1"/>
    <cellStyle name="Hyperlink" xfId="123" builtinId="8" hidden="1"/>
    <cellStyle name="Hyperlink" xfId="125" builtinId="8" hidden="1"/>
    <cellStyle name="Hyperlink" xfId="127" builtinId="8" hidden="1"/>
    <cellStyle name="Hyperlink" xfId="129" builtinId="8" hidden="1"/>
    <cellStyle name="Hyperlink" xfId="131" builtinId="8" hidden="1"/>
    <cellStyle name="Hyperlink" xfId="133" builtinId="8" hidden="1"/>
    <cellStyle name="Hyperlink" xfId="135" builtinId="8" hidden="1"/>
    <cellStyle name="Hyperlink" xfId="137" builtinId="8" hidden="1"/>
    <cellStyle name="Hyperlink" xfId="139" builtinId="8" hidden="1"/>
    <cellStyle name="Hyperlink" xfId="141" builtinId="8" hidden="1"/>
    <cellStyle name="Hyperlink" xfId="143" builtinId="8" hidden="1"/>
    <cellStyle name="Hyperlink" xfId="145" builtinId="8" hidden="1"/>
    <cellStyle name="Hyperlink" xfId="147" builtinId="8" hidden="1"/>
    <cellStyle name="Hyperlink" xfId="149" builtinId="8" hidden="1"/>
    <cellStyle name="Hyperlink" xfId="151" builtinId="8" hidden="1"/>
    <cellStyle name="Hyperlink" xfId="153" builtinId="8" hidden="1"/>
    <cellStyle name="Hyperlink" xfId="155" builtinId="8" hidden="1"/>
    <cellStyle name="Hyperlink" xfId="157" builtinId="8" hidden="1"/>
    <cellStyle name="Hyperlink" xfId="159" builtinId="8" hidden="1"/>
    <cellStyle name="Hyperlink" xfId="161" builtinId="8" hidden="1"/>
    <cellStyle name="Hyperlink" xfId="163" builtinId="8" hidden="1"/>
    <cellStyle name="Hyperlink" xfId="165" builtinId="8" hidden="1"/>
    <cellStyle name="Hyperlink" xfId="167" builtinId="8" hidden="1"/>
    <cellStyle name="Hyperlink" xfId="169" builtinId="8" hidden="1"/>
    <cellStyle name="Hyperlink" xfId="171" builtinId="8" hidden="1"/>
    <cellStyle name="Hyperlink" xfId="173" builtinId="8" hidden="1"/>
    <cellStyle name="Hyperlink" xfId="175" builtinId="8" hidden="1"/>
    <cellStyle name="Hyperlink" xfId="177" builtinId="8" hidden="1"/>
    <cellStyle name="Hyperlink" xfId="179" builtinId="8" hidden="1"/>
    <cellStyle name="Hyperlink" xfId="181" builtinId="8" hidden="1"/>
    <cellStyle name="Hyperlink" xfId="183" builtinId="8" hidden="1"/>
    <cellStyle name="Hyperlink" xfId="185" builtinId="8" hidden="1"/>
    <cellStyle name="Hyperlink" xfId="187" builtinId="8" hidden="1"/>
    <cellStyle name="Hyperlink" xfId="189" builtinId="8" hidden="1"/>
    <cellStyle name="Hyperlink" xfId="191" builtinId="8" hidden="1"/>
    <cellStyle name="Hyperlink" xfId="193" builtinId="8" hidden="1"/>
    <cellStyle name="Hyperlink" xfId="195" builtinId="8" hidden="1"/>
    <cellStyle name="Hyperlink" xfId="197" builtinId="8" hidden="1"/>
    <cellStyle name="Hyperlink" xfId="199" builtinId="8" hidden="1"/>
    <cellStyle name="Hyperlink" xfId="201" builtinId="8" hidden="1"/>
    <cellStyle name="Hyperlink" xfId="203" builtinId="8" hidden="1"/>
    <cellStyle name="Hyperlink" xfId="205" builtinId="8" hidden="1"/>
    <cellStyle name="Hyperlink" xfId="207" builtinId="8" hidden="1"/>
    <cellStyle name="Hyperlink" xfId="209" builtinId="8" hidden="1"/>
    <cellStyle name="Hyperlink" xfId="211" builtinId="8" hidden="1"/>
    <cellStyle name="Hyperlink" xfId="213" builtinId="8" hidden="1"/>
    <cellStyle name="Hyperlink" xfId="215" builtinId="8" hidden="1"/>
    <cellStyle name="Hyperlink" xfId="217" builtinId="8" hidden="1"/>
    <cellStyle name="Hyperlink" xfId="219" builtinId="8" hidden="1"/>
    <cellStyle name="Hyperlink" xfId="221" builtinId="8" hidden="1"/>
    <cellStyle name="Hyperlink" xfId="223" builtinId="8" hidden="1"/>
    <cellStyle name="Hyperlink" xfId="225" builtinId="8" hidden="1"/>
    <cellStyle name="Hyperlink" xfId="227" builtinId="8" hidden="1"/>
    <cellStyle name="Hyperlink" xfId="229" builtinId="8" hidden="1"/>
    <cellStyle name="Hyperlink" xfId="231" builtinId="8" hidden="1"/>
    <cellStyle name="Hyperlink" xfId="233" builtinId="8" hidden="1"/>
    <cellStyle name="Hyperlink" xfId="235" builtinId="8" hidden="1"/>
    <cellStyle name="Hyperlink" xfId="237" builtinId="8" hidden="1"/>
    <cellStyle name="Hyperlink" xfId="239" builtinId="8" hidden="1"/>
    <cellStyle name="Hyperlink" xfId="241" builtinId="8" hidden="1"/>
    <cellStyle name="Hyperlink" xfId="243" builtinId="8" hidden="1"/>
    <cellStyle name="Hyperlink" xfId="245" builtinId="8" hidden="1"/>
    <cellStyle name="Hyperlink" xfId="247" builtinId="8" hidden="1"/>
    <cellStyle name="Hyperlink" xfId="249" builtinId="8" hidden="1"/>
    <cellStyle name="Hyperlink" xfId="251" builtinId="8" hidden="1"/>
    <cellStyle name="Hyperlink" xfId="253" builtinId="8" hidden="1"/>
    <cellStyle name="Hyperlink" xfId="255" builtinId="8" hidden="1"/>
    <cellStyle name="Hyperlink" xfId="257" builtinId="8" hidden="1"/>
    <cellStyle name="Hyperlink" xfId="259" builtinId="8" hidden="1"/>
    <cellStyle name="Hyperlink" xfId="261" builtinId="8" hidden="1"/>
    <cellStyle name="Hyperlink" xfId="263" builtinId="8" hidden="1"/>
    <cellStyle name="Hyperlink" xfId="265" builtinId="8" hidden="1"/>
    <cellStyle name="Hyperlink" xfId="267" builtinId="8" hidden="1"/>
    <cellStyle name="Hyperlink" xfId="269" builtinId="8" hidden="1"/>
    <cellStyle name="Hyperlink" xfId="271" builtinId="8" hidden="1"/>
    <cellStyle name="Hyperlink" xfId="273" builtinId="8" hidden="1"/>
    <cellStyle name="Hyperlink" xfId="275" builtinId="8" hidden="1"/>
    <cellStyle name="Hyperlink" xfId="277" builtinId="8" hidden="1"/>
    <cellStyle name="Hyperlink" xfId="279" builtinId="8" hidden="1"/>
    <cellStyle name="Hyperlink" xfId="281" builtinId="8" hidden="1"/>
    <cellStyle name="Hyperlink" xfId="283" builtinId="8" hidden="1"/>
    <cellStyle name="Hyperlink" xfId="285" builtinId="8" hidden="1"/>
    <cellStyle name="Hyperlink" xfId="287" builtinId="8" hidden="1"/>
    <cellStyle name="Hyperlink" xfId="289" builtinId="8" hidden="1"/>
    <cellStyle name="Hyperlink" xfId="291" builtinId="8" hidden="1"/>
    <cellStyle name="Hyperlink" xfId="293" builtinId="8" hidden="1"/>
    <cellStyle name="Hyperlink" xfId="295" builtinId="8" hidden="1"/>
    <cellStyle name="Hyperlink" xfId="297" builtinId="8" hidden="1"/>
    <cellStyle name="Hyperlink" xfId="299" builtinId="8" hidden="1"/>
    <cellStyle name="Hyperlink" xfId="301" builtinId="8" hidden="1"/>
    <cellStyle name="Hyperlink" xfId="303" builtinId="8" hidden="1"/>
    <cellStyle name="Hyperlink" xfId="305" builtinId="8" hidden="1"/>
    <cellStyle name="Hyperlink" xfId="307" builtinId="8" hidden="1"/>
    <cellStyle name="Hyperlink" xfId="309" builtinId="8" hidden="1"/>
    <cellStyle name="Hyperlink" xfId="311" builtinId="8" hidden="1"/>
    <cellStyle name="Hyperlink" xfId="313" builtinId="8" hidden="1"/>
    <cellStyle name="Hyperlink" xfId="315" builtinId="8" hidden="1"/>
    <cellStyle name="Hyperlink" xfId="317" builtinId="8" hidden="1"/>
    <cellStyle name="Hyperlink" xfId="319" builtinId="8" hidden="1"/>
    <cellStyle name="Hyperlink" xfId="321" builtinId="8" hidden="1"/>
    <cellStyle name="Hyperlink" xfId="323" builtinId="8" hidden="1"/>
    <cellStyle name="Hyperlink" xfId="325" builtinId="8" hidden="1"/>
    <cellStyle name="Hyperlink" xfId="327" builtinId="8" hidden="1"/>
    <cellStyle name="Hyperlink" xfId="329" builtinId="8" hidden="1"/>
    <cellStyle name="Hyperlink" xfId="331" builtinId="8" hidden="1"/>
    <cellStyle name="Hyperlink" xfId="333" builtinId="8" hidden="1"/>
    <cellStyle name="Hyperlink" xfId="335" builtinId="8" hidden="1"/>
    <cellStyle name="Hyperlink" xfId="337" builtinId="8" hidden="1"/>
    <cellStyle name="Hyperlink" xfId="339" builtinId="8" hidden="1"/>
    <cellStyle name="Hyperlink" xfId="341" builtinId="8" hidden="1"/>
    <cellStyle name="Hyperlink" xfId="343" builtinId="8" hidden="1"/>
    <cellStyle name="Hyperlink" xfId="345" builtinId="8" hidden="1"/>
    <cellStyle name="Hyperlink" xfId="347" builtinId="8" hidden="1"/>
    <cellStyle name="Hyperlink" xfId="349" builtinId="8" hidden="1"/>
    <cellStyle name="Hyperlink" xfId="351" builtinId="8" hidden="1"/>
    <cellStyle name="Hyperlink" xfId="353" builtinId="8" hidden="1"/>
    <cellStyle name="Hyperlink" xfId="355" builtinId="8" hidden="1"/>
    <cellStyle name="Hyperlink" xfId="357" builtinId="8" hidden="1"/>
    <cellStyle name="Hyperlink" xfId="359" builtinId="8" hidden="1"/>
    <cellStyle name="Hyperlink" xfId="361" builtinId="8" hidden="1"/>
    <cellStyle name="Hyperlink" xfId="363" builtinId="8" hidden="1"/>
    <cellStyle name="Hyperlink" xfId="365" builtinId="8" hidden="1"/>
    <cellStyle name="Hyperlink" xfId="367" builtinId="8" hidden="1"/>
    <cellStyle name="Hyperlink" xfId="369" builtinId="8" hidden="1"/>
    <cellStyle name="Hyperlink" xfId="371" builtinId="8" hidden="1"/>
    <cellStyle name="Hyperlink" xfId="373" builtinId="8" hidden="1"/>
    <cellStyle name="Hyperlink" xfId="375" builtinId="8" hidden="1"/>
    <cellStyle name="Hyperlink" xfId="377" builtinId="8" hidden="1"/>
    <cellStyle name="Hyperlink" xfId="379" builtinId="8" hidden="1"/>
    <cellStyle name="Hyperlink" xfId="381" builtinId="8" hidden="1"/>
    <cellStyle name="Hyperlink" xfId="383" builtinId="8" hidden="1"/>
    <cellStyle name="Hyperlink" xfId="385" builtinId="8" hidden="1"/>
    <cellStyle name="Hyperlink" xfId="387" builtinId="8" hidden="1"/>
    <cellStyle name="Hyperlink" xfId="389" builtinId="8" hidden="1"/>
    <cellStyle name="Hyperlink" xfId="391" builtinId="8" hidden="1"/>
    <cellStyle name="Hyperlink" xfId="393" builtinId="8" hidden="1"/>
    <cellStyle name="Hyperlink" xfId="395" builtinId="8" hidden="1"/>
    <cellStyle name="Hyperlink" xfId="397" builtinId="8" hidden="1"/>
    <cellStyle name="Hyperlink" xfId="399" builtinId="8" hidden="1"/>
    <cellStyle name="Hyperlink" xfId="401" builtinId="8" hidden="1"/>
    <cellStyle name="Hyperlink" xfId="403" builtinId="8" hidden="1"/>
    <cellStyle name="Hyperlink" xfId="405" builtinId="8" hidden="1"/>
    <cellStyle name="Hyperlink" xfId="407" builtinId="8" hidden="1"/>
    <cellStyle name="Hyperlink" xfId="409" builtinId="8" hidden="1"/>
    <cellStyle name="Hyperlink" xfId="411" builtinId="8" hidden="1"/>
    <cellStyle name="Hyperlink" xfId="413" builtinId="8" hidden="1"/>
    <cellStyle name="Hyperlink" xfId="415" builtinId="8" hidden="1"/>
    <cellStyle name="Hyperlink" xfId="417" builtinId="8" hidden="1"/>
    <cellStyle name="Hyperlink" xfId="419" builtinId="8" hidden="1"/>
    <cellStyle name="Hyperlink" xfId="421" builtinId="8" hidden="1"/>
    <cellStyle name="Hyperlink" xfId="423" builtinId="8" hidden="1"/>
    <cellStyle name="Hyperlink" xfId="425" builtinId="8" hidden="1"/>
    <cellStyle name="Hyperlink" xfId="427" builtinId="8" hidden="1"/>
    <cellStyle name="Hyperlink" xfId="429" builtinId="8" hidden="1"/>
    <cellStyle name="Hyperlink" xfId="431" builtinId="8" hidden="1"/>
    <cellStyle name="Hyperlink" xfId="433" builtinId="8" hidden="1"/>
    <cellStyle name="Hyperlink" xfId="435" builtinId="8" hidden="1"/>
    <cellStyle name="Hyperlink" xfId="437" builtinId="8" hidden="1"/>
    <cellStyle name="Hyperlink" xfId="439" builtinId="8" hidden="1"/>
    <cellStyle name="Hyperlink" xfId="441" builtinId="8" hidden="1"/>
    <cellStyle name="Hyperlink" xfId="443" builtinId="8" hidden="1"/>
    <cellStyle name="Hyperlink" xfId="445" builtinId="8" hidden="1"/>
    <cellStyle name="Hyperlink" xfId="447" builtinId="8" hidden="1"/>
    <cellStyle name="Hyperlink" xfId="449" builtinId="8" hidden="1"/>
    <cellStyle name="Hyperlink" xfId="451" builtinId="8" hidden="1"/>
    <cellStyle name="Hyperlink" xfId="453" builtinId="8" hidden="1"/>
    <cellStyle name="Hyperlink" xfId="455" builtinId="8" hidden="1"/>
    <cellStyle name="Hyperlink" xfId="457" builtinId="8" hidden="1"/>
    <cellStyle name="Hyperlink" xfId="459" builtinId="8" hidden="1"/>
    <cellStyle name="Hyperlink" xfId="461" builtinId="8" hidden="1"/>
    <cellStyle name="Hyperlink" xfId="463" builtinId="8" hidden="1"/>
    <cellStyle name="Hyperlink" xfId="465" builtinId="8" hidden="1"/>
    <cellStyle name="Hyperlink" xfId="467" builtinId="8" hidden="1"/>
    <cellStyle name="Hyperlink" xfId="469" builtinId="8" hidden="1"/>
    <cellStyle name="Hyperlink" xfId="471" builtinId="8" hidden="1"/>
    <cellStyle name="Hyperlink" xfId="473" builtinId="8" hidden="1"/>
    <cellStyle name="Hyperlink" xfId="475" builtinId="8" hidden="1"/>
    <cellStyle name="Hyperlink" xfId="477" builtinId="8" hidden="1"/>
    <cellStyle name="Hyperlink" xfId="479" builtinId="8" hidden="1"/>
    <cellStyle name="Hyperlink" xfId="481" builtinId="8" hidden="1"/>
    <cellStyle name="Hyperlink" xfId="483" builtinId="8" hidden="1"/>
    <cellStyle name="Hyperlink" xfId="485" builtinId="8" hidden="1"/>
    <cellStyle name="Hyperlink" xfId="487" builtinId="8" hidden="1"/>
    <cellStyle name="Hyperlink" xfId="489" builtinId="8" hidden="1"/>
    <cellStyle name="Hyperlink" xfId="491" builtinId="8" hidden="1"/>
    <cellStyle name="Hyperlink" xfId="493" builtinId="8" hidden="1"/>
    <cellStyle name="Hyperlink" xfId="495" builtinId="8" hidden="1"/>
    <cellStyle name="Hyperlink" xfId="497" builtinId="8" hidden="1"/>
    <cellStyle name="Hyperlink" xfId="499" builtinId="8" hidden="1"/>
    <cellStyle name="Hyperlink" xfId="501" builtinId="8" hidden="1"/>
    <cellStyle name="Hyperlink" xfId="503" builtinId="8" hidden="1"/>
    <cellStyle name="Hyperlink" xfId="505" builtinId="8" hidden="1"/>
    <cellStyle name="Hyperlink" xfId="507" builtinId="8" hidden="1"/>
    <cellStyle name="Hyperlink" xfId="509" builtinId="8" hidden="1"/>
    <cellStyle name="Hyperlink" xfId="511" builtinId="8" hidden="1"/>
    <cellStyle name="Hyperlink" xfId="513" builtinId="8" hidden="1"/>
    <cellStyle name="Hyperlink" xfId="515" builtinId="8" hidden="1"/>
    <cellStyle name="Hyperlink" xfId="517" builtinId="8" hidden="1"/>
    <cellStyle name="Hyperlink" xfId="519" builtinId="8" hidden="1"/>
    <cellStyle name="Hyperlink" xfId="521" builtinId="8" hidden="1"/>
    <cellStyle name="Hyperlink" xfId="523" builtinId="8" hidden="1"/>
    <cellStyle name="Hyperlink" xfId="525" builtinId="8" hidden="1"/>
    <cellStyle name="Hyperlink" xfId="527" builtinId="8" hidden="1"/>
    <cellStyle name="Hyperlink" xfId="529" builtinId="8" hidden="1"/>
    <cellStyle name="Hyperlink" xfId="531" builtinId="8" hidden="1"/>
    <cellStyle name="Hyperlink" xfId="533" builtinId="8" hidden="1"/>
    <cellStyle name="Hyperlink" xfId="535" builtinId="8" hidden="1"/>
    <cellStyle name="Hyperlink" xfId="537" builtinId="8" hidden="1"/>
    <cellStyle name="Hyperlink" xfId="539" builtinId="8" hidden="1"/>
    <cellStyle name="Hyperlink" xfId="541" builtinId="8" hidden="1"/>
    <cellStyle name="Hyperlink" xfId="543" builtinId="8" hidden="1"/>
    <cellStyle name="Hyperlink" xfId="545" builtinId="8" hidden="1"/>
    <cellStyle name="Hyperlink" xfId="547" builtinId="8" hidden="1"/>
    <cellStyle name="Hyperlink" xfId="549" builtinId="8" hidden="1"/>
    <cellStyle name="Hyperlink" xfId="551" builtinId="8" hidden="1"/>
    <cellStyle name="Hyperlink" xfId="553" builtinId="8" hidden="1"/>
    <cellStyle name="Hyperlink" xfId="555" builtinId="8" hidden="1"/>
    <cellStyle name="Hyperlink" xfId="557" builtinId="8" hidden="1"/>
    <cellStyle name="Hyperlink" xfId="559" builtinId="8" hidden="1"/>
    <cellStyle name="Hyperlink" xfId="561" builtinId="8" hidden="1"/>
    <cellStyle name="Hyperlink" xfId="563" builtinId="8" hidden="1"/>
    <cellStyle name="Hyperlink" xfId="565" builtinId="8" hidden="1"/>
    <cellStyle name="Hyperlink" xfId="567" builtinId="8" hidden="1"/>
    <cellStyle name="Hyperlink" xfId="569" builtinId="8" hidden="1"/>
    <cellStyle name="Hyperlink" xfId="571" builtinId="8" hidden="1"/>
    <cellStyle name="Hyperlink" xfId="573" builtinId="8" hidden="1"/>
    <cellStyle name="Hyperlink" xfId="575" builtinId="8" hidden="1"/>
    <cellStyle name="Hyperlink" xfId="577" builtinId="8" hidden="1"/>
    <cellStyle name="Hyperlink" xfId="579" builtinId="8" hidden="1"/>
    <cellStyle name="Hyperlink" xfId="581" builtinId="8" hidden="1"/>
    <cellStyle name="Hyperlink" xfId="583" builtinId="8" hidden="1"/>
    <cellStyle name="Hyperlink" xfId="585" builtinId="8" hidden="1"/>
    <cellStyle name="Hyperlink" xfId="587" builtinId="8" hidden="1"/>
    <cellStyle name="Hyperlink" xfId="589" builtinId="8" hidden="1"/>
    <cellStyle name="Hyperlink" xfId="591" builtinId="8" hidden="1"/>
    <cellStyle name="Hyperlink" xfId="593" builtinId="8" hidden="1"/>
    <cellStyle name="Hyperlink" xfId="595" builtinId="8" hidden="1"/>
    <cellStyle name="Hyperlink" xfId="597" builtinId="8" hidden="1"/>
    <cellStyle name="Hyperlink" xfId="599" builtinId="8" hidden="1"/>
    <cellStyle name="Hyperlink" xfId="601" builtinId="8" hidden="1"/>
    <cellStyle name="Hyperlink" xfId="603" builtinId="8" hidden="1"/>
    <cellStyle name="Hyperlink" xfId="605" builtinId="8" hidden="1"/>
    <cellStyle name="Hyperlink" xfId="607" builtinId="8" hidden="1"/>
    <cellStyle name="Hyperlink" xfId="609" builtinId="8" hidden="1"/>
    <cellStyle name="Hyperlink" xfId="611" builtinId="8" hidden="1"/>
    <cellStyle name="Hyperlink" xfId="613" builtinId="8" hidden="1"/>
    <cellStyle name="Hyperlink" xfId="615" builtinId="8" hidden="1"/>
    <cellStyle name="Hyperlink" xfId="617" builtinId="8" hidden="1"/>
    <cellStyle name="Hyperlink" xfId="619" builtinId="8" hidden="1"/>
    <cellStyle name="Hyperlink" xfId="621" builtinId="8" hidden="1"/>
    <cellStyle name="Hyperlink" xfId="623" builtinId="8" hidden="1"/>
    <cellStyle name="Hyperlink" xfId="625" builtinId="8" hidden="1"/>
    <cellStyle name="Hyperlink" xfId="627" builtinId="8" hidden="1"/>
    <cellStyle name="Hyperlink" xfId="629" builtinId="8" hidden="1"/>
    <cellStyle name="Hyperlink" xfId="631" builtinId="8" hidden="1"/>
    <cellStyle name="Hyperlink" xfId="633" builtinId="8" hidden="1"/>
    <cellStyle name="Hyperlink" xfId="635" builtinId="8" hidden="1"/>
    <cellStyle name="Hyperlink" xfId="637" builtinId="8" hidden="1"/>
    <cellStyle name="Hyperlink" xfId="639" builtinId="8" hidden="1"/>
    <cellStyle name="Hyperlink" xfId="641" builtinId="8" hidden="1"/>
    <cellStyle name="Hyperlink" xfId="643" builtinId="8" hidden="1"/>
    <cellStyle name="Hyperlink" xfId="645" builtinId="8" hidden="1"/>
    <cellStyle name="Hyperlink" xfId="647" builtinId="8" hidden="1"/>
    <cellStyle name="Hyperlink" xfId="649" builtinId="8" hidden="1"/>
    <cellStyle name="Hyperlink" xfId="651" builtinId="8" hidden="1"/>
    <cellStyle name="Hyperlink" xfId="653" builtinId="8" hidden="1"/>
    <cellStyle name="Hyperlink" xfId="655" builtinId="8" hidden="1"/>
    <cellStyle name="Hyperlink" xfId="657" builtinId="8" hidden="1"/>
    <cellStyle name="Hyperlink" xfId="659" builtinId="8" hidden="1"/>
    <cellStyle name="Hyperlink" xfId="661" builtinId="8" hidden="1"/>
    <cellStyle name="Hyperlink" xfId="663" builtinId="8" hidden="1"/>
    <cellStyle name="Hyperlink" xfId="665" builtinId="8" hidden="1"/>
    <cellStyle name="Hyperlink" xfId="667" builtinId="8" hidden="1"/>
    <cellStyle name="Hyperlink" xfId="669" builtinId="8" hidden="1"/>
    <cellStyle name="Hyperlink" xfId="671" builtinId="8" hidden="1"/>
    <cellStyle name="Hyperlink" xfId="673" builtinId="8" hidden="1"/>
    <cellStyle name="Hyperlink" xfId="675" builtinId="8" hidden="1"/>
    <cellStyle name="Hyperlink" xfId="677" builtinId="8" hidden="1"/>
    <cellStyle name="Hyperlink" xfId="679" builtinId="8" hidden="1"/>
    <cellStyle name="Hyperlink" xfId="681" builtinId="8" hidden="1"/>
    <cellStyle name="Hyperlink" xfId="683" builtinId="8" hidden="1"/>
    <cellStyle name="Hyperlink" xfId="685" builtinId="8" hidden="1"/>
    <cellStyle name="Hyperlink" xfId="687" builtinId="8" hidden="1"/>
    <cellStyle name="Hyperlink" xfId="689" builtinId="8" hidden="1"/>
    <cellStyle name="Hyperlink" xfId="691" builtinId="8" hidden="1"/>
    <cellStyle name="Hyperlink" xfId="693" builtinId="8" hidden="1"/>
    <cellStyle name="Hyperlink" xfId="695" builtinId="8" hidden="1"/>
    <cellStyle name="Hyperlink" xfId="697" builtinId="8" hidden="1"/>
    <cellStyle name="Hyperlink" xfId="699" builtinId="8" hidden="1"/>
    <cellStyle name="Hyperlink" xfId="701" builtinId="8" hidden="1"/>
    <cellStyle name="Hyperlink" xfId="703" builtinId="8" hidden="1"/>
    <cellStyle name="Hyperlink" xfId="705" builtinId="8" hidden="1"/>
    <cellStyle name="Hyperlink" xfId="707" builtinId="8" hidden="1"/>
    <cellStyle name="Hyperlink" xfId="709" builtinId="8" hidden="1"/>
    <cellStyle name="Hyperlink" xfId="711" builtinId="8" hidden="1"/>
    <cellStyle name="Hyperlink" xfId="713" builtinId="8" hidden="1"/>
    <cellStyle name="Hyperlink" xfId="715" builtinId="8" hidden="1"/>
    <cellStyle name="Hyperlink" xfId="717" builtinId="8" hidden="1"/>
    <cellStyle name="Normal" xfId="0" builtinId="0"/>
    <cellStyle name="Normal 2" xfId="719"/>
    <cellStyle name="Normal 2 2" xfId="720"/>
    <cellStyle name="Normal 3" xfId="721"/>
  </cellStyles>
  <dxfs count="47">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dxf>
    <dxf>
      <alignment horizontal="general" vertical="top" textRotation="0" wrapText="1" indent="0" justifyLastLine="0" shrinkToFit="0" readingOrder="0"/>
    </dxf>
    <dxf>
      <numFmt numFmtId="0" formatCode="General"/>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font>
        <b/>
        <i val="0"/>
        <strike val="0"/>
        <condense val="0"/>
        <extend val="0"/>
        <outline val="0"/>
        <shadow val="0"/>
        <u val="none"/>
        <vertAlign val="baseline"/>
        <sz val="11"/>
        <color theme="1"/>
        <name val="Calibri"/>
        <family val="2"/>
        <scheme val="minor"/>
      </font>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alignment horizontal="general" vertical="top" textRotation="0" wrapText="1"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font>
        <b/>
        <i val="0"/>
        <strike val="0"/>
        <condense val="0"/>
        <extend val="0"/>
        <outline val="0"/>
        <shadow val="0"/>
        <u val="none"/>
        <vertAlign val="baseline"/>
        <sz val="11"/>
        <color theme="1"/>
        <name val="Calibri"/>
        <family val="2"/>
        <scheme val="minor"/>
      </font>
      <alignment horizontal="general" vertical="top" textRotation="0" wrapText="0" indent="0" justifyLastLine="0" shrinkToFit="0" readingOrder="0"/>
    </dxf>
  </dxfs>
  <tableStyles count="0" defaultTableStyle="TableStyleMedium9" defaultPivotStyle="PivotStyleMedium4"/>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tables/table1.xml><?xml version="1.0" encoding="utf-8"?>
<table xmlns="http://schemas.openxmlformats.org/spreadsheetml/2006/main" id="1" name="Table2" displayName="Table2" ref="A1:Y229" totalsRowShown="0" headerRowDxfId="46" dataDxfId="45">
  <autoFilter ref="A1:Y229"/>
  <tableColumns count="25">
    <tableColumn id="1" name="!Table" dataDxfId="44"/>
    <tableColumn id="2" name="!Type" dataDxfId="43"/>
    <tableColumn id="6" name="!Length"/>
    <tableColumn id="3" name="!Name" dataDxfId="42"/>
    <tableColumn id="4" name="!Description" dataDxfId="41"/>
    <tableColumn id="7" name="!FK" dataDxfId="40"/>
    <tableColumn id="10" name="!Required" dataDxfId="39" dataCellStyle="Normal 2"/>
    <tableColumn id="21" name="!Unique" dataDxfId="38" dataCellStyle="Normal 2"/>
    <tableColumn id="9" name="File" dataDxfId="37">
      <calculatedColumnFormula>IF(LEN(A2) &gt; 0,"Defs","-")</calculatedColumnFormula>
    </tableColumn>
    <tableColumn id="5" name="boolean" dataDxfId="36">
      <calculatedColumnFormula>IF(Table2[[#This Row],[!Type]]=J$1, J$1,"rg:None")</calculatedColumnFormula>
    </tableColumn>
    <tableColumn id="24" name="binary" dataDxfId="35">
      <calculatedColumnFormula>IF(Table2[[#This Row],[!Type]]=K$1, K$1,"rg:None")</calculatedColumnFormula>
    </tableColumn>
    <tableColumn id="8" name="datetime" dataDxfId="34">
      <calculatedColumnFormula>IF(Table2[[#This Row],[!Type]]=L$1, L$1,"rg:None")</calculatedColumnFormula>
    </tableColumn>
    <tableColumn id="11" name="id" dataDxfId="33">
      <calculatedColumnFormula>IF(Table2[[#This Row],[!Type]]=M$1, M$1,"rg:None")</calculatedColumnFormula>
    </tableColumn>
    <tableColumn id="12" name="integer" dataDxfId="32">
      <calculatedColumnFormula>IF(Table2[[#This Row],[!Type]]=N$1, N$1,"rg:None")</calculatedColumnFormula>
    </tableColumn>
    <tableColumn id="25" name="float" dataDxfId="31">
      <calculatedColumnFormula>IF(Table2[[#This Row],[!Type]]=O$1, O$1,"rg:None")</calculatedColumnFormula>
    </tableColumn>
    <tableColumn id="13" name="links" dataDxfId="30">
      <calculatedColumnFormula>IF(Table2[[#This Row],[!Type]]=P$1, P$1,"rg:None")</calculatedColumnFormula>
    </tableColumn>
    <tableColumn id="14" name="ref" dataDxfId="29">
      <calculatedColumnFormula>IF(Table2[[#This Row],[!Type]]=Q$1, Q$1,"rg:None")</calculatedColumnFormula>
    </tableColumn>
    <tableColumn id="15" name="string" dataDxfId="28">
      <calculatedColumnFormula>IF(Table2[[#This Row],[!Type]]=R$1, R$1,"rg:None")</calculatedColumnFormula>
    </tableColumn>
    <tableColumn id="16" name="table" dataDxfId="27">
      <calculatedColumnFormula>IF(Table2[[#This Row],[!Type]]=S$1, S$1,"rg:None")</calculatedColumnFormula>
    </tableColumn>
    <tableColumn id="17" name="Length" dataDxfId="26">
      <calculatedColumnFormula>IF(LEN(Table2[[#This Row],[!Length]]) &gt; 0, Table2[[#This Row],[!Length]], "rg:None")</calculatedColumnFormula>
    </tableColumn>
    <tableColumn id="18" name="Name" dataDxfId="25">
      <calculatedColumnFormula>IF(LEN(Table2[[#This Row],[!Name]]) &gt; 0, Table2[[#This Row],[!Name]], "rg:None")</calculatedColumnFormula>
    </tableColumn>
    <tableColumn id="19" name="Description" dataDxfId="24">
      <calculatedColumnFormula>IF(LEN(Table2[[#This Row],[!Description]]) &gt; 0, Table2[[#This Row],[!Description]], "rg:None")</calculatedColumnFormula>
    </tableColumn>
    <tableColumn id="20" name="RefDef" dataDxfId="23">
      <calculatedColumnFormula>IF(LEN(Table2[[#This Row],[!FK]])&gt;0,Table2[[#This Row],[!FK]],"rg:None")</calculatedColumnFormula>
    </tableColumn>
    <tableColumn id="22" name="Required" dataDxfId="22">
      <calculatedColumnFormula>IF(LEN(concatif2(A:A,Table2[[#This Row],[!Table]],G:G,"Y",D:D,",")) &gt; 0,"rg:[ { 'req' : '"&amp;concatif2(A:A,Table2[[#This Row],[!Table]],G:G,"Y",D:D,"' }, { 'req': '")&amp;"'} ]","rg:[]")</calculatedColumnFormula>
    </tableColumn>
    <tableColumn id="23" name="Unique" dataDxfId="21">
      <calculatedColumnFormula>IF(LEN(Table2[[#This Row],[!Unique]])&gt;0,"rg:True","rg:None")</calculatedColumnFormula>
    </tableColumn>
  </tableColumns>
  <tableStyleInfo name="TableStyleMedium2" showFirstColumn="0" showLastColumn="0" showRowStripes="1" showColumnStripes="0"/>
</table>
</file>

<file path=xl/tables/table2.xml><?xml version="1.0" encoding="utf-8"?>
<table xmlns="http://schemas.openxmlformats.org/spreadsheetml/2006/main" id="2" name="Table23" displayName="Table23" ref="A1:T42" totalsRowShown="0" headerRowDxfId="20" dataDxfId="19">
  <autoFilter ref="A1:T42"/>
  <tableColumns count="20">
    <tableColumn id="1" name="!type" dataDxfId="18"/>
    <tableColumn id="2" name="!path" dataDxfId="17"/>
    <tableColumn id="6" name="!tag" dataCellStyle="Normal 2"/>
    <tableColumn id="3" name="!paramDef" dataDxfId="16">
      <calculatedColumnFormula>LOWER(Table23[[#This Row],[!path]])&amp;"s"</calculatedColumnFormula>
    </tableColumn>
    <tableColumn id="4" name="!respDef" dataDxfId="15" dataCellStyle="Normal 2"/>
    <tableColumn id="5" name="!Description" dataDxfId="14" dataCellStyle="Normal 2"/>
    <tableColumn id="7" name="File" dataDxfId="13">
      <calculatedColumnFormula>IF(LEN(A2) &gt;0,"Path","-")</calculatedColumnFormula>
    </tableColumn>
    <tableColumn id="8" name="crud" dataDxfId="12">
      <calculatedColumnFormula>IF(LEN(Table23[[#This Row],[!type]])&gt;0,IF(Table23[[#This Row],[!type]]=H$1,"1","rg:None"),"-")</calculatedColumnFormula>
    </tableColumn>
    <tableColumn id="9" name="post" dataDxfId="11">
      <calculatedColumnFormula>IF(LEN(Table23[[#This Row],[!type]])&gt;0,IF(Table23[[#This Row],[!type]]=I$1,"1","rg:None"),"-")</calculatedColumnFormula>
    </tableColumn>
    <tableColumn id="10" name="bulk" dataDxfId="10">
      <calculatedColumnFormula>IF(LEN(Table23[[#This Row],[!type]])&gt;0,IF(Table23[[#This Row],[!type]]=J$1,"1","rg:None"),"-")</calculatedColumnFormula>
    </tableColumn>
    <tableColumn id="11" name="getById" dataDxfId="9">
      <calculatedColumnFormula>IF(LEN(Table23[[#This Row],[!type]])&gt;0,IF(Table23[[#This Row],[!type]]=K$1,"1","rg:None"),"-")</calculatedColumnFormula>
    </tableColumn>
    <tableColumn id="12" name="putById" dataDxfId="8">
      <calculatedColumnFormula>IF(LEN(Table23[[#This Row],[!type]])&gt;0,IF(Table23[[#This Row],[!type]]=L$1,"1","rg:None"),"-")</calculatedColumnFormula>
    </tableColumn>
    <tableColumn id="13" name="deleteById" dataDxfId="7">
      <calculatedColumnFormula>IF(LEN(Table23[[#This Row],[!type]])&gt;0,IF(Table23[[#This Row],[!type]]=M$1,"1","rg:None"),"-")</calculatedColumnFormula>
    </tableColumn>
    <tableColumn id="14" name="fullpath" dataDxfId="6">
      <calculatedColumnFormula>IF(LEN(Table23[[#This Row],[!type]])&gt;0,IF(Table23[[#This Row],[!type]]=N$1,"1","rg:None"),"-")</calculatedColumnFormula>
    </tableColumn>
    <tableColumn id="15" name="idpath" dataDxfId="5">
      <calculatedColumnFormula>IF(LEN(Table23[[#This Row],[!type]])&gt;0,IF(Table23[[#This Row],[!type]]=O$1,"1","rg:None"),"-")</calculatedColumnFormula>
    </tableColumn>
    <tableColumn id="16" name="path" dataDxfId="4">
      <calculatedColumnFormula>IF(LEN(Table23[[#This Row],[!path]]) &gt;0,Table23[[#This Row],[!path]],"rg:None")</calculatedColumnFormula>
    </tableColumn>
    <tableColumn id="17" name="tag" dataDxfId="3">
      <calculatedColumnFormula>IF(LEN(Table23[[#This Row],[!tag]]) &gt;0,Table23[[#This Row],[!tag]],"rg:None")</calculatedColumnFormula>
    </tableColumn>
    <tableColumn id="18" name="paramDef" dataDxfId="2">
      <calculatedColumnFormula>IF(LEN(Table23[[#This Row],[!paramDef]]) &gt;0,Table23[[#This Row],[!paramDef]],"rg:None")</calculatedColumnFormula>
    </tableColumn>
    <tableColumn id="19" name="respDef" dataDxfId="1">
      <calculatedColumnFormula>IF(LEN(Table23[[#This Row],[!respDef]]) &gt;0,Table23[[#This Row],[!respDef]],"rg:None")</calculatedColumnFormula>
    </tableColumn>
    <tableColumn id="20" name="Description" dataDxfId="0">
      <calculatedColumnFormula>IF(LEN(Table23[[#This Row],[!Description]]) &gt;0,Table23[[#This Row],[!Description]],"rg:None")</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Y229"/>
  <sheetViews>
    <sheetView tabSelected="1" zoomScale="110" zoomScaleNormal="110" workbookViewId="0">
      <pane ySplit="1" topLeftCell="A105" activePane="bottomLeft" state="frozen"/>
      <selection pane="bottomLeft" activeCell="A105" sqref="A105"/>
    </sheetView>
  </sheetViews>
  <sheetFormatPr defaultColWidth="8.69921875" defaultRowHeight="15.6" x14ac:dyDescent="0.3"/>
  <cols>
    <col min="1" max="1" width="25.19921875" style="5" customWidth="1"/>
    <col min="2" max="2" width="8.69921875" style="5"/>
    <col min="3" max="3" width="8.09765625" style="5" customWidth="1"/>
    <col min="4" max="4" width="33.5" style="6" customWidth="1"/>
    <col min="5" max="5" width="66.69921875" style="5" customWidth="1"/>
    <col min="6" max="6" width="24.19921875" style="5" customWidth="1"/>
    <col min="7" max="7" width="12.19921875" style="5" customWidth="1"/>
    <col min="8" max="8" width="9.69921875" style="5" customWidth="1"/>
    <col min="9" max="9" width="8.19921875" style="5" customWidth="1"/>
    <col min="10" max="22" width="8.69921875" style="5" customWidth="1"/>
    <col min="23" max="23" width="8.69921875" customWidth="1"/>
    <col min="24" max="24" width="8.69921875" style="5" customWidth="1"/>
    <col min="25" max="25" width="9" customWidth="1"/>
    <col min="26" max="16384" width="8.69921875" style="5"/>
  </cols>
  <sheetData>
    <row r="1" spans="1:25" s="1" customFormat="1" x14ac:dyDescent="0.3">
      <c r="A1" s="1" t="s">
        <v>201</v>
      </c>
      <c r="B1" s="1" t="s">
        <v>202</v>
      </c>
      <c r="C1" s="1" t="s">
        <v>203</v>
      </c>
      <c r="D1" s="1" t="s">
        <v>204</v>
      </c>
      <c r="E1" s="1" t="s">
        <v>200</v>
      </c>
      <c r="F1" s="2" t="s">
        <v>205</v>
      </c>
      <c r="G1" s="1" t="s">
        <v>178</v>
      </c>
      <c r="H1" s="1" t="s">
        <v>268</v>
      </c>
      <c r="I1" s="7" t="s">
        <v>176</v>
      </c>
      <c r="J1" s="37" t="s">
        <v>14</v>
      </c>
      <c r="K1" s="37" t="s">
        <v>270</v>
      </c>
      <c r="L1" s="11" t="s">
        <v>25</v>
      </c>
      <c r="M1" s="11" t="s">
        <v>7</v>
      </c>
      <c r="N1" s="11" t="s">
        <v>33</v>
      </c>
      <c r="O1" s="11" t="s">
        <v>273</v>
      </c>
      <c r="P1" s="11" t="s">
        <v>55</v>
      </c>
      <c r="Q1" s="11" t="s">
        <v>9</v>
      </c>
      <c r="R1" s="11" t="s">
        <v>8</v>
      </c>
      <c r="S1" s="11" t="s">
        <v>5</v>
      </c>
      <c r="T1" s="11" t="s">
        <v>2</v>
      </c>
      <c r="U1" s="11" t="s">
        <v>3</v>
      </c>
      <c r="V1" s="11" t="s">
        <v>1</v>
      </c>
      <c r="W1" s="11" t="s">
        <v>206</v>
      </c>
      <c r="X1" s="11" t="s">
        <v>177</v>
      </c>
      <c r="Y1" s="11" t="s">
        <v>269</v>
      </c>
    </row>
    <row r="2" spans="1:25" x14ac:dyDescent="0.3">
      <c r="A2" s="3" t="s">
        <v>4</v>
      </c>
      <c r="B2" s="3" t="s">
        <v>5</v>
      </c>
      <c r="C2" s="3"/>
      <c r="D2" s="3" t="s">
        <v>4</v>
      </c>
      <c r="E2" s="27" t="s">
        <v>274</v>
      </c>
      <c r="F2" s="3" t="s">
        <v>6</v>
      </c>
      <c r="G2" s="4"/>
      <c r="H2" s="4"/>
      <c r="I2" t="str">
        <f t="shared" ref="I2:I46" si="0">IF(LEN(A2) &gt; 0,"Defs","-")</f>
        <v>Defs</v>
      </c>
      <c r="J2" t="str">
        <f>IF(Table2[[#This Row],[!Type]]=J$1, J$1,"rg:None")</f>
        <v>rg:None</v>
      </c>
      <c r="K2" t="str">
        <f>IF(Table2[[#This Row],[!Type]]=K$1, K$1,"rg:None")</f>
        <v>rg:None</v>
      </c>
      <c r="L2" t="str">
        <f>IF(Table2[[#This Row],[!Type]]=L$1, L$1,"rg:None")</f>
        <v>rg:None</v>
      </c>
      <c r="M2" t="str">
        <f>IF(Table2[[#This Row],[!Type]]=M$1, M$1,"rg:None")</f>
        <v>rg:None</v>
      </c>
      <c r="N2" t="str">
        <f>IF(Table2[[#This Row],[!Type]]=N$1, N$1,"rg:None")</f>
        <v>rg:None</v>
      </c>
      <c r="O2" t="str">
        <f>IF(Table2[[#This Row],[!Type]]=O$1, O$1,"rg:None")</f>
        <v>rg:None</v>
      </c>
      <c r="P2" t="str">
        <f>IF(Table2[[#This Row],[!Type]]=P$1, P$1,"rg:None")</f>
        <v>rg:None</v>
      </c>
      <c r="Q2" t="str">
        <f>IF(Table2[[#This Row],[!Type]]=Q$1, Q$1,"rg:None")</f>
        <v>rg:None</v>
      </c>
      <c r="R2" t="str">
        <f>IF(Table2[[#This Row],[!Type]]=R$1, R$1,"rg:None")</f>
        <v>rg:None</v>
      </c>
      <c r="S2" t="str">
        <f>IF(Table2[[#This Row],[!Type]]=S$1, S$1,"rg:None")</f>
        <v>table</v>
      </c>
      <c r="T2" s="10" t="str">
        <f>IF(LEN(Table2[[#This Row],[!Length]]) &gt; 0, Table2[[#This Row],[!Length]], "rg:None")</f>
        <v>rg:None</v>
      </c>
      <c r="U2" s="10" t="str">
        <f>IF(LEN(Table2[[#This Row],[!Name]]) &gt; 0, Table2[[#This Row],[!Name]], "rg:None")</f>
        <v>SchoolBus</v>
      </c>
      <c r="V2" s="10" t="str">
        <f>IF(LEN(Table2[[#This Row],[!Description]]) &gt; 0, Table2[[#This Row],[!Description]], "rg:None")</f>
        <v>The School Bus vehicle information supplementary to the vehicle information in ICBC</v>
      </c>
      <c r="W2" s="10" t="str">
        <f>IF(LEN(Table2[[#This Row],[!FK]])&gt;0,Table2[[#This Row],[!FK]],"rg:None")</f>
        <v>rg:None</v>
      </c>
      <c r="X2" s="10" t="str">
        <f>IF(LEN(concatif2(A:A,Table2[[#This Row],[!Table]],G:G,"Y",D:D,",")) &gt; 0,"rg:[ { 'req' : '"&amp;concatif2(A:A,Table2[[#This Row],[!Table]],G:G,"Y",D:D,"' }, { 'req': '")&amp;"'} ]","rg:[]")</f>
        <v>rg:[ { 'req' : 'id' }, { 'req': 'status' }, { 'req': 'permitClassCode' }, { 'req': 'bodyTypeCode' }, { 'req': 'schoolBusSeatingCapacity'} ]</v>
      </c>
      <c r="Y2" s="10" t="str">
        <f>IF(LEN(Table2[[#This Row],[!Unique]])&gt;0,"rg:True","rg:None")</f>
        <v>rg:None</v>
      </c>
    </row>
    <row r="3" spans="1:25" x14ac:dyDescent="0.3">
      <c r="A3" s="3" t="s">
        <v>4</v>
      </c>
      <c r="B3" s="3" t="s">
        <v>7</v>
      </c>
      <c r="C3" s="3"/>
      <c r="D3" s="3" t="s">
        <v>7</v>
      </c>
      <c r="E3" s="27" t="s">
        <v>275</v>
      </c>
      <c r="F3" s="3" t="s">
        <v>6</v>
      </c>
      <c r="G3" s="4" t="s">
        <v>136</v>
      </c>
      <c r="H3" s="45" t="s">
        <v>136</v>
      </c>
      <c r="I3" s="5" t="str">
        <f t="shared" si="0"/>
        <v>Defs</v>
      </c>
      <c r="J3" t="str">
        <f>IF(Table2[[#This Row],[!Type]]=J$1, J$1,"rg:None")</f>
        <v>rg:None</v>
      </c>
      <c r="K3" t="str">
        <f>IF(Table2[[#This Row],[!Type]]=K$1, K$1,"rg:None")</f>
        <v>rg:None</v>
      </c>
      <c r="L3" t="str">
        <f>IF(Table2[[#This Row],[!Type]]=L$1, L$1,"rg:None")</f>
        <v>rg:None</v>
      </c>
      <c r="M3" t="str">
        <f>IF(Table2[[#This Row],[!Type]]=M$1, M$1,"rg:None")</f>
        <v>id</v>
      </c>
      <c r="N3" s="10" t="str">
        <f>IF(Table2[[#This Row],[!Type]]=N$1, N$1,"rg:None")</f>
        <v>rg:None</v>
      </c>
      <c r="O3" s="10" t="str">
        <f>IF(Table2[[#This Row],[!Type]]=O$1, O$1,"rg:None")</f>
        <v>rg:None</v>
      </c>
      <c r="P3" s="5" t="str">
        <f>IF(Table2[[#This Row],[!Type]]=P$1, P$1,"rg:None")</f>
        <v>rg:None</v>
      </c>
      <c r="Q3" s="5" t="str">
        <f>IF(Table2[[#This Row],[!Type]]=Q$1, Q$1,"rg:None")</f>
        <v>rg:None</v>
      </c>
      <c r="R3" s="5" t="str">
        <f>IF(Table2[[#This Row],[!Type]]=R$1, R$1,"rg:None")</f>
        <v>rg:None</v>
      </c>
      <c r="S3" s="5" t="str">
        <f>IF(Table2[[#This Row],[!Type]]=S$1, S$1,"rg:None")</f>
        <v>rg:None</v>
      </c>
      <c r="T3" s="10" t="str">
        <f>IF(LEN(Table2[[#This Row],[!Length]]) &gt; 0, Table2[[#This Row],[!Length]], "rg:None")</f>
        <v>rg:None</v>
      </c>
      <c r="U3" s="10" t="str">
        <f>IF(LEN(Table2[[#This Row],[!Name]]) &gt; 0, Table2[[#This Row],[!Name]], "rg:None")</f>
        <v>id</v>
      </c>
      <c r="V3" s="10" t="str">
        <f>IF(LEN(Table2[[#This Row],[!Description]]) &gt; 0, Table2[[#This Row],[!Description]], "rg:None")</f>
        <v>A system-generated unique identifier for a SchoolBus</v>
      </c>
      <c r="W3" s="10" t="str">
        <f>IF(LEN(Table2[[#This Row],[!FK]])&gt;0,Table2[[#This Row],[!FK]],"rg:None")</f>
        <v>rg:None</v>
      </c>
      <c r="X3" s="10" t="str">
        <f>IF(LEN(concatif2(A:A,Table2[[#This Row],[!Table]],G:G,"Y",D:D,",")) &gt; 0,"rg:[ { 'req' : '"&amp;concatif2(A:A,Table2[[#This Row],[!Table]],G:G,"Y",D:D,"' }, { 'req': '")&amp;"'} ]","rg:[]")</f>
        <v>rg:[ { 'req' : 'id' }, { 'req': 'status' }, { 'req': 'permitClassCode' }, { 'req': 'bodyTypeCode' }, { 'req': 'schoolBusSeatingCapacity'} ]</v>
      </c>
      <c r="Y3" s="10" t="str">
        <f>IF(LEN(Table2[[#This Row],[!Unique]])&gt;0,"rg:True","rg:None")</f>
        <v>rg:True</v>
      </c>
    </row>
    <row r="4" spans="1:25" x14ac:dyDescent="0.3">
      <c r="A4" s="3" t="s">
        <v>4</v>
      </c>
      <c r="B4" s="3" t="s">
        <v>8</v>
      </c>
      <c r="C4" s="3">
        <v>40</v>
      </c>
      <c r="D4" s="24" t="s">
        <v>253</v>
      </c>
      <c r="E4" s="43" t="s">
        <v>299</v>
      </c>
      <c r="F4" s="3" t="s">
        <v>6</v>
      </c>
      <c r="G4" s="4"/>
      <c r="H4" s="45"/>
      <c r="I4" s="5" t="str">
        <f t="shared" si="0"/>
        <v>Defs</v>
      </c>
      <c r="J4" t="str">
        <f>IF(Table2[[#This Row],[!Type]]=J$1, J$1,"rg:None")</f>
        <v>rg:None</v>
      </c>
      <c r="K4" t="str">
        <f>IF(Table2[[#This Row],[!Type]]=K$1, K$1,"rg:None")</f>
        <v>rg:None</v>
      </c>
      <c r="L4" t="str">
        <f>IF(Table2[[#This Row],[!Type]]=L$1, L$1,"rg:None")</f>
        <v>rg:None</v>
      </c>
      <c r="M4" t="str">
        <f>IF(Table2[[#This Row],[!Type]]=M$1, M$1,"rg:None")</f>
        <v>rg:None</v>
      </c>
      <c r="N4" s="10" t="str">
        <f>IF(Table2[[#This Row],[!Type]]=N$1, N$1,"rg:None")</f>
        <v>rg:None</v>
      </c>
      <c r="O4" s="10" t="str">
        <f>IF(Table2[[#This Row],[!Type]]=O$1, O$1,"rg:None")</f>
        <v>rg:None</v>
      </c>
      <c r="P4" s="5" t="str">
        <f>IF(Table2[[#This Row],[!Type]]=P$1, P$1,"rg:None")</f>
        <v>rg:None</v>
      </c>
      <c r="Q4" s="5" t="str">
        <f>IF(Table2[[#This Row],[!Type]]=Q$1, Q$1,"rg:None")</f>
        <v>rg:None</v>
      </c>
      <c r="R4" s="5" t="str">
        <f>IF(Table2[[#This Row],[!Type]]=R$1, R$1,"rg:None")</f>
        <v>string</v>
      </c>
      <c r="S4" s="5" t="str">
        <f>IF(Table2[[#This Row],[!Type]]=S$1, S$1,"rg:None")</f>
        <v>rg:None</v>
      </c>
      <c r="T4" s="10">
        <f>IF(LEN(Table2[[#This Row],[!Length]]) &gt; 0, Table2[[#This Row],[!Length]], "rg:None")</f>
        <v>40</v>
      </c>
      <c r="U4" s="10" t="str">
        <f>IF(LEN(Table2[[#This Row],[!Name]]) &gt; 0, Table2[[#This Row],[!Name]], "rg:None")</f>
        <v>ICBCRegistrationNumber</v>
      </c>
      <c r="V4" s="10" t="str">
        <f>IF(LEN(Table2[[#This Row],[!Description]]) &gt; 0, Table2[[#This Row],[!Description]], "rg:None")</f>
        <v>The registration number of the vehicle as entered by the user and confirmed by the CCW Web Services</v>
      </c>
      <c r="W4" s="10" t="str">
        <f>IF(LEN(Table2[[#This Row],[!FK]])&gt;0,Table2[[#This Row],[!FK]],"rg:None")</f>
        <v>rg:None</v>
      </c>
      <c r="X4" s="10" t="str">
        <f>IF(LEN(concatif2(A:A,Table2[[#This Row],[!Table]],G:G,"Y",D:D,",")) &gt; 0,"rg:[ { 'req' : '"&amp;concatif2(A:A,Table2[[#This Row],[!Table]],G:G,"Y",D:D,"' }, { 'req': '")&amp;"'} ]","rg:[]")</f>
        <v>rg:[ { 'req' : 'id' }, { 'req': 'status' }, { 'req': 'permitClassCode' }, { 'req': 'bodyTypeCode' }, { 'req': 'schoolBusSeatingCapacity'} ]</v>
      </c>
      <c r="Y4" s="10" t="str">
        <f>IF(LEN(Table2[[#This Row],[!Unique]])&gt;0,"rg:True","rg:None")</f>
        <v>rg:None</v>
      </c>
    </row>
    <row r="5" spans="1:25" x14ac:dyDescent="0.3">
      <c r="A5" s="3" t="s">
        <v>4</v>
      </c>
      <c r="B5" s="3" t="s">
        <v>8</v>
      </c>
      <c r="C5" s="3">
        <v>15</v>
      </c>
      <c r="D5" s="53" t="s">
        <v>254</v>
      </c>
      <c r="E5" s="27" t="s">
        <v>300</v>
      </c>
      <c r="F5" s="3" t="s">
        <v>6</v>
      </c>
      <c r="G5" s="4"/>
      <c r="H5" s="45"/>
      <c r="I5" s="5" t="str">
        <f t="shared" si="0"/>
        <v>Defs</v>
      </c>
      <c r="J5" t="str">
        <f>IF(Table2[[#This Row],[!Type]]=J$1, J$1,"rg:None")</f>
        <v>rg:None</v>
      </c>
      <c r="K5" t="str">
        <f>IF(Table2[[#This Row],[!Type]]=K$1, K$1,"rg:None")</f>
        <v>rg:None</v>
      </c>
      <c r="L5" t="str">
        <f>IF(Table2[[#This Row],[!Type]]=L$1, L$1,"rg:None")</f>
        <v>rg:None</v>
      </c>
      <c r="M5" t="str">
        <f>IF(Table2[[#This Row],[!Type]]=M$1, M$1,"rg:None")</f>
        <v>rg:None</v>
      </c>
      <c r="N5" s="10" t="str">
        <f>IF(Table2[[#This Row],[!Type]]=N$1, N$1,"rg:None")</f>
        <v>rg:None</v>
      </c>
      <c r="O5" s="10" t="str">
        <f>IF(Table2[[#This Row],[!Type]]=O$1, O$1,"rg:None")</f>
        <v>rg:None</v>
      </c>
      <c r="P5" s="5" t="str">
        <f>IF(Table2[[#This Row],[!Type]]=P$1, P$1,"rg:None")</f>
        <v>rg:None</v>
      </c>
      <c r="Q5" s="5" t="str">
        <f>IF(Table2[[#This Row],[!Type]]=Q$1, Q$1,"rg:None")</f>
        <v>rg:None</v>
      </c>
      <c r="R5" s="5" t="str">
        <f>IF(Table2[[#This Row],[!Type]]=R$1, R$1,"rg:None")</f>
        <v>string</v>
      </c>
      <c r="S5" s="5" t="str">
        <f>IF(Table2[[#This Row],[!Type]]=S$1, S$1,"rg:None")</f>
        <v>rg:None</v>
      </c>
      <c r="T5" s="10">
        <f>IF(LEN(Table2[[#This Row],[!Length]]) &gt; 0, Table2[[#This Row],[!Length]], "rg:None")</f>
        <v>15</v>
      </c>
      <c r="U5" s="10" t="str">
        <f>IF(LEN(Table2[[#This Row],[!Name]]) &gt; 0, Table2[[#This Row],[!Name]], "rg:None")</f>
        <v>licencePlateNumber</v>
      </c>
      <c r="V5" s="10" t="str">
        <f>IF(LEN(Table2[[#This Row],[!Description]]) &gt; 0, Table2[[#This Row],[!Description]], "rg:None")</f>
        <v>The License Plate Number for the vehicle</v>
      </c>
      <c r="W5" s="10" t="str">
        <f>IF(LEN(Table2[[#This Row],[!FK]])&gt;0,Table2[[#This Row],[!FK]],"rg:None")</f>
        <v>rg:None</v>
      </c>
      <c r="X5" s="10" t="str">
        <f>IF(LEN(concatif2(A:A,Table2[[#This Row],[!Table]],G:G,"Y",D:D,",")) &gt; 0,"rg:[ { 'req' : '"&amp;concatif2(A:A,Table2[[#This Row],[!Table]],G:G,"Y",D:D,"' }, { 'req': '")&amp;"'} ]","rg:[]")</f>
        <v>rg:[ { 'req' : 'id' }, { 'req': 'status' }, { 'req': 'permitClassCode' }, { 'req': 'bodyTypeCode' }, { 'req': 'schoolBusSeatingCapacity'} ]</v>
      </c>
      <c r="Y5" s="10" t="str">
        <f>IF(LEN(Table2[[#This Row],[!Unique]])&gt;0,"rg:True","rg:None")</f>
        <v>rg:None</v>
      </c>
    </row>
    <row r="6" spans="1:25" x14ac:dyDescent="0.3">
      <c r="A6" s="3" t="s">
        <v>4</v>
      </c>
      <c r="B6" s="3" t="s">
        <v>8</v>
      </c>
      <c r="C6" s="3">
        <v>17</v>
      </c>
      <c r="D6" s="53" t="s">
        <v>233</v>
      </c>
      <c r="E6" s="43" t="s">
        <v>338</v>
      </c>
      <c r="F6" s="3" t="s">
        <v>6</v>
      </c>
      <c r="G6" s="4"/>
      <c r="H6" s="30" t="s">
        <v>136</v>
      </c>
      <c r="I6" s="5" t="str">
        <f t="shared" si="0"/>
        <v>Defs</v>
      </c>
      <c r="J6" t="str">
        <f>IF(Table2[[#This Row],[!Type]]=J$1, J$1,"rg:None")</f>
        <v>rg:None</v>
      </c>
      <c r="K6" t="str">
        <f>IF(Table2[[#This Row],[!Type]]=K$1, K$1,"rg:None")</f>
        <v>rg:None</v>
      </c>
      <c r="L6" t="str">
        <f>IF(Table2[[#This Row],[!Type]]=L$1, L$1,"rg:None")</f>
        <v>rg:None</v>
      </c>
      <c r="M6" t="str">
        <f>IF(Table2[[#This Row],[!Type]]=M$1, M$1,"rg:None")</f>
        <v>rg:None</v>
      </c>
      <c r="N6" s="10" t="str">
        <f>IF(Table2[[#This Row],[!Type]]=N$1, N$1,"rg:None")</f>
        <v>rg:None</v>
      </c>
      <c r="O6" s="10" t="str">
        <f>IF(Table2[[#This Row],[!Type]]=O$1, O$1,"rg:None")</f>
        <v>rg:None</v>
      </c>
      <c r="P6" s="5" t="str">
        <f>IF(Table2[[#This Row],[!Type]]=P$1, P$1,"rg:None")</f>
        <v>rg:None</v>
      </c>
      <c r="Q6" s="5" t="str">
        <f>IF(Table2[[#This Row],[!Type]]=Q$1, Q$1,"rg:None")</f>
        <v>rg:None</v>
      </c>
      <c r="R6" s="5" t="str">
        <f>IF(Table2[[#This Row],[!Type]]=R$1, R$1,"rg:None")</f>
        <v>string</v>
      </c>
      <c r="S6" s="5" t="str">
        <f>IF(Table2[[#This Row],[!Type]]=S$1, S$1,"rg:None")</f>
        <v>rg:None</v>
      </c>
      <c r="T6" s="10">
        <f>IF(LEN(Table2[[#This Row],[!Length]]) &gt; 0, Table2[[#This Row],[!Length]], "rg:None")</f>
        <v>17</v>
      </c>
      <c r="U6" s="10" t="str">
        <f>IF(LEN(Table2[[#This Row],[!Name]]) &gt; 0, Table2[[#This Row],[!Name]], "rg:None")</f>
        <v>VehicleIdentificationNumber</v>
      </c>
      <c r="V6" s="10" t="str">
        <f>IF(LEN(Table2[[#This Row],[!Description]]) &gt; 0, Table2[[#This Row],[!Description]], "rg:None")</f>
        <v xml:space="preserve"> A code used by the automotive industry to uniquely identify individual motor vehicles. A vehicle identification number is frequently referred to using the acronym VIN and it is occasionally referred to as a chassis number.</v>
      </c>
      <c r="W6" s="10" t="str">
        <f>IF(LEN(Table2[[#This Row],[!FK]])&gt;0,Table2[[#This Row],[!FK]],"rg:None")</f>
        <v>rg:None</v>
      </c>
      <c r="X6" s="10" t="str">
        <f>IF(LEN(concatif2(A:A,Table2[[#This Row],[!Table]],G:G,"Y",D:D,",")) &gt; 0,"rg:[ { 'req' : '"&amp;concatif2(A:A,Table2[[#This Row],[!Table]],G:G,"Y",D:D,"' }, { 'req': '")&amp;"'} ]","rg:[]")</f>
        <v>rg:[ { 'req' : 'id' }, { 'req': 'status' }, { 'req': 'permitClassCode' }, { 'req': 'bodyTypeCode' }, { 'req': 'schoolBusSeatingCapacity'} ]</v>
      </c>
      <c r="Y6" s="10" t="str">
        <f>IF(LEN(Table2[[#This Row],[!Unique]])&gt;0,"rg:True","rg:None")</f>
        <v>rg:True</v>
      </c>
    </row>
    <row r="7" spans="1:25" x14ac:dyDescent="0.3">
      <c r="A7" s="3" t="s">
        <v>4</v>
      </c>
      <c r="B7" s="3" t="s">
        <v>9</v>
      </c>
      <c r="C7" s="3"/>
      <c r="D7" s="3" t="s">
        <v>10</v>
      </c>
      <c r="E7" s="27"/>
      <c r="F7" s="3" t="s">
        <v>11</v>
      </c>
      <c r="G7" s="4"/>
      <c r="H7" s="4"/>
      <c r="I7" s="5" t="str">
        <f t="shared" si="0"/>
        <v>Defs</v>
      </c>
      <c r="J7" t="str">
        <f>IF(Table2[[#This Row],[!Type]]=J$1, J$1,"rg:None")</f>
        <v>rg:None</v>
      </c>
      <c r="K7" t="str">
        <f>IF(Table2[[#This Row],[!Type]]=K$1, K$1,"rg:None")</f>
        <v>rg:None</v>
      </c>
      <c r="L7" t="str">
        <f>IF(Table2[[#This Row],[!Type]]=L$1, L$1,"rg:None")</f>
        <v>rg:None</v>
      </c>
      <c r="M7" t="str">
        <f>IF(Table2[[#This Row],[!Type]]=M$1, M$1,"rg:None")</f>
        <v>rg:None</v>
      </c>
      <c r="N7" s="10" t="str">
        <f>IF(Table2[[#This Row],[!Type]]=N$1, N$1,"rg:None")</f>
        <v>rg:None</v>
      </c>
      <c r="O7" s="10" t="str">
        <f>IF(Table2[[#This Row],[!Type]]=O$1, O$1,"rg:None")</f>
        <v>rg:None</v>
      </c>
      <c r="P7" s="5" t="str">
        <f>IF(Table2[[#This Row],[!Type]]=P$1, P$1,"rg:None")</f>
        <v>rg:None</v>
      </c>
      <c r="Q7" s="5" t="str">
        <f>IF(Table2[[#This Row],[!Type]]=Q$1, Q$1,"rg:None")</f>
        <v>ref</v>
      </c>
      <c r="R7" s="5" t="str">
        <f>IF(Table2[[#This Row],[!Type]]=R$1, R$1,"rg:None")</f>
        <v>rg:None</v>
      </c>
      <c r="S7" s="5" t="str">
        <f>IF(Table2[[#This Row],[!Type]]=S$1, S$1,"rg:None")</f>
        <v>rg:None</v>
      </c>
      <c r="T7" s="10" t="str">
        <f>IF(LEN(Table2[[#This Row],[!Length]]) &gt; 0, Table2[[#This Row],[!Length]], "rg:None")</f>
        <v>rg:None</v>
      </c>
      <c r="U7" s="10" t="str">
        <f>IF(LEN(Table2[[#This Row],[!Name]]) &gt; 0, Table2[[#This Row],[!Name]], "rg:None")</f>
        <v>schoolBusOwner</v>
      </c>
      <c r="V7" s="10" t="str">
        <f>IF(LEN(Table2[[#This Row],[!Description]]) &gt; 0, Table2[[#This Row],[!Description]], "rg:None")</f>
        <v>rg:None</v>
      </c>
      <c r="W7" s="10" t="str">
        <f>IF(LEN(Table2[[#This Row],[!FK]])&gt;0,Table2[[#This Row],[!FK]],"rg:None")</f>
        <v>SchoolBusOwner</v>
      </c>
      <c r="X7" s="10" t="str">
        <f>IF(LEN(concatif2(A:A,Table2[[#This Row],[!Table]],G:G,"Y",D:D,",")) &gt; 0,"rg:[ { 'req' : '"&amp;concatif2(A:A,Table2[[#This Row],[!Table]],G:G,"Y",D:D,"' }, { 'req': '")&amp;"'} ]","rg:[]")</f>
        <v>rg:[ { 'req' : 'id' }, { 'req': 'status' }, { 'req': 'permitClassCode' }, { 'req': 'bodyTypeCode' }, { 'req': 'schoolBusSeatingCapacity'} ]</v>
      </c>
      <c r="Y7" s="10" t="str">
        <f>IF(LEN(Table2[[#This Row],[!Unique]])&gt;0,"rg:True","rg:None")</f>
        <v>rg:None</v>
      </c>
    </row>
    <row r="8" spans="1:25" x14ac:dyDescent="0.3">
      <c r="A8" s="3" t="s">
        <v>4</v>
      </c>
      <c r="B8" s="65" t="s">
        <v>33</v>
      </c>
      <c r="C8" s="3"/>
      <c r="D8" s="3" t="s">
        <v>12</v>
      </c>
      <c r="E8" s="64" t="s">
        <v>417</v>
      </c>
      <c r="F8" s="3" t="s">
        <v>6</v>
      </c>
      <c r="G8" s="4"/>
      <c r="H8" s="45" t="s">
        <v>136</v>
      </c>
      <c r="I8" s="5" t="str">
        <f t="shared" si="0"/>
        <v>Defs</v>
      </c>
      <c r="J8" t="str">
        <f>IF(Table2[[#This Row],[!Type]]=J$1, J$1,"rg:None")</f>
        <v>rg:None</v>
      </c>
      <c r="K8" t="str">
        <f>IF(Table2[[#This Row],[!Type]]=K$1, K$1,"rg:None")</f>
        <v>rg:None</v>
      </c>
      <c r="L8" t="str">
        <f>IF(Table2[[#This Row],[!Type]]=L$1, L$1,"rg:None")</f>
        <v>rg:None</v>
      </c>
      <c r="M8" t="str">
        <f>IF(Table2[[#This Row],[!Type]]=M$1, M$1,"rg:None")</f>
        <v>rg:None</v>
      </c>
      <c r="N8" s="10" t="str">
        <f>IF(Table2[[#This Row],[!Type]]=N$1, N$1,"rg:None")</f>
        <v>integer</v>
      </c>
      <c r="O8" s="10" t="str">
        <f>IF(Table2[[#This Row],[!Type]]=O$1, O$1,"rg:None")</f>
        <v>rg:None</v>
      </c>
      <c r="P8" s="5" t="str">
        <f>IF(Table2[[#This Row],[!Type]]=P$1, P$1,"rg:None")</f>
        <v>rg:None</v>
      </c>
      <c r="Q8" s="5" t="str">
        <f>IF(Table2[[#This Row],[!Type]]=Q$1, Q$1,"rg:None")</f>
        <v>rg:None</v>
      </c>
      <c r="R8" s="5" t="str">
        <f>IF(Table2[[#This Row],[!Type]]=R$1, R$1,"rg:None")</f>
        <v>rg:None</v>
      </c>
      <c r="S8" s="5" t="str">
        <f>IF(Table2[[#This Row],[!Type]]=S$1, S$1,"rg:None")</f>
        <v>rg:None</v>
      </c>
      <c r="T8" s="10" t="str">
        <f>IF(LEN(Table2[[#This Row],[!Length]]) &gt; 0, Table2[[#This Row],[!Length]], "rg:None")</f>
        <v>rg:None</v>
      </c>
      <c r="U8" s="10" t="str">
        <f>IF(LEN(Table2[[#This Row],[!Name]]) &gt; 0, Table2[[#This Row],[!Name]], "rg:None")</f>
        <v>permitNumber</v>
      </c>
      <c r="V8" s="10" t="str">
        <f>IF(LEN(Table2[[#This Row],[!Description]]) &gt; 0, Table2[[#This Row],[!Description]], "rg:None")</f>
        <v>The (generated) permit number for the School Bus. The number is set by the system when the inspector generates a permit based on a business rule permit number format.</v>
      </c>
      <c r="W8" s="10" t="str">
        <f>IF(LEN(Table2[[#This Row],[!FK]])&gt;0,Table2[[#This Row],[!FK]],"rg:None")</f>
        <v>rg:None</v>
      </c>
      <c r="X8" s="10" t="str">
        <f>IF(LEN(concatif2(A:A,Table2[[#This Row],[!Table]],G:G,"Y",D:D,",")) &gt; 0,"rg:[ { 'req' : '"&amp;concatif2(A:A,Table2[[#This Row],[!Table]],G:G,"Y",D:D,"' }, { 'req': '")&amp;"'} ]","rg:[]")</f>
        <v>rg:[ { 'req' : 'id' }, { 'req': 'status' }, { 'req': 'permitClassCode' }, { 'req': 'bodyTypeCode' }, { 'req': 'schoolBusSeatingCapacity'} ]</v>
      </c>
      <c r="Y8" s="10" t="str">
        <f>IF(LEN(Table2[[#This Row],[!Unique]])&gt;0,"rg:True","rg:None")</f>
        <v>rg:True</v>
      </c>
    </row>
    <row r="9" spans="1:25" x14ac:dyDescent="0.3">
      <c r="A9" s="63" t="s">
        <v>4</v>
      </c>
      <c r="B9" s="63" t="s">
        <v>25</v>
      </c>
      <c r="C9" s="3"/>
      <c r="D9" s="63" t="s">
        <v>415</v>
      </c>
      <c r="E9" s="63" t="s">
        <v>416</v>
      </c>
      <c r="F9" s="6"/>
      <c r="G9" s="19"/>
      <c r="H9" s="19"/>
      <c r="I9" s="4" t="str">
        <f>IF(LEN(A9) &gt; 0,"Defs","-")</f>
        <v>Defs</v>
      </c>
      <c r="J9" s="16" t="str">
        <f>IF(Table2[[#This Row],[!Type]]=J$1, J$1,"rg:None")</f>
        <v>rg:None</v>
      </c>
      <c r="K9" s="33" t="str">
        <f>IF(Table2[[#This Row],[!Type]]=K$1, K$1,"rg:None")</f>
        <v>rg:None</v>
      </c>
      <c r="L9" s="16" t="str">
        <f>IF(Table2[[#This Row],[!Type]]=L$1, L$1,"rg:None")</f>
        <v>datetime</v>
      </c>
      <c r="M9" s="16" t="str">
        <f>IF(Table2[[#This Row],[!Type]]=M$1, M$1,"rg:None")</f>
        <v>rg:None</v>
      </c>
      <c r="N9" s="16" t="str">
        <f>IF(Table2[[#This Row],[!Type]]=N$1, N$1,"rg:None")</f>
        <v>rg:None</v>
      </c>
      <c r="O9" s="16" t="str">
        <f>IF(Table2[[#This Row],[!Type]]=O$1, O$1,"rg:None")</f>
        <v>rg:None</v>
      </c>
      <c r="P9" s="4" t="str">
        <f>IF(Table2[[#This Row],[!Type]]=P$1, P$1,"rg:None")</f>
        <v>rg:None</v>
      </c>
      <c r="Q9" s="4" t="str">
        <f>IF(Table2[[#This Row],[!Type]]=Q$1, Q$1,"rg:None")</f>
        <v>rg:None</v>
      </c>
      <c r="R9" s="4" t="str">
        <f>IF(Table2[[#This Row],[!Type]]=R$1, R$1,"rg:None")</f>
        <v>rg:None</v>
      </c>
      <c r="S9" s="4" t="str">
        <f>IF(Table2[[#This Row],[!Type]]=S$1, S$1,"rg:None")</f>
        <v>rg:None</v>
      </c>
      <c r="T9" s="16" t="str">
        <f>IF(LEN(Table2[[#This Row],[!Length]]) &gt; 0, Table2[[#This Row],[!Length]], "rg:None")</f>
        <v>rg:None</v>
      </c>
      <c r="U9" s="16" t="str">
        <f>IF(LEN(Table2[[#This Row],[!Name]]) &gt; 0, Table2[[#This Row],[!Name]], "rg:None")</f>
        <v>permitIssueDate</v>
      </c>
      <c r="V9" s="16" t="str">
        <f>IF(LEN(Table2[[#This Row],[!Description]]) &gt; 0, Table2[[#This Row],[!Description]], "rg:None")</f>
        <v>The date a permit number was established for this School Bus.</v>
      </c>
      <c r="W9" s="16" t="str">
        <f>IF(LEN(Table2[[#This Row],[!FK]])&gt;0,Table2[[#This Row],[!FK]],"rg:None")</f>
        <v>rg:None</v>
      </c>
      <c r="X9" s="16" t="str">
        <f>IF(LEN(concatif2(A:A,Table2[[#This Row],[!Table]],G:G,"Y",D:D,",")) &gt; 0,"rg:[ { 'req' : '"&amp;concatif2(A:A,Table2[[#This Row],[!Table]],G:G,"Y",D:D,"' }, { 'req': '")&amp;"'} ]","rg:[]")</f>
        <v>rg:[ { 'req' : 'id' }, { 'req': 'status' }, { 'req': 'permitClassCode' }, { 'req': 'bodyTypeCode' }, { 'req': 'schoolBusSeatingCapacity'} ]</v>
      </c>
      <c r="Y9" s="16" t="str">
        <f>IF(LEN(Table2[[#This Row],[!Unique]])&gt;0,"rg:True","rg:None")</f>
        <v>rg:None</v>
      </c>
    </row>
    <row r="10" spans="1:25" x14ac:dyDescent="0.3">
      <c r="A10" s="3" t="s">
        <v>4</v>
      </c>
      <c r="B10" s="3" t="s">
        <v>8</v>
      </c>
      <c r="C10" s="3">
        <v>20</v>
      </c>
      <c r="D10" s="3" t="s">
        <v>13</v>
      </c>
      <c r="E10" s="27" t="s">
        <v>301</v>
      </c>
      <c r="F10" s="3" t="s">
        <v>6</v>
      </c>
      <c r="G10" s="45" t="s">
        <v>136</v>
      </c>
      <c r="H10" s="4"/>
      <c r="I10" s="5" t="str">
        <f t="shared" si="0"/>
        <v>Defs</v>
      </c>
      <c r="J10" t="str">
        <f>IF(Table2[[#This Row],[!Type]]=J$1, J$1,"rg:None")</f>
        <v>rg:None</v>
      </c>
      <c r="K10" t="str">
        <f>IF(Table2[[#This Row],[!Type]]=K$1, K$1,"rg:None")</f>
        <v>rg:None</v>
      </c>
      <c r="L10" t="str">
        <f>IF(Table2[[#This Row],[!Type]]=L$1, L$1,"rg:None")</f>
        <v>rg:None</v>
      </c>
      <c r="M10" t="str">
        <f>IF(Table2[[#This Row],[!Type]]=M$1, M$1,"rg:None")</f>
        <v>rg:None</v>
      </c>
      <c r="N10" s="10" t="str">
        <f>IF(Table2[[#This Row],[!Type]]=N$1, N$1,"rg:None")</f>
        <v>rg:None</v>
      </c>
      <c r="O10" s="10" t="str">
        <f>IF(Table2[[#This Row],[!Type]]=O$1, O$1,"rg:None")</f>
        <v>rg:None</v>
      </c>
      <c r="P10" s="5" t="str">
        <f>IF(Table2[[#This Row],[!Type]]=P$1, P$1,"rg:None")</f>
        <v>rg:None</v>
      </c>
      <c r="Q10" s="5" t="str">
        <f>IF(Table2[[#This Row],[!Type]]=Q$1, Q$1,"rg:None")</f>
        <v>rg:None</v>
      </c>
      <c r="R10" s="5" t="str">
        <f>IF(Table2[[#This Row],[!Type]]=R$1, R$1,"rg:None")</f>
        <v>string</v>
      </c>
      <c r="S10" s="5" t="str">
        <f>IF(Table2[[#This Row],[!Type]]=S$1, S$1,"rg:None")</f>
        <v>rg:None</v>
      </c>
      <c r="T10" s="10">
        <f>IF(LEN(Table2[[#This Row],[!Length]]) &gt; 0, Table2[[#This Row],[!Length]], "rg:None")</f>
        <v>20</v>
      </c>
      <c r="U10" s="10" t="str">
        <f>IF(LEN(Table2[[#This Row],[!Name]]) &gt; 0, Table2[[#This Row],[!Name]], "rg:None")</f>
        <v>status</v>
      </c>
      <c r="V10" s="10" t="str">
        <f>IF(LEN(Table2[[#This Row],[!Description]]) &gt; 0, Table2[[#This Row],[!Description]], "rg:None")</f>
        <v>Status of the school bus record - current values are Inactive, Active, Archived</v>
      </c>
      <c r="W10" s="10" t="str">
        <f>IF(LEN(Table2[[#This Row],[!FK]])&gt;0,Table2[[#This Row],[!FK]],"rg:None")</f>
        <v>rg:None</v>
      </c>
      <c r="X10" s="10" t="str">
        <f>IF(LEN(concatif2(A:A,Table2[[#This Row],[!Table]],G:G,"Y",D:D,",")) &gt; 0,"rg:[ { 'req' : '"&amp;concatif2(A:A,Table2[[#This Row],[!Table]],G:G,"Y",D:D,"' }, { 'req': '")&amp;"'} ]","rg:[]")</f>
        <v>rg:[ { 'req' : 'id' }, { 'req': 'status' }, { 'req': 'permitClassCode' }, { 'req': 'bodyTypeCode' }, { 'req': 'schoolBusSeatingCapacity'} ]</v>
      </c>
      <c r="Y10" s="10" t="str">
        <f>IF(LEN(Table2[[#This Row],[!Unique]])&gt;0,"rg:True","rg:None")</f>
        <v>rg:None</v>
      </c>
    </row>
    <row r="11" spans="1:25" x14ac:dyDescent="0.3">
      <c r="A11" s="3" t="s">
        <v>4</v>
      </c>
      <c r="B11" s="31" t="s">
        <v>14</v>
      </c>
      <c r="C11" s="3"/>
      <c r="D11" s="3" t="s">
        <v>15</v>
      </c>
      <c r="E11" s="64" t="s">
        <v>418</v>
      </c>
      <c r="F11" s="3" t="s">
        <v>6</v>
      </c>
      <c r="G11" s="4"/>
      <c r="H11" s="4"/>
      <c r="I11" s="5" t="str">
        <f t="shared" si="0"/>
        <v>Defs</v>
      </c>
      <c r="J11" t="str">
        <f>IF(Table2[[#This Row],[!Type]]=J$1, J$1,"rg:None")</f>
        <v>boolean</v>
      </c>
      <c r="K11" t="str">
        <f>IF(Table2[[#This Row],[!Type]]=K$1, K$1,"rg:None")</f>
        <v>rg:None</v>
      </c>
      <c r="L11" t="str">
        <f>IF(Table2[[#This Row],[!Type]]=L$1, L$1,"rg:None")</f>
        <v>rg:None</v>
      </c>
      <c r="M11" t="str">
        <f>IF(Table2[[#This Row],[!Type]]=M$1, M$1,"rg:None")</f>
        <v>rg:None</v>
      </c>
      <c r="N11" s="10" t="str">
        <f>IF(Table2[[#This Row],[!Type]]=N$1, N$1,"rg:None")</f>
        <v>rg:None</v>
      </c>
      <c r="O11" s="10" t="str">
        <f>IF(Table2[[#This Row],[!Type]]=O$1, O$1,"rg:None")</f>
        <v>rg:None</v>
      </c>
      <c r="P11" s="5" t="str">
        <f>IF(Table2[[#This Row],[!Type]]=P$1, P$1,"rg:None")</f>
        <v>rg:None</v>
      </c>
      <c r="Q11" s="5" t="str">
        <f>IF(Table2[[#This Row],[!Type]]=Q$1, Q$1,"rg:None")</f>
        <v>rg:None</v>
      </c>
      <c r="R11" s="5" t="str">
        <f>IF(Table2[[#This Row],[!Type]]=R$1, R$1,"rg:None")</f>
        <v>rg:None</v>
      </c>
      <c r="S11" s="5" t="str">
        <f>IF(Table2[[#This Row],[!Type]]=S$1, S$1,"rg:None")</f>
        <v>rg:None</v>
      </c>
      <c r="T11" s="10" t="str">
        <f>IF(LEN(Table2[[#This Row],[!Length]]) &gt; 0, Table2[[#This Row],[!Length]], "rg:None")</f>
        <v>rg:None</v>
      </c>
      <c r="U11" s="10" t="str">
        <f>IF(LEN(Table2[[#This Row],[!Name]]) &gt; 0, Table2[[#This Row],[!Name]], "rg:None")</f>
        <v>isOutOfProvince</v>
      </c>
      <c r="V11" s="10" t="str">
        <f>IF(LEN(Table2[[#This Row],[!Description]]) &gt; 0, Table2[[#This Row],[!Description]], "rg:None")</f>
        <v>True if the School Bus is registered outside of BC.</v>
      </c>
      <c r="W11" s="10" t="str">
        <f>IF(LEN(Table2[[#This Row],[!FK]])&gt;0,Table2[[#This Row],[!FK]],"rg:None")</f>
        <v>rg:None</v>
      </c>
      <c r="X11" s="10" t="str">
        <f>IF(LEN(concatif2(A:A,Table2[[#This Row],[!Table]],G:G,"Y",D:D,",")) &gt; 0,"rg:[ { 'req' : '"&amp;concatif2(A:A,Table2[[#This Row],[!Table]],G:G,"Y",D:D,"' }, { 'req': '")&amp;"'} ]","rg:[]")</f>
        <v>rg:[ { 'req' : 'id' }, { 'req': 'status' }, { 'req': 'permitClassCode' }, { 'req': 'bodyTypeCode' }, { 'req': 'schoolBusSeatingCapacity'} ]</v>
      </c>
      <c r="Y11" s="10" t="str">
        <f>IF(LEN(Table2[[#This Row],[!Unique]])&gt;0,"rg:True","rg:None")</f>
        <v>rg:None</v>
      </c>
    </row>
    <row r="12" spans="1:25" x14ac:dyDescent="0.3">
      <c r="A12" s="56" t="s">
        <v>4</v>
      </c>
      <c r="B12" s="56" t="s">
        <v>9</v>
      </c>
      <c r="C12" s="3"/>
      <c r="D12" s="56" t="s">
        <v>401</v>
      </c>
      <c r="E12" s="56" t="s">
        <v>412</v>
      </c>
      <c r="F12" s="58" t="s">
        <v>401</v>
      </c>
      <c r="G12" s="19"/>
      <c r="H12" s="19"/>
      <c r="I12" s="4" t="str">
        <f>IF(LEN(A12) &gt; 0,"Defs","-")</f>
        <v>Defs</v>
      </c>
      <c r="J12" s="16" t="str">
        <f>IF(Table2[[#This Row],[!Type]]=J$1, J$1,"rg:None")</f>
        <v>rg:None</v>
      </c>
      <c r="K12" s="33" t="str">
        <f>IF(Table2[[#This Row],[!Type]]=K$1, K$1,"rg:None")</f>
        <v>rg:None</v>
      </c>
      <c r="L12" s="16" t="str">
        <f>IF(Table2[[#This Row],[!Type]]=L$1, L$1,"rg:None")</f>
        <v>rg:None</v>
      </c>
      <c r="M12" s="16" t="str">
        <f>IF(Table2[[#This Row],[!Type]]=M$1, M$1,"rg:None")</f>
        <v>rg:None</v>
      </c>
      <c r="N12" s="16" t="str">
        <f>IF(Table2[[#This Row],[!Type]]=N$1, N$1,"rg:None")</f>
        <v>rg:None</v>
      </c>
      <c r="O12" s="16" t="str">
        <f>IF(Table2[[#This Row],[!Type]]=O$1, O$1,"rg:None")</f>
        <v>rg:None</v>
      </c>
      <c r="P12" s="4" t="str">
        <f>IF(Table2[[#This Row],[!Type]]=P$1, P$1,"rg:None")</f>
        <v>rg:None</v>
      </c>
      <c r="Q12" s="4" t="str">
        <f>IF(Table2[[#This Row],[!Type]]=Q$1, Q$1,"rg:None")</f>
        <v>ref</v>
      </c>
      <c r="R12" s="4" t="str">
        <f>IF(Table2[[#This Row],[!Type]]=R$1, R$1,"rg:None")</f>
        <v>rg:None</v>
      </c>
      <c r="S12" s="4" t="str">
        <f>IF(Table2[[#This Row],[!Type]]=S$1, S$1,"rg:None")</f>
        <v>rg:None</v>
      </c>
      <c r="T12" s="16" t="str">
        <f>IF(LEN(Table2[[#This Row],[!Length]]) &gt; 0, Table2[[#This Row],[!Length]], "rg:None")</f>
        <v>rg:None</v>
      </c>
      <c r="U12" s="16" t="str">
        <f>IF(LEN(Table2[[#This Row],[!Name]]) &gt; 0, Table2[[#This Row],[!Name]], "rg:None")</f>
        <v>CCWJurisdiction</v>
      </c>
      <c r="V12" s="16" t="str">
        <f>IF(LEN(Table2[[#This Row],[!Description]]) &gt; 0, Table2[[#This Row],[!Description]], "rg:None")</f>
        <v>The Jurisdication of an Out Of Province Bus. Needed for querying CCW.</v>
      </c>
      <c r="W12" s="16" t="str">
        <f>IF(LEN(Table2[[#This Row],[!FK]])&gt;0,Table2[[#This Row],[!FK]],"rg:None")</f>
        <v>CCWJurisdiction</v>
      </c>
      <c r="X12" s="16" t="str">
        <f>IF(LEN(concatif2(A:A,Table2[[#This Row],[!Table]],G:G,"Y",D:D,",")) &gt; 0,"rg:[ { 'req' : '"&amp;concatif2(A:A,Table2[[#This Row],[!Table]],G:G,"Y",D:D,"' }, { 'req': '")&amp;"'} ]","rg:[]")</f>
        <v>rg:[ { 'req' : 'id' }, { 'req': 'status' }, { 'req': 'permitClassCode' }, { 'req': 'bodyTypeCode' }, { 'req': 'schoolBusSeatingCapacity'} ]</v>
      </c>
      <c r="Y12" s="16" t="str">
        <f>IF(LEN(Table2[[#This Row],[!Unique]])&gt;0,"rg:True","rg:None")</f>
        <v>rg:None</v>
      </c>
    </row>
    <row r="13" spans="1:25" x14ac:dyDescent="0.3">
      <c r="A13" s="3" t="s">
        <v>4</v>
      </c>
      <c r="B13" s="3" t="s">
        <v>9</v>
      </c>
      <c r="C13" s="3"/>
      <c r="D13" s="24" t="s">
        <v>87</v>
      </c>
      <c r="E13" s="27"/>
      <c r="F13" s="24" t="s">
        <v>87</v>
      </c>
      <c r="G13" s="4"/>
      <c r="H13" s="4"/>
      <c r="I13" s="5" t="str">
        <f t="shared" si="0"/>
        <v>Defs</v>
      </c>
      <c r="J13" t="str">
        <f>IF(Table2[[#This Row],[!Type]]=J$1, J$1,"rg:None")</f>
        <v>rg:None</v>
      </c>
      <c r="K13" t="str">
        <f>IF(Table2[[#This Row],[!Type]]=K$1, K$1,"rg:None")</f>
        <v>rg:None</v>
      </c>
      <c r="L13" t="str">
        <f>IF(Table2[[#This Row],[!Type]]=L$1, L$1,"rg:None")</f>
        <v>rg:None</v>
      </c>
      <c r="M13" t="str">
        <f>IF(Table2[[#This Row],[!Type]]=M$1, M$1,"rg:None")</f>
        <v>rg:None</v>
      </c>
      <c r="N13" s="10" t="str">
        <f>IF(Table2[[#This Row],[!Type]]=N$1, N$1,"rg:None")</f>
        <v>rg:None</v>
      </c>
      <c r="O13" s="10" t="str">
        <f>IF(Table2[[#This Row],[!Type]]=O$1, O$1,"rg:None")</f>
        <v>rg:None</v>
      </c>
      <c r="P13" s="5" t="str">
        <f>IF(Table2[[#This Row],[!Type]]=P$1, P$1,"rg:None")</f>
        <v>rg:None</v>
      </c>
      <c r="Q13" s="5" t="str">
        <f>IF(Table2[[#This Row],[!Type]]=Q$1, Q$1,"rg:None")</f>
        <v>ref</v>
      </c>
      <c r="R13" s="5" t="str">
        <f>IF(Table2[[#This Row],[!Type]]=R$1, R$1,"rg:None")</f>
        <v>rg:None</v>
      </c>
      <c r="S13" s="5" t="str">
        <f>IF(Table2[[#This Row],[!Type]]=S$1, S$1,"rg:None")</f>
        <v>rg:None</v>
      </c>
      <c r="T13" s="10" t="str">
        <f>IF(LEN(Table2[[#This Row],[!Length]]) &gt; 0, Table2[[#This Row],[!Length]], "rg:None")</f>
        <v>rg:None</v>
      </c>
      <c r="U13" s="10" t="str">
        <f>IF(LEN(Table2[[#This Row],[!Name]]) &gt; 0, Table2[[#This Row],[!Name]], "rg:None")</f>
        <v>District</v>
      </c>
      <c r="V13" s="10" t="str">
        <f>IF(LEN(Table2[[#This Row],[!Description]]) &gt; 0, Table2[[#This Row],[!Description]], "rg:None")</f>
        <v>rg:None</v>
      </c>
      <c r="W13" s="10" t="str">
        <f>IF(LEN(Table2[[#This Row],[!FK]])&gt;0,Table2[[#This Row],[!FK]],"rg:None")</f>
        <v>District</v>
      </c>
      <c r="X13" s="10" t="str">
        <f>IF(LEN(concatif2(A:A,Table2[[#This Row],[!Table]],G:G,"Y",D:D,",")) &gt; 0,"rg:[ { 'req' : '"&amp;concatif2(A:A,Table2[[#This Row],[!Table]],G:G,"Y",D:D,"' }, { 'req': '")&amp;"'} ]","rg:[]")</f>
        <v>rg:[ { 'req' : 'id' }, { 'req': 'status' }, { 'req': 'permitClassCode' }, { 'req': 'bodyTypeCode' }, { 'req': 'schoolBusSeatingCapacity'} ]</v>
      </c>
      <c r="Y13" s="10" t="str">
        <f>IF(LEN(Table2[[#This Row],[!Unique]])&gt;0,"rg:True","rg:None")</f>
        <v>rg:None</v>
      </c>
    </row>
    <row r="14" spans="1:25" x14ac:dyDescent="0.3">
      <c r="A14" s="3" t="s">
        <v>4</v>
      </c>
      <c r="B14" s="3" t="s">
        <v>8</v>
      </c>
      <c r="C14" s="3">
        <v>80</v>
      </c>
      <c r="D14" s="24" t="s">
        <v>231</v>
      </c>
      <c r="E14" s="43" t="s">
        <v>302</v>
      </c>
      <c r="F14" s="3" t="s">
        <v>6</v>
      </c>
      <c r="G14" s="4"/>
      <c r="H14" s="4"/>
      <c r="I14" s="5" t="str">
        <f t="shared" si="0"/>
        <v>Defs</v>
      </c>
      <c r="J14" t="str">
        <f>IF(Table2[[#This Row],[!Type]]=J$1, J$1,"rg:None")</f>
        <v>rg:None</v>
      </c>
      <c r="K14" t="str">
        <f>IF(Table2[[#This Row],[!Type]]=K$1, K$1,"rg:None")</f>
        <v>rg:None</v>
      </c>
      <c r="L14" t="str">
        <f>IF(Table2[[#This Row],[!Type]]=L$1, L$1,"rg:None")</f>
        <v>rg:None</v>
      </c>
      <c r="M14" t="str">
        <f>IF(Table2[[#This Row],[!Type]]=M$1, M$1,"rg:None")</f>
        <v>rg:None</v>
      </c>
      <c r="N14" s="10" t="str">
        <f>IF(Table2[[#This Row],[!Type]]=N$1, N$1,"rg:None")</f>
        <v>rg:None</v>
      </c>
      <c r="O14" s="10" t="str">
        <f>IF(Table2[[#This Row],[!Type]]=O$1, O$1,"rg:None")</f>
        <v>rg:None</v>
      </c>
      <c r="P14" s="5" t="str">
        <f>IF(Table2[[#This Row],[!Type]]=P$1, P$1,"rg:None")</f>
        <v>rg:None</v>
      </c>
      <c r="Q14" s="5" t="str">
        <f>IF(Table2[[#This Row],[!Type]]=Q$1, Q$1,"rg:None")</f>
        <v>rg:None</v>
      </c>
      <c r="R14" s="5" t="str">
        <f>IF(Table2[[#This Row],[!Type]]=R$1, R$1,"rg:None")</f>
        <v>string</v>
      </c>
      <c r="S14" s="5" t="str">
        <f>IF(Table2[[#This Row],[!Type]]=S$1, S$1,"rg:None")</f>
        <v>rg:None</v>
      </c>
      <c r="T14" s="10">
        <f>IF(LEN(Table2[[#This Row],[!Length]]) &gt; 0, Table2[[#This Row],[!Length]], "rg:None")</f>
        <v>80</v>
      </c>
      <c r="U14" s="10" t="str">
        <f>IF(LEN(Table2[[#This Row],[!Name]]) &gt; 0, Table2[[#This Row],[!Name]], "rg:None")</f>
        <v>homeTerminalAddress1</v>
      </c>
      <c r="V14" s="10" t="str">
        <f>IF(LEN(Table2[[#This Row],[!Description]]) &gt; 0, Table2[[#This Row],[!Description]], "rg:None")</f>
        <v>Address Line 1 of physical location of the School Bus.</v>
      </c>
      <c r="W14" s="10" t="str">
        <f>IF(LEN(Table2[[#This Row],[!FK]])&gt;0,Table2[[#This Row],[!FK]],"rg:None")</f>
        <v>rg:None</v>
      </c>
      <c r="X14" s="10" t="str">
        <f>IF(LEN(concatif2(A:A,Table2[[#This Row],[!Table]],G:G,"Y",D:D,",")) &gt; 0,"rg:[ { 'req' : '"&amp;concatif2(A:A,Table2[[#This Row],[!Table]],G:G,"Y",D:D,"' }, { 'req': '")&amp;"'} ]","rg:[]")</f>
        <v>rg:[ { 'req' : 'id' }, { 'req': 'status' }, { 'req': 'permitClassCode' }, { 'req': 'bodyTypeCode' }, { 'req': 'schoolBusSeatingCapacity'} ]</v>
      </c>
      <c r="Y14" s="10" t="str">
        <f>IF(LEN(Table2[[#This Row],[!Unique]])&gt;0,"rg:True","rg:None")</f>
        <v>rg:None</v>
      </c>
    </row>
    <row r="15" spans="1:25" x14ac:dyDescent="0.3">
      <c r="A15" s="3" t="s">
        <v>4</v>
      </c>
      <c r="B15" s="3" t="s">
        <v>8</v>
      </c>
      <c r="C15" s="3">
        <v>80</v>
      </c>
      <c r="D15" s="24" t="s">
        <v>232</v>
      </c>
      <c r="E15" s="43" t="s">
        <v>303</v>
      </c>
      <c r="F15" s="3" t="s">
        <v>6</v>
      </c>
      <c r="G15" s="4"/>
      <c r="H15" s="4"/>
      <c r="I15" s="5" t="str">
        <f t="shared" si="0"/>
        <v>Defs</v>
      </c>
      <c r="J15" t="str">
        <f>IF(Table2[[#This Row],[!Type]]=J$1, J$1,"rg:None")</f>
        <v>rg:None</v>
      </c>
      <c r="K15" t="str">
        <f>IF(Table2[[#This Row],[!Type]]=K$1, K$1,"rg:None")</f>
        <v>rg:None</v>
      </c>
      <c r="L15" t="str">
        <f>IF(Table2[[#This Row],[!Type]]=L$1, L$1,"rg:None")</f>
        <v>rg:None</v>
      </c>
      <c r="M15" t="str">
        <f>IF(Table2[[#This Row],[!Type]]=M$1, M$1,"rg:None")</f>
        <v>rg:None</v>
      </c>
      <c r="N15" s="10" t="str">
        <f>IF(Table2[[#This Row],[!Type]]=N$1, N$1,"rg:None")</f>
        <v>rg:None</v>
      </c>
      <c r="O15" s="10" t="str">
        <f>IF(Table2[[#This Row],[!Type]]=O$1, O$1,"rg:None")</f>
        <v>rg:None</v>
      </c>
      <c r="P15" s="5" t="str">
        <f>IF(Table2[[#This Row],[!Type]]=P$1, P$1,"rg:None")</f>
        <v>rg:None</v>
      </c>
      <c r="Q15" s="5" t="str">
        <f>IF(Table2[[#This Row],[!Type]]=Q$1, Q$1,"rg:None")</f>
        <v>rg:None</v>
      </c>
      <c r="R15" s="5" t="str">
        <f>IF(Table2[[#This Row],[!Type]]=R$1, R$1,"rg:None")</f>
        <v>string</v>
      </c>
      <c r="S15" s="5" t="str">
        <f>IF(Table2[[#This Row],[!Type]]=S$1, S$1,"rg:None")</f>
        <v>rg:None</v>
      </c>
      <c r="T15" s="10">
        <f>IF(LEN(Table2[[#This Row],[!Length]]) &gt; 0, Table2[[#This Row],[!Length]], "rg:None")</f>
        <v>80</v>
      </c>
      <c r="U15" s="10" t="str">
        <f>IF(LEN(Table2[[#This Row],[!Name]]) &gt; 0, Table2[[#This Row],[!Name]], "rg:None")</f>
        <v>homeTerminalAddress2</v>
      </c>
      <c r="V15" s="10" t="str">
        <f>IF(LEN(Table2[[#This Row],[!Description]]) &gt; 0, Table2[[#This Row],[!Description]], "rg:None")</f>
        <v>Address Line 2 of physical location of the School Bus.</v>
      </c>
      <c r="W15" s="10" t="str">
        <f>IF(LEN(Table2[[#This Row],[!FK]])&gt;0,Table2[[#This Row],[!FK]],"rg:None")</f>
        <v>rg:None</v>
      </c>
      <c r="X15" s="10" t="str">
        <f>IF(LEN(concatif2(A:A,Table2[[#This Row],[!Table]],G:G,"Y",D:D,",")) &gt; 0,"rg:[ { 'req' : '"&amp;concatif2(A:A,Table2[[#This Row],[!Table]],G:G,"Y",D:D,"' }, { 'req': '")&amp;"'} ]","rg:[]")</f>
        <v>rg:[ { 'req' : 'id' }, { 'req': 'status' }, { 'req': 'permitClassCode' }, { 'req': 'bodyTypeCode' }, { 'req': 'schoolBusSeatingCapacity'} ]</v>
      </c>
      <c r="Y15" s="10" t="str">
        <f>IF(LEN(Table2[[#This Row],[!Unique]])&gt;0,"rg:True","rg:None")</f>
        <v>rg:None</v>
      </c>
    </row>
    <row r="16" spans="1:25" x14ac:dyDescent="0.3">
      <c r="A16" s="3" t="s">
        <v>4</v>
      </c>
      <c r="B16" s="3" t="s">
        <v>9</v>
      </c>
      <c r="C16" s="3"/>
      <c r="D16" s="3" t="s">
        <v>17</v>
      </c>
      <c r="E16" s="27" t="s">
        <v>18</v>
      </c>
      <c r="F16" s="3" t="s">
        <v>19</v>
      </c>
      <c r="G16" s="4"/>
      <c r="H16" s="4"/>
      <c r="I16" s="5" t="str">
        <f t="shared" si="0"/>
        <v>Defs</v>
      </c>
      <c r="J16" t="str">
        <f>IF(Table2[[#This Row],[!Type]]=J$1, J$1,"rg:None")</f>
        <v>rg:None</v>
      </c>
      <c r="K16" t="str">
        <f>IF(Table2[[#This Row],[!Type]]=K$1, K$1,"rg:None")</f>
        <v>rg:None</v>
      </c>
      <c r="L16" t="str">
        <f>IF(Table2[[#This Row],[!Type]]=L$1, L$1,"rg:None")</f>
        <v>rg:None</v>
      </c>
      <c r="M16" t="str">
        <f>IF(Table2[[#This Row],[!Type]]=M$1, M$1,"rg:None")</f>
        <v>rg:None</v>
      </c>
      <c r="N16" s="10" t="str">
        <f>IF(Table2[[#This Row],[!Type]]=N$1, N$1,"rg:None")</f>
        <v>rg:None</v>
      </c>
      <c r="O16" s="10" t="str">
        <f>IF(Table2[[#This Row],[!Type]]=O$1, O$1,"rg:None")</f>
        <v>rg:None</v>
      </c>
      <c r="P16" s="5" t="str">
        <f>IF(Table2[[#This Row],[!Type]]=P$1, P$1,"rg:None")</f>
        <v>rg:None</v>
      </c>
      <c r="Q16" s="5" t="str">
        <f>IF(Table2[[#This Row],[!Type]]=Q$1, Q$1,"rg:None")</f>
        <v>ref</v>
      </c>
      <c r="R16" s="5" t="str">
        <f>IF(Table2[[#This Row],[!Type]]=R$1, R$1,"rg:None")</f>
        <v>rg:None</v>
      </c>
      <c r="S16" s="5" t="str">
        <f>IF(Table2[[#This Row],[!Type]]=S$1, S$1,"rg:None")</f>
        <v>rg:None</v>
      </c>
      <c r="T16" s="10" t="str">
        <f>IF(LEN(Table2[[#This Row],[!Length]]) &gt; 0, Table2[[#This Row],[!Length]], "rg:None")</f>
        <v>rg:None</v>
      </c>
      <c r="U16" s="10" t="str">
        <f>IF(LEN(Table2[[#This Row],[!Name]]) &gt; 0, Table2[[#This Row],[!Name]], "rg:None")</f>
        <v>homeTerminalCity</v>
      </c>
      <c r="V16" s="10" t="str">
        <f>IF(LEN(Table2[[#This Row],[!Description]]) &gt; 0, Table2[[#This Row],[!Description]], "rg:None")</f>
        <v>City of physical location of the School Bus.</v>
      </c>
      <c r="W16" s="10" t="str">
        <f>IF(LEN(Table2[[#This Row],[!FK]])&gt;0,Table2[[#This Row],[!FK]],"rg:None")</f>
        <v>City</v>
      </c>
      <c r="X16" s="10" t="str">
        <f>IF(LEN(concatif2(A:A,Table2[[#This Row],[!Table]],G:G,"Y",D:D,",")) &gt; 0,"rg:[ { 'req' : '"&amp;concatif2(A:A,Table2[[#This Row],[!Table]],G:G,"Y",D:D,"' }, { 'req': '")&amp;"'} ]","rg:[]")</f>
        <v>rg:[ { 'req' : 'id' }, { 'req': 'status' }, { 'req': 'permitClassCode' }, { 'req': 'bodyTypeCode' }, { 'req': 'schoolBusSeatingCapacity'} ]</v>
      </c>
      <c r="Y16" s="10" t="str">
        <f>IF(LEN(Table2[[#This Row],[!Unique]])&gt;0,"rg:True","rg:None")</f>
        <v>rg:None</v>
      </c>
    </row>
    <row r="17" spans="1:25" x14ac:dyDescent="0.3">
      <c r="A17" s="3" t="s">
        <v>4</v>
      </c>
      <c r="B17" s="3" t="s">
        <v>8</v>
      </c>
      <c r="C17" s="3">
        <v>40</v>
      </c>
      <c r="D17" s="3" t="s">
        <v>20</v>
      </c>
      <c r="E17" s="27" t="s">
        <v>21</v>
      </c>
      <c r="F17" s="3" t="s">
        <v>6</v>
      </c>
      <c r="G17" s="4"/>
      <c r="H17" s="4"/>
      <c r="I17" s="5" t="str">
        <f t="shared" si="0"/>
        <v>Defs</v>
      </c>
      <c r="J17" t="str">
        <f>IF(Table2[[#This Row],[!Type]]=J$1, J$1,"rg:None")</f>
        <v>rg:None</v>
      </c>
      <c r="K17" t="str">
        <f>IF(Table2[[#This Row],[!Type]]=K$1, K$1,"rg:None")</f>
        <v>rg:None</v>
      </c>
      <c r="L17" t="str">
        <f>IF(Table2[[#This Row],[!Type]]=L$1, L$1,"rg:None")</f>
        <v>rg:None</v>
      </c>
      <c r="M17" t="str">
        <f>IF(Table2[[#This Row],[!Type]]=M$1, M$1,"rg:None")</f>
        <v>rg:None</v>
      </c>
      <c r="N17" s="10" t="str">
        <f>IF(Table2[[#This Row],[!Type]]=N$1, N$1,"rg:None")</f>
        <v>rg:None</v>
      </c>
      <c r="O17" s="10" t="str">
        <f>IF(Table2[[#This Row],[!Type]]=O$1, O$1,"rg:None")</f>
        <v>rg:None</v>
      </c>
      <c r="P17" s="5" t="str">
        <f>IF(Table2[[#This Row],[!Type]]=P$1, P$1,"rg:None")</f>
        <v>rg:None</v>
      </c>
      <c r="Q17" s="5" t="str">
        <f>IF(Table2[[#This Row],[!Type]]=Q$1, Q$1,"rg:None")</f>
        <v>rg:None</v>
      </c>
      <c r="R17" s="5" t="str">
        <f>IF(Table2[[#This Row],[!Type]]=R$1, R$1,"rg:None")</f>
        <v>string</v>
      </c>
      <c r="S17" s="5" t="str">
        <f>IF(Table2[[#This Row],[!Type]]=S$1, S$1,"rg:None")</f>
        <v>rg:None</v>
      </c>
      <c r="T17" s="10">
        <f>IF(LEN(Table2[[#This Row],[!Length]]) &gt; 0, Table2[[#This Row],[!Length]], "rg:None")</f>
        <v>40</v>
      </c>
      <c r="U17" s="10" t="str">
        <f>IF(LEN(Table2[[#This Row],[!Name]]) &gt; 0, Table2[[#This Row],[!Name]], "rg:None")</f>
        <v>homeTerminalProvince</v>
      </c>
      <c r="V17" s="10" t="str">
        <f>IF(LEN(Table2[[#This Row],[!Description]]) &gt; 0, Table2[[#This Row],[!Description]], "rg:None")</f>
        <v>Province of physical location of the School Bus - free form.</v>
      </c>
      <c r="W17" s="10" t="str">
        <f>IF(LEN(Table2[[#This Row],[!FK]])&gt;0,Table2[[#This Row],[!FK]],"rg:None")</f>
        <v>rg:None</v>
      </c>
      <c r="X17" s="10" t="str">
        <f>IF(LEN(concatif2(A:A,Table2[[#This Row],[!Table]],G:G,"Y",D:D,",")) &gt; 0,"rg:[ { 'req' : '"&amp;concatif2(A:A,Table2[[#This Row],[!Table]],G:G,"Y",D:D,"' }, { 'req': '")&amp;"'} ]","rg:[]")</f>
        <v>rg:[ { 'req' : 'id' }, { 'req': 'status' }, { 'req': 'permitClassCode' }, { 'req': 'bodyTypeCode' }, { 'req': 'schoolBusSeatingCapacity'} ]</v>
      </c>
      <c r="Y17" s="10" t="str">
        <f>IF(LEN(Table2[[#This Row],[!Unique]])&gt;0,"rg:True","rg:None")</f>
        <v>rg:None</v>
      </c>
    </row>
    <row r="18" spans="1:25" x14ac:dyDescent="0.3">
      <c r="A18" s="3" t="s">
        <v>4</v>
      </c>
      <c r="B18" s="3" t="s">
        <v>8</v>
      </c>
      <c r="C18" s="3">
        <v>15</v>
      </c>
      <c r="D18" s="3" t="s">
        <v>22</v>
      </c>
      <c r="E18" s="27" t="s">
        <v>23</v>
      </c>
      <c r="F18" s="3" t="s">
        <v>6</v>
      </c>
      <c r="G18" s="4"/>
      <c r="H18" s="4"/>
      <c r="I18" s="5" t="str">
        <f t="shared" si="0"/>
        <v>Defs</v>
      </c>
      <c r="J18" t="str">
        <f>IF(Table2[[#This Row],[!Type]]=J$1, J$1,"rg:None")</f>
        <v>rg:None</v>
      </c>
      <c r="K18" t="str">
        <f>IF(Table2[[#This Row],[!Type]]=K$1, K$1,"rg:None")</f>
        <v>rg:None</v>
      </c>
      <c r="L18" t="str">
        <f>IF(Table2[[#This Row],[!Type]]=L$1, L$1,"rg:None")</f>
        <v>rg:None</v>
      </c>
      <c r="M18" t="str">
        <f>IF(Table2[[#This Row],[!Type]]=M$1, M$1,"rg:None")</f>
        <v>rg:None</v>
      </c>
      <c r="N18" s="10" t="str">
        <f>IF(Table2[[#This Row],[!Type]]=N$1, N$1,"rg:None")</f>
        <v>rg:None</v>
      </c>
      <c r="O18" s="10" t="str">
        <f>IF(Table2[[#This Row],[!Type]]=O$1, O$1,"rg:None")</f>
        <v>rg:None</v>
      </c>
      <c r="P18" s="5" t="str">
        <f>IF(Table2[[#This Row],[!Type]]=P$1, P$1,"rg:None")</f>
        <v>rg:None</v>
      </c>
      <c r="Q18" s="5" t="str">
        <f>IF(Table2[[#This Row],[!Type]]=Q$1, Q$1,"rg:None")</f>
        <v>rg:None</v>
      </c>
      <c r="R18" s="5" t="str">
        <f>IF(Table2[[#This Row],[!Type]]=R$1, R$1,"rg:None")</f>
        <v>string</v>
      </c>
      <c r="S18" s="5" t="str">
        <f>IF(Table2[[#This Row],[!Type]]=S$1, S$1,"rg:None")</f>
        <v>rg:None</v>
      </c>
      <c r="T18" s="10">
        <f>IF(LEN(Table2[[#This Row],[!Length]]) &gt; 0, Table2[[#This Row],[!Length]], "rg:None")</f>
        <v>15</v>
      </c>
      <c r="U18" s="10" t="str">
        <f>IF(LEN(Table2[[#This Row],[!Name]]) &gt; 0, Table2[[#This Row],[!Name]], "rg:None")</f>
        <v>homeTerminalPostalCode</v>
      </c>
      <c r="V18" s="10" t="str">
        <f>IF(LEN(Table2[[#This Row],[!Description]]) &gt; 0, Table2[[#This Row],[!Description]], "rg:None")</f>
        <v>Postal Code of physical location of the School Bus.</v>
      </c>
      <c r="W18" s="10" t="str">
        <f>IF(LEN(Table2[[#This Row],[!FK]])&gt;0,Table2[[#This Row],[!FK]],"rg:None")</f>
        <v>rg:None</v>
      </c>
      <c r="X18" s="10" t="str">
        <f>IF(LEN(concatif2(A:A,Table2[[#This Row],[!Table]],G:G,"Y",D:D,",")) &gt; 0,"rg:[ { 'req' : '"&amp;concatif2(A:A,Table2[[#This Row],[!Table]],G:G,"Y",D:D,"' }, { 'req': '")&amp;"'} ]","rg:[]")</f>
        <v>rg:[ { 'req' : 'id' }, { 'req': 'status' }, { 'req': 'permitClassCode' }, { 'req': 'bodyTypeCode' }, { 'req': 'schoolBusSeatingCapacity'} ]</v>
      </c>
      <c r="Y18" s="10" t="str">
        <f>IF(LEN(Table2[[#This Row],[!Unique]])&gt;0,"rg:True","rg:None")</f>
        <v>rg:None</v>
      </c>
    </row>
    <row r="19" spans="1:25" x14ac:dyDescent="0.3">
      <c r="A19" s="3" t="s">
        <v>4</v>
      </c>
      <c r="B19" s="3" t="s">
        <v>8</v>
      </c>
      <c r="C19" s="3">
        <v>2048</v>
      </c>
      <c r="D19" s="3" t="s">
        <v>24</v>
      </c>
      <c r="E19" s="27" t="s">
        <v>304</v>
      </c>
      <c r="F19" s="3" t="s">
        <v>6</v>
      </c>
      <c r="G19" s="4"/>
      <c r="H19" s="4"/>
      <c r="I19" s="5" t="str">
        <f t="shared" si="0"/>
        <v>Defs</v>
      </c>
      <c r="J19" t="str">
        <f>IF(Table2[[#This Row],[!Type]]=J$1, J$1,"rg:None")</f>
        <v>rg:None</v>
      </c>
      <c r="K19" t="str">
        <f>IF(Table2[[#This Row],[!Type]]=K$1, K$1,"rg:None")</f>
        <v>rg:None</v>
      </c>
      <c r="L19" t="str">
        <f>IF(Table2[[#This Row],[!Type]]=L$1, L$1,"rg:None")</f>
        <v>rg:None</v>
      </c>
      <c r="M19" t="str">
        <f>IF(Table2[[#This Row],[!Type]]=M$1, M$1,"rg:None")</f>
        <v>rg:None</v>
      </c>
      <c r="N19" s="10" t="str">
        <f>IF(Table2[[#This Row],[!Type]]=N$1, N$1,"rg:None")</f>
        <v>rg:None</v>
      </c>
      <c r="O19" s="10" t="str">
        <f>IF(Table2[[#This Row],[!Type]]=O$1, O$1,"rg:None")</f>
        <v>rg:None</v>
      </c>
      <c r="P19" s="5" t="str">
        <f>IF(Table2[[#This Row],[!Type]]=P$1, P$1,"rg:None")</f>
        <v>rg:None</v>
      </c>
      <c r="Q19" s="5" t="str">
        <f>IF(Table2[[#This Row],[!Type]]=Q$1, Q$1,"rg:None")</f>
        <v>rg:None</v>
      </c>
      <c r="R19" s="5" t="str">
        <f>IF(Table2[[#This Row],[!Type]]=R$1, R$1,"rg:None")</f>
        <v>string</v>
      </c>
      <c r="S19" s="5" t="str">
        <f>IF(Table2[[#This Row],[!Type]]=S$1, S$1,"rg:None")</f>
        <v>rg:None</v>
      </c>
      <c r="T19" s="10">
        <f>IF(LEN(Table2[[#This Row],[!Length]]) &gt; 0, Table2[[#This Row],[!Length]], "rg:None")</f>
        <v>2048</v>
      </c>
      <c r="U19" s="10" t="str">
        <f>IF(LEN(Table2[[#This Row],[!Name]]) &gt; 0, Table2[[#This Row],[!Name]], "rg:None")</f>
        <v>homeTerminalComment</v>
      </c>
      <c r="V19" s="10" t="str">
        <f>IF(LEN(Table2[[#This Row],[!Description]]) &gt; 0, Table2[[#This Row],[!Description]], "rg:None")</f>
        <v>A comment about the physical location of the bus so that the Inspector can more easily find it for an inspection.</v>
      </c>
      <c r="W19" s="10" t="str">
        <f>IF(LEN(Table2[[#This Row],[!FK]])&gt;0,Table2[[#This Row],[!FK]],"rg:None")</f>
        <v>rg:None</v>
      </c>
      <c r="X19" s="10" t="str">
        <f>IF(LEN(concatif2(A:A,Table2[[#This Row],[!Table]],G:G,"Y",D:D,",")) &gt; 0,"rg:[ { 'req' : '"&amp;concatif2(A:A,Table2[[#This Row],[!Table]],G:G,"Y",D:D,"' }, { 'req': '")&amp;"'} ]","rg:[]")</f>
        <v>rg:[ { 'req' : 'id' }, { 'req': 'status' }, { 'req': 'permitClassCode' }, { 'req': 'bodyTypeCode' }, { 'req': 'schoolBusSeatingCapacity'} ]</v>
      </c>
      <c r="Y19" s="10" t="str">
        <f>IF(LEN(Table2[[#This Row],[!Unique]])&gt;0,"rg:True","rg:None")</f>
        <v>rg:None</v>
      </c>
    </row>
    <row r="20" spans="1:25" x14ac:dyDescent="0.3">
      <c r="A20" s="3" t="s">
        <v>4</v>
      </c>
      <c r="B20" s="3" t="s">
        <v>8</v>
      </c>
      <c r="C20" s="3">
        <v>2048</v>
      </c>
      <c r="D20" s="24" t="s">
        <v>256</v>
      </c>
      <c r="E20" s="27" t="s">
        <v>305</v>
      </c>
      <c r="F20" s="3" t="s">
        <v>6</v>
      </c>
      <c r="G20" s="4"/>
      <c r="H20" s="4"/>
      <c r="I20" s="5" t="str">
        <f t="shared" si="0"/>
        <v>Defs</v>
      </c>
      <c r="J20" t="str">
        <f>IF(Table2[[#This Row],[!Type]]=J$1, J$1,"rg:None")</f>
        <v>rg:None</v>
      </c>
      <c r="K20" t="str">
        <f>IF(Table2[[#This Row],[!Type]]=K$1, K$1,"rg:None")</f>
        <v>rg:None</v>
      </c>
      <c r="L20" t="str">
        <f>IF(Table2[[#This Row],[!Type]]=L$1, L$1,"rg:None")</f>
        <v>rg:None</v>
      </c>
      <c r="M20" t="str">
        <f>IF(Table2[[#This Row],[!Type]]=M$1, M$1,"rg:None")</f>
        <v>rg:None</v>
      </c>
      <c r="N20" s="10" t="str">
        <f>IF(Table2[[#This Row],[!Type]]=N$1, N$1,"rg:None")</f>
        <v>rg:None</v>
      </c>
      <c r="O20" s="10" t="str">
        <f>IF(Table2[[#This Row],[!Type]]=O$1, O$1,"rg:None")</f>
        <v>rg:None</v>
      </c>
      <c r="P20" s="5" t="str">
        <f>IF(Table2[[#This Row],[!Type]]=P$1, P$1,"rg:None")</f>
        <v>rg:None</v>
      </c>
      <c r="Q20" s="5" t="str">
        <f>IF(Table2[[#This Row],[!Type]]=Q$1, Q$1,"rg:None")</f>
        <v>rg:None</v>
      </c>
      <c r="R20" s="5" t="str">
        <f>IF(Table2[[#This Row],[!Type]]=R$1, R$1,"rg:None")</f>
        <v>string</v>
      </c>
      <c r="S20" s="5" t="str">
        <f>IF(Table2[[#This Row],[!Type]]=S$1, S$1,"rg:None")</f>
        <v>rg:None</v>
      </c>
      <c r="T20" s="10">
        <f>IF(LEN(Table2[[#This Row],[!Length]]) &gt; 0, Table2[[#This Row],[!Length]], "rg:None")</f>
        <v>2048</v>
      </c>
      <c r="U20" s="10" t="str">
        <f>IF(LEN(Table2[[#This Row],[!Name]]) &gt; 0, Table2[[#This Row],[!Name]], "rg:None")</f>
        <v>restrictionsText</v>
      </c>
      <c r="V20" s="10" t="str">
        <f>IF(LEN(Table2[[#This Row],[!Description]]) &gt; 0, Table2[[#This Row],[!Description]], "rg:None")</f>
        <v>Text of any restrictions to be printed on the school bus permit. Standard comments are associated with the Permit Class but the inspector can enter free form text.</v>
      </c>
      <c r="W20" s="10" t="str">
        <f>IF(LEN(Table2[[#This Row],[!FK]])&gt;0,Table2[[#This Row],[!FK]],"rg:None")</f>
        <v>rg:None</v>
      </c>
      <c r="X20" s="10" t="str">
        <f>IF(LEN(concatif2(A:A,Table2[[#This Row],[!Table]],G:G,"Y",D:D,",")) &gt; 0,"rg:[ { 'req' : '"&amp;concatif2(A:A,Table2[[#This Row],[!Table]],G:G,"Y",D:D,"' }, { 'req': '")&amp;"'} ]","rg:[]")</f>
        <v>rg:[ { 'req' : 'id' }, { 'req': 'status' }, { 'req': 'permitClassCode' }, { 'req': 'bodyTypeCode' }, { 'req': 'schoolBusSeatingCapacity'} ]</v>
      </c>
      <c r="Y20" s="10" t="str">
        <f>IF(LEN(Table2[[#This Row],[!Unique]])&gt;0,"rg:True","rg:None")</f>
        <v>rg:None</v>
      </c>
    </row>
    <row r="21" spans="1:25" x14ac:dyDescent="0.3">
      <c r="A21" s="3" t="s">
        <v>4</v>
      </c>
      <c r="B21" s="3" t="s">
        <v>25</v>
      </c>
      <c r="C21" s="3"/>
      <c r="D21" s="3" t="s">
        <v>26</v>
      </c>
      <c r="E21" s="27" t="s">
        <v>306</v>
      </c>
      <c r="F21" s="3" t="s">
        <v>6</v>
      </c>
      <c r="G21" s="4"/>
      <c r="H21" s="4"/>
      <c r="I21" s="5" t="str">
        <f t="shared" si="0"/>
        <v>Defs</v>
      </c>
      <c r="J21" t="str">
        <f>IF(Table2[[#This Row],[!Type]]=J$1, J$1,"rg:None")</f>
        <v>rg:None</v>
      </c>
      <c r="K21" t="str">
        <f>IF(Table2[[#This Row],[!Type]]=K$1, K$1,"rg:None")</f>
        <v>rg:None</v>
      </c>
      <c r="L21" t="str">
        <f>IF(Table2[[#This Row],[!Type]]=L$1, L$1,"rg:None")</f>
        <v>datetime</v>
      </c>
      <c r="M21" t="str">
        <f>IF(Table2[[#This Row],[!Type]]=M$1, M$1,"rg:None")</f>
        <v>rg:None</v>
      </c>
      <c r="N21" s="10" t="str">
        <f>IF(Table2[[#This Row],[!Type]]=N$1, N$1,"rg:None")</f>
        <v>rg:None</v>
      </c>
      <c r="O21" s="10" t="str">
        <f>IF(Table2[[#This Row],[!Type]]=O$1, O$1,"rg:None")</f>
        <v>rg:None</v>
      </c>
      <c r="P21" s="5" t="str">
        <f>IF(Table2[[#This Row],[!Type]]=P$1, P$1,"rg:None")</f>
        <v>rg:None</v>
      </c>
      <c r="Q21" s="5" t="str">
        <f>IF(Table2[[#This Row],[!Type]]=Q$1, Q$1,"rg:None")</f>
        <v>rg:None</v>
      </c>
      <c r="R21" s="5" t="str">
        <f>IF(Table2[[#This Row],[!Type]]=R$1, R$1,"rg:None")</f>
        <v>rg:None</v>
      </c>
      <c r="S21" s="5" t="str">
        <f>IF(Table2[[#This Row],[!Type]]=S$1, S$1,"rg:None")</f>
        <v>rg:None</v>
      </c>
      <c r="T21" s="10" t="str">
        <f>IF(LEN(Table2[[#This Row],[!Length]]) &gt; 0, Table2[[#This Row],[!Length]], "rg:None")</f>
        <v>rg:None</v>
      </c>
      <c r="U21" s="10" t="str">
        <f>IF(LEN(Table2[[#This Row],[!Name]]) &gt; 0, Table2[[#This Row],[!Name]], "rg:None")</f>
        <v>nextInspectionDate</v>
      </c>
      <c r="V21" s="10" t="str">
        <f>IF(LEN(Table2[[#This Row],[!Description]]) &gt; 0, Table2[[#This Row],[!Description]], "rg:None")</f>
        <v>The next inspection date for this School Bus which is set when inspection results are saved</v>
      </c>
      <c r="W21" s="10" t="str">
        <f>IF(LEN(Table2[[#This Row],[!FK]])&gt;0,Table2[[#This Row],[!FK]],"rg:None")</f>
        <v>rg:None</v>
      </c>
      <c r="X21" s="10" t="str">
        <f>IF(LEN(concatif2(A:A,Table2[[#This Row],[!Table]],G:G,"Y",D:D,",")) &gt; 0,"rg:[ { 'req' : '"&amp;concatif2(A:A,Table2[[#This Row],[!Table]],G:G,"Y",D:D,"' }, { 'req': '")&amp;"'} ]","rg:[]")</f>
        <v>rg:[ { 'req' : 'id' }, { 'req': 'status' }, { 'req': 'permitClassCode' }, { 'req': 'bodyTypeCode' }, { 'req': 'schoolBusSeatingCapacity'} ]</v>
      </c>
      <c r="Y21" s="10" t="str">
        <f>IF(LEN(Table2[[#This Row],[!Unique]])&gt;0,"rg:True","rg:None")</f>
        <v>rg:None</v>
      </c>
    </row>
    <row r="22" spans="1:25" x14ac:dyDescent="0.3">
      <c r="A22" s="3" t="s">
        <v>4</v>
      </c>
      <c r="B22" s="3" t="s">
        <v>8</v>
      </c>
      <c r="C22" s="3">
        <v>30</v>
      </c>
      <c r="D22" s="24" t="s">
        <v>260</v>
      </c>
      <c r="E22" s="27" t="s">
        <v>307</v>
      </c>
      <c r="F22" s="3" t="s">
        <v>6</v>
      </c>
      <c r="G22" s="4"/>
      <c r="H22" s="4"/>
      <c r="I22" s="5" t="str">
        <f t="shared" si="0"/>
        <v>Defs</v>
      </c>
      <c r="J22" t="str">
        <f>IF(Table2[[#This Row],[!Type]]=J$1, J$1,"rg:None")</f>
        <v>rg:None</v>
      </c>
      <c r="K22" t="str">
        <f>IF(Table2[[#This Row],[!Type]]=K$1, K$1,"rg:None")</f>
        <v>rg:None</v>
      </c>
      <c r="L22" t="str">
        <f>IF(Table2[[#This Row],[!Type]]=L$1, L$1,"rg:None")</f>
        <v>rg:None</v>
      </c>
      <c r="M22" t="str">
        <f>IF(Table2[[#This Row],[!Type]]=M$1, M$1,"rg:None")</f>
        <v>rg:None</v>
      </c>
      <c r="N22" s="10" t="str">
        <f>IF(Table2[[#This Row],[!Type]]=N$1, N$1,"rg:None")</f>
        <v>rg:None</v>
      </c>
      <c r="O22" s="10" t="str">
        <f>IF(Table2[[#This Row],[!Type]]=O$1, O$1,"rg:None")</f>
        <v>rg:None</v>
      </c>
      <c r="P22" s="5" t="str">
        <f>IF(Table2[[#This Row],[!Type]]=P$1, P$1,"rg:None")</f>
        <v>rg:None</v>
      </c>
      <c r="Q22" s="5" t="str">
        <f>IF(Table2[[#This Row],[!Type]]=Q$1, Q$1,"rg:None")</f>
        <v>rg:None</v>
      </c>
      <c r="R22" s="5" t="str">
        <f>IF(Table2[[#This Row],[!Type]]=R$1, R$1,"rg:None")</f>
        <v>string</v>
      </c>
      <c r="S22" s="5" t="str">
        <f>IF(Table2[[#This Row],[!Type]]=S$1, S$1,"rg:None")</f>
        <v>rg:None</v>
      </c>
      <c r="T22" s="10">
        <f>IF(LEN(Table2[[#This Row],[!Length]]) &gt; 0, Table2[[#This Row],[!Length]], "rg:None")</f>
        <v>30</v>
      </c>
      <c r="U22" s="10" t="str">
        <f>IF(LEN(Table2[[#This Row],[!Name]]) &gt; 0, Table2[[#This Row],[!Name]], "rg:None")</f>
        <v>nextInspectionTypeCode</v>
      </c>
      <c r="V22" s="10" t="str">
        <f>IF(LEN(Table2[[#This Row],[!Description]]) &gt; 0, Table2[[#This Row],[!Description]], "rg:None")</f>
        <v xml:space="preserve"> Annual or Re-inspection based on the Pass/Fail status of the most recent inspection - An enumerated type (by the UI) to indicate the type of the next inspection</v>
      </c>
      <c r="W22" s="10" t="str">
        <f>IF(LEN(Table2[[#This Row],[!FK]])&gt;0,Table2[[#This Row],[!FK]],"rg:None")</f>
        <v>rg:None</v>
      </c>
      <c r="X22" s="10" t="str">
        <f>IF(LEN(concatif2(A:A,Table2[[#This Row],[!Table]],G:G,"Y",D:D,",")) &gt; 0,"rg:[ { 'req' : '"&amp;concatif2(A:A,Table2[[#This Row],[!Table]],G:G,"Y",D:D,"' }, { 'req': '")&amp;"'} ]","rg:[]")</f>
        <v>rg:[ { 'req' : 'id' }, { 'req': 'status' }, { 'req': 'permitClassCode' }, { 'req': 'bodyTypeCode' }, { 'req': 'schoolBusSeatingCapacity'} ]</v>
      </c>
      <c r="Y22" s="10" t="str">
        <f>IF(LEN(Table2[[#This Row],[!Unique]])&gt;0,"rg:True","rg:None")</f>
        <v>rg:None</v>
      </c>
    </row>
    <row r="23" spans="1:25" x14ac:dyDescent="0.3">
      <c r="A23" s="3" t="s">
        <v>4</v>
      </c>
      <c r="B23" s="3" t="s">
        <v>9</v>
      </c>
      <c r="C23" s="3"/>
      <c r="D23" s="24" t="s">
        <v>257</v>
      </c>
      <c r="E23" s="27" t="s">
        <v>27</v>
      </c>
      <c r="F23" s="3" t="s">
        <v>28</v>
      </c>
      <c r="G23" s="4"/>
      <c r="H23" s="4"/>
      <c r="I23" s="5" t="str">
        <f t="shared" si="0"/>
        <v>Defs</v>
      </c>
      <c r="J23" t="str">
        <f>IF(Table2[[#This Row],[!Type]]=J$1, J$1,"rg:None")</f>
        <v>rg:None</v>
      </c>
      <c r="K23" t="str">
        <f>IF(Table2[[#This Row],[!Type]]=K$1, K$1,"rg:None")</f>
        <v>rg:None</v>
      </c>
      <c r="L23" t="str">
        <f>IF(Table2[[#This Row],[!Type]]=L$1, L$1,"rg:None")</f>
        <v>rg:None</v>
      </c>
      <c r="M23" t="str">
        <f>IF(Table2[[#This Row],[!Type]]=M$1, M$1,"rg:None")</f>
        <v>rg:None</v>
      </c>
      <c r="N23" s="10" t="str">
        <f>IF(Table2[[#This Row],[!Type]]=N$1, N$1,"rg:None")</f>
        <v>rg:None</v>
      </c>
      <c r="O23" s="10" t="str">
        <f>IF(Table2[[#This Row],[!Type]]=O$1, O$1,"rg:None")</f>
        <v>rg:None</v>
      </c>
      <c r="P23" s="5" t="str">
        <f>IF(Table2[[#This Row],[!Type]]=P$1, P$1,"rg:None")</f>
        <v>rg:None</v>
      </c>
      <c r="Q23" s="5" t="str">
        <f>IF(Table2[[#This Row],[!Type]]=Q$1, Q$1,"rg:None")</f>
        <v>ref</v>
      </c>
      <c r="R23" s="5" t="str">
        <f>IF(Table2[[#This Row],[!Type]]=R$1, R$1,"rg:None")</f>
        <v>rg:None</v>
      </c>
      <c r="S23" s="5" t="str">
        <f>IF(Table2[[#This Row],[!Type]]=S$1, S$1,"rg:None")</f>
        <v>rg:None</v>
      </c>
      <c r="T23" s="10" t="str">
        <f>IF(LEN(Table2[[#This Row],[!Length]]) &gt; 0, Table2[[#This Row],[!Length]], "rg:None")</f>
        <v>rg:None</v>
      </c>
      <c r="U23" s="10" t="str">
        <f>IF(LEN(Table2[[#This Row],[!Name]]) &gt; 0, Table2[[#This Row],[!Name]], "rg:None")</f>
        <v>schoolDistrict</v>
      </c>
      <c r="V23" s="10" t="str">
        <f>IF(LEN(Table2[[#This Row],[!Description]]) &gt; 0, Table2[[#This Row],[!Description]], "rg:None")</f>
        <v>The School District in which the School Bus operates. The school bus may or may not be associated with the School District itself - we just track where it is regardless.</v>
      </c>
      <c r="W23" s="10" t="str">
        <f>IF(LEN(Table2[[#This Row],[!FK]])&gt;0,Table2[[#This Row],[!FK]],"rg:None")</f>
        <v>SchoolDistrict</v>
      </c>
      <c r="X23" s="10" t="str">
        <f>IF(LEN(concatif2(A:A,Table2[[#This Row],[!Table]],G:G,"Y",D:D,",")) &gt; 0,"rg:[ { 'req' : '"&amp;concatif2(A:A,Table2[[#This Row],[!Table]],G:G,"Y",D:D,"' }, { 'req': '")&amp;"'} ]","rg:[]")</f>
        <v>rg:[ { 'req' : 'id' }, { 'req': 'status' }, { 'req': 'permitClassCode' }, { 'req': 'bodyTypeCode' }, { 'req': 'schoolBusSeatingCapacity'} ]</v>
      </c>
      <c r="Y23" s="10" t="str">
        <f>IF(LEN(Table2[[#This Row],[!Unique]])&gt;0,"rg:True","rg:None")</f>
        <v>rg:None</v>
      </c>
    </row>
    <row r="24" spans="1:25" x14ac:dyDescent="0.3">
      <c r="A24" s="3" t="s">
        <v>4</v>
      </c>
      <c r="B24" s="3" t="s">
        <v>14</v>
      </c>
      <c r="C24" s="3"/>
      <c r="D24" s="3" t="s">
        <v>29</v>
      </c>
      <c r="E24" s="27" t="s">
        <v>30</v>
      </c>
      <c r="F24" s="3" t="s">
        <v>6</v>
      </c>
      <c r="G24" s="4"/>
      <c r="H24" s="4"/>
      <c r="I24" s="5" t="str">
        <f t="shared" si="0"/>
        <v>Defs</v>
      </c>
      <c r="J24" t="str">
        <f>IF(Table2[[#This Row],[!Type]]=J$1, J$1,"rg:None")</f>
        <v>boolean</v>
      </c>
      <c r="K24" t="str">
        <f>IF(Table2[[#This Row],[!Type]]=K$1, K$1,"rg:None")</f>
        <v>rg:None</v>
      </c>
      <c r="L24" t="str">
        <f>IF(Table2[[#This Row],[!Type]]=L$1, L$1,"rg:None")</f>
        <v>rg:None</v>
      </c>
      <c r="M24" t="str">
        <f>IF(Table2[[#This Row],[!Type]]=M$1, M$1,"rg:None")</f>
        <v>rg:None</v>
      </c>
      <c r="N24" s="10" t="str">
        <f>IF(Table2[[#This Row],[!Type]]=N$1, N$1,"rg:None")</f>
        <v>rg:None</v>
      </c>
      <c r="O24" s="10" t="str">
        <f>IF(Table2[[#This Row],[!Type]]=O$1, O$1,"rg:None")</f>
        <v>rg:None</v>
      </c>
      <c r="P24" s="5" t="str">
        <f>IF(Table2[[#This Row],[!Type]]=P$1, P$1,"rg:None")</f>
        <v>rg:None</v>
      </c>
      <c r="Q24" s="5" t="str">
        <f>IF(Table2[[#This Row],[!Type]]=Q$1, Q$1,"rg:None")</f>
        <v>rg:None</v>
      </c>
      <c r="R24" s="5" t="str">
        <f>IF(Table2[[#This Row],[!Type]]=R$1, R$1,"rg:None")</f>
        <v>rg:None</v>
      </c>
      <c r="S24" s="5" t="str">
        <f>IF(Table2[[#This Row],[!Type]]=S$1, S$1,"rg:None")</f>
        <v>rg:None</v>
      </c>
      <c r="T24" s="10" t="str">
        <f>IF(LEN(Table2[[#This Row],[!Length]]) &gt; 0, Table2[[#This Row],[!Length]], "rg:None")</f>
        <v>rg:None</v>
      </c>
      <c r="U24" s="10" t="str">
        <f>IF(LEN(Table2[[#This Row],[!Name]]) &gt; 0, Table2[[#This Row],[!Name]], "rg:None")</f>
        <v>isIndependentSchool</v>
      </c>
      <c r="V24" s="10" t="str">
        <f>IF(LEN(Table2[[#This Row],[!Description]]) &gt; 0, Table2[[#This Row],[!Description]], "rg:None")</f>
        <v>True if the School Bus is associated with an Independent School. If true,  the name of the Independent School should be in the companion field.</v>
      </c>
      <c r="W24" s="10" t="str">
        <f>IF(LEN(Table2[[#This Row],[!FK]])&gt;0,Table2[[#This Row],[!FK]],"rg:None")</f>
        <v>rg:None</v>
      </c>
      <c r="X24" s="10" t="str">
        <f>IF(LEN(concatif2(A:A,Table2[[#This Row],[!Table]],G:G,"Y",D:D,",")) &gt; 0,"rg:[ { 'req' : '"&amp;concatif2(A:A,Table2[[#This Row],[!Table]],G:G,"Y",D:D,"' }, { 'req': '")&amp;"'} ]","rg:[]")</f>
        <v>rg:[ { 'req' : 'id' }, { 'req': 'status' }, { 'req': 'permitClassCode' }, { 'req': 'bodyTypeCode' }, { 'req': 'schoolBusSeatingCapacity'} ]</v>
      </c>
      <c r="Y24" s="10" t="str">
        <f>IF(LEN(Table2[[#This Row],[!Unique]])&gt;0,"rg:True","rg:None")</f>
        <v>rg:None</v>
      </c>
    </row>
    <row r="25" spans="1:25" x14ac:dyDescent="0.3">
      <c r="A25" s="3" t="s">
        <v>4</v>
      </c>
      <c r="B25" s="3" t="s">
        <v>8</v>
      </c>
      <c r="C25" s="3">
        <v>120</v>
      </c>
      <c r="D25" s="24" t="s">
        <v>255</v>
      </c>
      <c r="E25" s="27" t="s">
        <v>31</v>
      </c>
      <c r="F25" s="3" t="s">
        <v>6</v>
      </c>
      <c r="G25" s="4"/>
      <c r="H25" s="4"/>
      <c r="I25" s="5" t="str">
        <f t="shared" si="0"/>
        <v>Defs</v>
      </c>
      <c r="J25" t="str">
        <f>IF(Table2[[#This Row],[!Type]]=J$1, J$1,"rg:None")</f>
        <v>rg:None</v>
      </c>
      <c r="K25" t="str">
        <f>IF(Table2[[#This Row],[!Type]]=K$1, K$1,"rg:None")</f>
        <v>rg:None</v>
      </c>
      <c r="L25" t="str">
        <f>IF(Table2[[#This Row],[!Type]]=L$1, L$1,"rg:None")</f>
        <v>rg:None</v>
      </c>
      <c r="M25" t="str">
        <f>IF(Table2[[#This Row],[!Type]]=M$1, M$1,"rg:None")</f>
        <v>rg:None</v>
      </c>
      <c r="N25" s="10" t="str">
        <f>IF(Table2[[#This Row],[!Type]]=N$1, N$1,"rg:None")</f>
        <v>rg:None</v>
      </c>
      <c r="O25" s="10" t="str">
        <f>IF(Table2[[#This Row],[!Type]]=O$1, O$1,"rg:None")</f>
        <v>rg:None</v>
      </c>
      <c r="P25" s="5" t="str">
        <f>IF(Table2[[#This Row],[!Type]]=P$1, P$1,"rg:None")</f>
        <v>rg:None</v>
      </c>
      <c r="Q25" s="5" t="str">
        <f>IF(Table2[[#This Row],[!Type]]=Q$1, Q$1,"rg:None")</f>
        <v>rg:None</v>
      </c>
      <c r="R25" s="5" t="str">
        <f>IF(Table2[[#This Row],[!Type]]=R$1, R$1,"rg:None")</f>
        <v>string</v>
      </c>
      <c r="S25" s="5" t="str">
        <f>IF(Table2[[#This Row],[!Type]]=S$1, S$1,"rg:None")</f>
        <v>rg:None</v>
      </c>
      <c r="T25" s="10">
        <f>IF(LEN(Table2[[#This Row],[!Length]]) &gt; 0, Table2[[#This Row],[!Length]], "rg:None")</f>
        <v>120</v>
      </c>
      <c r="U25" s="10" t="str">
        <f>IF(LEN(Table2[[#This Row],[!Name]]) &gt; 0, Table2[[#This Row],[!Name]], "rg:None")</f>
        <v>independentSchoolName</v>
      </c>
      <c r="V25" s="10" t="str">
        <f>IF(LEN(Table2[[#This Row],[!Description]]) &gt; 0, Table2[[#This Row],[!Description]], "rg:None")</f>
        <v>The name of the Independent School to which the School Bus is associated. Should be null if the companion isIndependentSchool is false.</v>
      </c>
      <c r="W25" s="10" t="str">
        <f>IF(LEN(Table2[[#This Row],[!FK]])&gt;0,Table2[[#This Row],[!FK]],"rg:None")</f>
        <v>rg:None</v>
      </c>
      <c r="X25" s="10" t="str">
        <f>IF(LEN(concatif2(A:A,Table2[[#This Row],[!Table]],G:G,"Y",D:D,",")) &gt; 0,"rg:[ { 'req' : '"&amp;concatif2(A:A,Table2[[#This Row],[!Table]],G:G,"Y",D:D,"' }, { 'req': '")&amp;"'} ]","rg:[]")</f>
        <v>rg:[ { 'req' : 'id' }, { 'req': 'status' }, { 'req': 'permitClassCode' }, { 'req': 'bodyTypeCode' }, { 'req': 'schoolBusSeatingCapacity'} ]</v>
      </c>
      <c r="Y25" s="10" t="str">
        <f>IF(LEN(Table2[[#This Row],[!Unique]])&gt;0,"rg:True","rg:None")</f>
        <v>rg:None</v>
      </c>
    </row>
    <row r="26" spans="1:25" x14ac:dyDescent="0.3">
      <c r="A26" s="3" t="s">
        <v>4</v>
      </c>
      <c r="B26" s="3" t="s">
        <v>8</v>
      </c>
      <c r="C26" s="3">
        <v>50</v>
      </c>
      <c r="D26" s="24" t="s">
        <v>258</v>
      </c>
      <c r="E26" s="27" t="s">
        <v>308</v>
      </c>
      <c r="F26" s="3" t="s">
        <v>6</v>
      </c>
      <c r="G26" s="45" t="s">
        <v>136</v>
      </c>
      <c r="H26" s="4"/>
      <c r="I26" s="5" t="str">
        <f t="shared" si="0"/>
        <v>Defs</v>
      </c>
      <c r="J26" t="str">
        <f>IF(Table2[[#This Row],[!Type]]=J$1, J$1,"rg:None")</f>
        <v>rg:None</v>
      </c>
      <c r="K26" t="str">
        <f>IF(Table2[[#This Row],[!Type]]=K$1, K$1,"rg:None")</f>
        <v>rg:None</v>
      </c>
      <c r="L26" t="str">
        <f>IF(Table2[[#This Row],[!Type]]=L$1, L$1,"rg:None")</f>
        <v>rg:None</v>
      </c>
      <c r="M26" t="str">
        <f>IF(Table2[[#This Row],[!Type]]=M$1, M$1,"rg:None")</f>
        <v>rg:None</v>
      </c>
      <c r="N26" s="10" t="str">
        <f>IF(Table2[[#This Row],[!Type]]=N$1, N$1,"rg:None")</f>
        <v>rg:None</v>
      </c>
      <c r="O26" s="10" t="str">
        <f>IF(Table2[[#This Row],[!Type]]=O$1, O$1,"rg:None")</f>
        <v>rg:None</v>
      </c>
      <c r="P26" s="5" t="str">
        <f>IF(Table2[[#This Row],[!Type]]=P$1, P$1,"rg:None")</f>
        <v>rg:None</v>
      </c>
      <c r="Q26" s="5" t="str">
        <f>IF(Table2[[#This Row],[!Type]]=Q$1, Q$1,"rg:None")</f>
        <v>rg:None</v>
      </c>
      <c r="R26" s="5" t="str">
        <f>IF(Table2[[#This Row],[!Type]]=R$1, R$1,"rg:None")</f>
        <v>string</v>
      </c>
      <c r="S26" s="5" t="str">
        <f>IF(Table2[[#This Row],[!Type]]=S$1, S$1,"rg:None")</f>
        <v>rg:None</v>
      </c>
      <c r="T26" s="10">
        <f>IF(LEN(Table2[[#This Row],[!Length]]) &gt; 0, Table2[[#This Row],[!Length]], "rg:None")</f>
        <v>50</v>
      </c>
      <c r="U26" s="10" t="str">
        <f>IF(LEN(Table2[[#This Row],[!Name]]) &gt; 0, Table2[[#This Row],[!Name]], "rg:None")</f>
        <v>permitClassCode</v>
      </c>
      <c r="V26" s="10" t="str">
        <f>IF(LEN(Table2[[#This Row],[!Description]]) &gt; 0, Table2[[#This Row],[!Description]], "rg:None")</f>
        <v>The enumerated class of School Bus from drop down</v>
      </c>
      <c r="W26" s="10" t="str">
        <f>IF(LEN(Table2[[#This Row],[!FK]])&gt;0,Table2[[#This Row],[!FK]],"rg:None")</f>
        <v>rg:None</v>
      </c>
      <c r="X26" s="10" t="str">
        <f>IF(LEN(concatif2(A:A,Table2[[#This Row],[!Table]],G:G,"Y",D:D,",")) &gt; 0,"rg:[ { 'req' : '"&amp;concatif2(A:A,Table2[[#This Row],[!Table]],G:G,"Y",D:D,"' }, { 'req': '")&amp;"'} ]","rg:[]")</f>
        <v>rg:[ { 'req' : 'id' }, { 'req': 'status' }, { 'req': 'permitClassCode' }, { 'req': 'bodyTypeCode' }, { 'req': 'schoolBusSeatingCapacity'} ]</v>
      </c>
      <c r="Y26" s="10" t="str">
        <f>IF(LEN(Table2[[#This Row],[!Unique]])&gt;0,"rg:True","rg:None")</f>
        <v>rg:None</v>
      </c>
    </row>
    <row r="27" spans="1:25" x14ac:dyDescent="0.3">
      <c r="A27" s="3" t="s">
        <v>4</v>
      </c>
      <c r="B27" s="3" t="s">
        <v>8</v>
      </c>
      <c r="C27" s="3">
        <v>50</v>
      </c>
      <c r="D27" s="24" t="s">
        <v>259</v>
      </c>
      <c r="E27" s="27" t="s">
        <v>309</v>
      </c>
      <c r="F27" s="3" t="s">
        <v>6</v>
      </c>
      <c r="G27" s="45" t="s">
        <v>136</v>
      </c>
      <c r="H27" s="4"/>
      <c r="I27" s="5" t="str">
        <f t="shared" si="0"/>
        <v>Defs</v>
      </c>
      <c r="J27" t="str">
        <f>IF(Table2[[#This Row],[!Type]]=J$1, J$1,"rg:None")</f>
        <v>rg:None</v>
      </c>
      <c r="K27" t="str">
        <f>IF(Table2[[#This Row],[!Type]]=K$1, K$1,"rg:None")</f>
        <v>rg:None</v>
      </c>
      <c r="L27" t="str">
        <f>IF(Table2[[#This Row],[!Type]]=L$1, L$1,"rg:None")</f>
        <v>rg:None</v>
      </c>
      <c r="M27" t="str">
        <f>IF(Table2[[#This Row],[!Type]]=M$1, M$1,"rg:None")</f>
        <v>rg:None</v>
      </c>
      <c r="N27" s="10" t="str">
        <f>IF(Table2[[#This Row],[!Type]]=N$1, N$1,"rg:None")</f>
        <v>rg:None</v>
      </c>
      <c r="O27" s="10" t="str">
        <f>IF(Table2[[#This Row],[!Type]]=O$1, O$1,"rg:None")</f>
        <v>rg:None</v>
      </c>
      <c r="P27" s="5" t="str">
        <f>IF(Table2[[#This Row],[!Type]]=P$1, P$1,"rg:None")</f>
        <v>rg:None</v>
      </c>
      <c r="Q27" s="5" t="str">
        <f>IF(Table2[[#This Row],[!Type]]=Q$1, Q$1,"rg:None")</f>
        <v>rg:None</v>
      </c>
      <c r="R27" s="5" t="str">
        <f>IF(Table2[[#This Row],[!Type]]=R$1, R$1,"rg:None")</f>
        <v>string</v>
      </c>
      <c r="S27" s="5" t="str">
        <f>IF(Table2[[#This Row],[!Type]]=S$1, S$1,"rg:None")</f>
        <v>rg:None</v>
      </c>
      <c r="T27" s="10">
        <f>IF(LEN(Table2[[#This Row],[!Length]]) &gt; 0, Table2[[#This Row],[!Length]], "rg:None")</f>
        <v>50</v>
      </c>
      <c r="U27" s="10" t="str">
        <f>IF(LEN(Table2[[#This Row],[!Name]]) &gt; 0, Table2[[#This Row],[!Name]], "rg:None")</f>
        <v>bodyTypeCode</v>
      </c>
      <c r="V27" s="10" t="str">
        <f>IF(LEN(Table2[[#This Row],[!Description]]) &gt; 0, Table2[[#This Row],[!Description]], "rg:None")</f>
        <v>The enumerated body type of the School Bus from drop down</v>
      </c>
      <c r="W27" s="10" t="str">
        <f>IF(LEN(Table2[[#This Row],[!FK]])&gt;0,Table2[[#This Row],[!FK]],"rg:None")</f>
        <v>rg:None</v>
      </c>
      <c r="X27" s="10" t="str">
        <f>IF(LEN(concatif2(A:A,Table2[[#This Row],[!Table]],G:G,"Y",D:D,",")) &gt; 0,"rg:[ { 'req' : '"&amp;concatif2(A:A,Table2[[#This Row],[!Table]],G:G,"Y",D:D,"' }, { 'req': '")&amp;"'} ]","rg:[]")</f>
        <v>rg:[ { 'req' : 'id' }, { 'req': 'status' }, { 'req': 'permitClassCode' }, { 'req': 'bodyTypeCode' }, { 'req': 'schoolBusSeatingCapacity'} ]</v>
      </c>
      <c r="Y27" s="10" t="str">
        <f>IF(LEN(Table2[[#This Row],[!Unique]])&gt;0,"rg:True","rg:None")</f>
        <v>rg:None</v>
      </c>
    </row>
    <row r="28" spans="1:25" x14ac:dyDescent="0.3">
      <c r="A28" s="3" t="s">
        <v>4</v>
      </c>
      <c r="B28" s="3" t="s">
        <v>8</v>
      </c>
      <c r="C28" s="3">
        <v>30</v>
      </c>
      <c r="D28" s="24" t="s">
        <v>245</v>
      </c>
      <c r="E28" s="27" t="s">
        <v>32</v>
      </c>
      <c r="F28" s="3" t="s">
        <v>6</v>
      </c>
      <c r="G28" s="4"/>
      <c r="H28" s="4"/>
      <c r="I28" s="5" t="str">
        <f t="shared" si="0"/>
        <v>Defs</v>
      </c>
      <c r="J28" t="str">
        <f>IF(Table2[[#This Row],[!Type]]=J$1, J$1,"rg:None")</f>
        <v>rg:None</v>
      </c>
      <c r="K28" t="str">
        <f>IF(Table2[[#This Row],[!Type]]=K$1, K$1,"rg:None")</f>
        <v>rg:None</v>
      </c>
      <c r="L28" t="str">
        <f>IF(Table2[[#This Row],[!Type]]=L$1, L$1,"rg:None")</f>
        <v>rg:None</v>
      </c>
      <c r="M28" t="str">
        <f>IF(Table2[[#This Row],[!Type]]=M$1, M$1,"rg:None")</f>
        <v>rg:None</v>
      </c>
      <c r="N28" s="10" t="str">
        <f>IF(Table2[[#This Row],[!Type]]=N$1, N$1,"rg:None")</f>
        <v>rg:None</v>
      </c>
      <c r="O28" s="10" t="str">
        <f>IF(Table2[[#This Row],[!Type]]=O$1, O$1,"rg:None")</f>
        <v>rg:None</v>
      </c>
      <c r="P28" s="5" t="str">
        <f>IF(Table2[[#This Row],[!Type]]=P$1, P$1,"rg:None")</f>
        <v>rg:None</v>
      </c>
      <c r="Q28" s="5" t="str">
        <f>IF(Table2[[#This Row],[!Type]]=Q$1, Q$1,"rg:None")</f>
        <v>rg:None</v>
      </c>
      <c r="R28" s="5" t="str">
        <f>IF(Table2[[#This Row],[!Type]]=R$1, R$1,"rg:None")</f>
        <v>string</v>
      </c>
      <c r="S28" s="5" t="str">
        <f>IF(Table2[[#This Row],[!Type]]=S$1, S$1,"rg:None")</f>
        <v>rg:None</v>
      </c>
      <c r="T28" s="10">
        <f>IF(LEN(Table2[[#This Row],[!Length]]) &gt; 0, Table2[[#This Row],[!Length]], "rg:None")</f>
        <v>30</v>
      </c>
      <c r="U28" s="10" t="str">
        <f>IF(LEN(Table2[[#This Row],[!Name]]) &gt; 0, Table2[[#This Row],[!Name]], "rg:None")</f>
        <v>unitNumber</v>
      </c>
      <c r="V28" s="10" t="str">
        <f>IF(LEN(Table2[[#This Row],[!Description]]) &gt; 0, Table2[[#This Row],[!Description]], "rg:None")</f>
        <v>The unit number of the Bus as defined by the School Bus owner - freeform text.</v>
      </c>
      <c r="W28" s="10" t="str">
        <f>IF(LEN(Table2[[#This Row],[!FK]])&gt;0,Table2[[#This Row],[!FK]],"rg:None")</f>
        <v>rg:None</v>
      </c>
      <c r="X28" s="10" t="str">
        <f>IF(LEN(concatif2(A:A,Table2[[#This Row],[!Table]],G:G,"Y",D:D,",")) &gt; 0,"rg:[ { 'req' : '"&amp;concatif2(A:A,Table2[[#This Row],[!Table]],G:G,"Y",D:D,"' }, { 'req': '")&amp;"'} ]","rg:[]")</f>
        <v>rg:[ { 'req' : 'id' }, { 'req': 'status' }, { 'req': 'permitClassCode' }, { 'req': 'bodyTypeCode' }, { 'req': 'schoolBusSeatingCapacity'} ]</v>
      </c>
      <c r="Y28" s="10" t="str">
        <f>IF(LEN(Table2[[#This Row],[!Unique]])&gt;0,"rg:True","rg:None")</f>
        <v>rg:None</v>
      </c>
    </row>
    <row r="29" spans="1:25" x14ac:dyDescent="0.3">
      <c r="A29" s="3" t="s">
        <v>4</v>
      </c>
      <c r="B29" s="3" t="s">
        <v>33</v>
      </c>
      <c r="C29" s="3"/>
      <c r="D29" s="3" t="s">
        <v>34</v>
      </c>
      <c r="E29" s="27" t="s">
        <v>310</v>
      </c>
      <c r="F29" s="3" t="s">
        <v>6</v>
      </c>
      <c r="G29" s="45" t="s">
        <v>136</v>
      </c>
      <c r="H29" s="4"/>
      <c r="I29" s="5" t="str">
        <f t="shared" si="0"/>
        <v>Defs</v>
      </c>
      <c r="J29" t="str">
        <f>IF(Table2[[#This Row],[!Type]]=J$1, J$1,"rg:None")</f>
        <v>rg:None</v>
      </c>
      <c r="K29" t="str">
        <f>IF(Table2[[#This Row],[!Type]]=K$1, K$1,"rg:None")</f>
        <v>rg:None</v>
      </c>
      <c r="L29" t="str">
        <f>IF(Table2[[#This Row],[!Type]]=L$1, L$1,"rg:None")</f>
        <v>rg:None</v>
      </c>
      <c r="M29" t="str">
        <f>IF(Table2[[#This Row],[!Type]]=M$1, M$1,"rg:None")</f>
        <v>rg:None</v>
      </c>
      <c r="N29" s="10" t="str">
        <f>IF(Table2[[#This Row],[!Type]]=N$1, N$1,"rg:None")</f>
        <v>integer</v>
      </c>
      <c r="O29" s="10" t="str">
        <f>IF(Table2[[#This Row],[!Type]]=O$1, O$1,"rg:None")</f>
        <v>rg:None</v>
      </c>
      <c r="P29" s="5" t="str">
        <f>IF(Table2[[#This Row],[!Type]]=P$1, P$1,"rg:None")</f>
        <v>rg:None</v>
      </c>
      <c r="Q29" s="5" t="str">
        <f>IF(Table2[[#This Row],[!Type]]=Q$1, Q$1,"rg:None")</f>
        <v>rg:None</v>
      </c>
      <c r="R29" s="5" t="str">
        <f>IF(Table2[[#This Row],[!Type]]=R$1, R$1,"rg:None")</f>
        <v>rg:None</v>
      </c>
      <c r="S29" s="5" t="str">
        <f>IF(Table2[[#This Row],[!Type]]=S$1, S$1,"rg:None")</f>
        <v>rg:None</v>
      </c>
      <c r="T29" s="10" t="str">
        <f>IF(LEN(Table2[[#This Row],[!Length]]) &gt; 0, Table2[[#This Row],[!Length]], "rg:None")</f>
        <v>rg:None</v>
      </c>
      <c r="U29" s="10" t="str">
        <f>IF(LEN(Table2[[#This Row],[!Name]]) &gt; 0, Table2[[#This Row],[!Name]], "rg:None")</f>
        <v>schoolBusSeatingCapacity</v>
      </c>
      <c r="V29" s="10" t="str">
        <f>IF(LEN(Table2[[#This Row],[!Description]]) &gt; 0, Table2[[#This Row],[!Description]], "rg:None")</f>
        <v>The maximum number of passengers in the bus based on the specific use of the bus including the driver. For example,  the same 2-per seat / 24-passenger model might have a seating capacity of 36 if the specific bus is to be used for small children,  3 per seat.</v>
      </c>
      <c r="W29" s="10" t="str">
        <f>IF(LEN(Table2[[#This Row],[!FK]])&gt;0,Table2[[#This Row],[!FK]],"rg:None")</f>
        <v>rg:None</v>
      </c>
      <c r="X29" s="10" t="str">
        <f>IF(LEN(concatif2(A:A,Table2[[#This Row],[!Table]],G:G,"Y",D:D,",")) &gt; 0,"rg:[ { 'req' : '"&amp;concatif2(A:A,Table2[[#This Row],[!Table]],G:G,"Y",D:D,"' }, { 'req': '")&amp;"'} ]","rg:[]")</f>
        <v>rg:[ { 'req' : 'id' }, { 'req': 'status' }, { 'req': 'permitClassCode' }, { 'req': 'bodyTypeCode' }, { 'req': 'schoolBusSeatingCapacity'} ]</v>
      </c>
      <c r="Y29" s="10" t="str">
        <f>IF(LEN(Table2[[#This Row],[!Unique]])&gt;0,"rg:True","rg:None")</f>
        <v>rg:None</v>
      </c>
    </row>
    <row r="30" spans="1:25" x14ac:dyDescent="0.3">
      <c r="A30" s="3" t="s">
        <v>4</v>
      </c>
      <c r="B30" s="3" t="s">
        <v>33</v>
      </c>
      <c r="C30" s="3"/>
      <c r="D30" s="3" t="s">
        <v>35</v>
      </c>
      <c r="E30" s="27" t="s">
        <v>36</v>
      </c>
      <c r="F30" s="3" t="s">
        <v>6</v>
      </c>
      <c r="G30" s="4"/>
      <c r="H30" s="4"/>
      <c r="I30" s="5" t="str">
        <f t="shared" si="0"/>
        <v>Defs</v>
      </c>
      <c r="J30" t="str">
        <f>IF(Table2[[#This Row],[!Type]]=J$1, J$1,"rg:None")</f>
        <v>rg:None</v>
      </c>
      <c r="K30" t="str">
        <f>IF(Table2[[#This Row],[!Type]]=K$1, K$1,"rg:None")</f>
        <v>rg:None</v>
      </c>
      <c r="L30" t="str">
        <f>IF(Table2[[#This Row],[!Type]]=L$1, L$1,"rg:None")</f>
        <v>rg:None</v>
      </c>
      <c r="M30" t="str">
        <f>IF(Table2[[#This Row],[!Type]]=M$1, M$1,"rg:None")</f>
        <v>rg:None</v>
      </c>
      <c r="N30" s="10" t="str">
        <f>IF(Table2[[#This Row],[!Type]]=N$1, N$1,"rg:None")</f>
        <v>integer</v>
      </c>
      <c r="O30" s="10" t="str">
        <f>IF(Table2[[#This Row],[!Type]]=O$1, O$1,"rg:None")</f>
        <v>rg:None</v>
      </c>
      <c r="P30" s="5" t="str">
        <f>IF(Table2[[#This Row],[!Type]]=P$1, P$1,"rg:None")</f>
        <v>rg:None</v>
      </c>
      <c r="Q30" s="5" t="str">
        <f>IF(Table2[[#This Row],[!Type]]=Q$1, Q$1,"rg:None")</f>
        <v>rg:None</v>
      </c>
      <c r="R30" s="5" t="str">
        <f>IF(Table2[[#This Row],[!Type]]=R$1, R$1,"rg:None")</f>
        <v>rg:None</v>
      </c>
      <c r="S30" s="5" t="str">
        <f>IF(Table2[[#This Row],[!Type]]=S$1, S$1,"rg:None")</f>
        <v>rg:None</v>
      </c>
      <c r="T30" s="10" t="str">
        <f>IF(LEN(Table2[[#This Row],[!Length]]) &gt; 0, Table2[[#This Row],[!Length]], "rg:None")</f>
        <v>rg:None</v>
      </c>
      <c r="U30" s="10" t="str">
        <f>IF(LEN(Table2[[#This Row],[!Name]]) &gt; 0, Table2[[#This Row],[!Name]], "rg:None")</f>
        <v>mobilityAidCapacity</v>
      </c>
      <c r="V30" s="10" t="str">
        <f>IF(LEN(Table2[[#This Row],[!Description]]) &gt; 0, Table2[[#This Row],[!Description]], "rg:None")</f>
        <v>The number of mobility aid passenger seats in the bus.</v>
      </c>
      <c r="W30" s="10" t="str">
        <f>IF(LEN(Table2[[#This Row],[!FK]])&gt;0,Table2[[#This Row],[!FK]],"rg:None")</f>
        <v>rg:None</v>
      </c>
      <c r="X30" s="10" t="str">
        <f>IF(LEN(concatif2(A:A,Table2[[#This Row],[!Table]],G:G,"Y",D:D,",")) &gt; 0,"rg:[ { 'req' : '"&amp;concatif2(A:A,Table2[[#This Row],[!Table]],G:G,"Y",D:D,"' }, { 'req': '")&amp;"'} ]","rg:[]")</f>
        <v>rg:[ { 'req' : 'id' }, { 'req': 'status' }, { 'req': 'permitClassCode' }, { 'req': 'bodyTypeCode' }, { 'req': 'schoolBusSeatingCapacity'} ]</v>
      </c>
      <c r="Y30" s="10" t="str">
        <f>IF(LEN(Table2[[#This Row],[!Unique]])&gt;0,"rg:True","rg:None")</f>
        <v>rg:None</v>
      </c>
    </row>
    <row r="31" spans="1:25" x14ac:dyDescent="0.3">
      <c r="A31" s="3" t="s">
        <v>4</v>
      </c>
      <c r="B31" s="20" t="s">
        <v>9</v>
      </c>
      <c r="C31" s="3"/>
      <c r="D31" s="20" t="s">
        <v>68</v>
      </c>
      <c r="E31" s="20" t="s">
        <v>227</v>
      </c>
      <c r="F31" s="21" t="s">
        <v>0</v>
      </c>
      <c r="G31" s="19"/>
      <c r="H31" s="19"/>
      <c r="I31" s="4" t="str">
        <f>IF(LEN(A31) &gt; 0,"Defs","-")</f>
        <v>Defs</v>
      </c>
      <c r="J31" s="16" t="str">
        <f>IF(Table2[[#This Row],[!Type]]=J$1, J$1,"rg:None")</f>
        <v>rg:None</v>
      </c>
      <c r="K31" s="16" t="str">
        <f>IF(Table2[[#This Row],[!Type]]=K$1, K$1,"rg:None")</f>
        <v>rg:None</v>
      </c>
      <c r="L31" s="16" t="str">
        <f>IF(Table2[[#This Row],[!Type]]=L$1, L$1,"rg:None")</f>
        <v>rg:None</v>
      </c>
      <c r="M31" s="16" t="str">
        <f>IF(Table2[[#This Row],[!Type]]=M$1, M$1,"rg:None")</f>
        <v>rg:None</v>
      </c>
      <c r="N31" s="16" t="str">
        <f>IF(Table2[[#This Row],[!Type]]=N$1, N$1,"rg:None")</f>
        <v>rg:None</v>
      </c>
      <c r="O31" s="16" t="str">
        <f>IF(Table2[[#This Row],[!Type]]=O$1, O$1,"rg:None")</f>
        <v>rg:None</v>
      </c>
      <c r="P31" s="4" t="str">
        <f>IF(Table2[[#This Row],[!Type]]=P$1, P$1,"rg:None")</f>
        <v>rg:None</v>
      </c>
      <c r="Q31" s="4" t="str">
        <f>IF(Table2[[#This Row],[!Type]]=Q$1, Q$1,"rg:None")</f>
        <v>ref</v>
      </c>
      <c r="R31" s="4" t="str">
        <f>IF(Table2[[#This Row],[!Type]]=R$1, R$1,"rg:None")</f>
        <v>rg:None</v>
      </c>
      <c r="S31" s="4" t="str">
        <f>IF(Table2[[#This Row],[!Type]]=S$1, S$1,"rg:None")</f>
        <v>rg:None</v>
      </c>
      <c r="T31" s="16" t="str">
        <f>IF(LEN(Table2[[#This Row],[!Length]]) &gt; 0, Table2[[#This Row],[!Length]], "rg:None")</f>
        <v>rg:None</v>
      </c>
      <c r="U31" s="16" t="str">
        <f>IF(LEN(Table2[[#This Row],[!Name]]) &gt; 0, Table2[[#This Row],[!Name]], "rg:None")</f>
        <v>inspector</v>
      </c>
      <c r="V31" s="16" t="str">
        <f>IF(LEN(Table2[[#This Row],[!Description]]) &gt; 0, Table2[[#This Row],[!Description]], "rg:None")</f>
        <v>The inspector assigned to this schoolbus</v>
      </c>
      <c r="W31" s="16" t="str">
        <f>IF(LEN(Table2[[#This Row],[!FK]])&gt;0,Table2[[#This Row],[!FK]],"rg:None")</f>
        <v>User</v>
      </c>
      <c r="X31" s="16" t="str">
        <f>IF(LEN(concatif2(A:A,Table2[[#This Row],[!Table]],G:G,"Y",D:D,",")) &gt; 0,"rg:[ { 'req' : '"&amp;concatif2(A:A,Table2[[#This Row],[!Table]],G:G,"Y",D:D,"' }, { 'req': '")&amp;"'} ]","rg:[]")</f>
        <v>rg:[ { 'req' : 'id' }, { 'req': 'status' }, { 'req': 'permitClassCode' }, { 'req': 'bodyTypeCode' }, { 'req': 'schoolBusSeatingCapacity'} ]</v>
      </c>
      <c r="Y31" s="16" t="str">
        <f>IF(LEN(Table2[[#This Row],[!Unique]])&gt;0,"rg:True","rg:None")</f>
        <v>rg:None</v>
      </c>
    </row>
    <row r="32" spans="1:25" x14ac:dyDescent="0.3">
      <c r="A32" s="25" t="s">
        <v>4</v>
      </c>
      <c r="B32" s="25" t="s">
        <v>55</v>
      </c>
      <c r="C32" s="3"/>
      <c r="D32" s="25" t="s">
        <v>54</v>
      </c>
      <c r="E32" s="25" t="s">
        <v>246</v>
      </c>
      <c r="F32" s="26" t="s">
        <v>234</v>
      </c>
      <c r="G32" s="19"/>
      <c r="H32" s="19"/>
      <c r="I32" s="4" t="str">
        <f t="shared" ref="I32:I34" si="1">IF(LEN(A32) &gt; 0,"Defs","-")</f>
        <v>Defs</v>
      </c>
      <c r="J32" s="16" t="str">
        <f>IF(Table2[[#This Row],[!Type]]=J$1, J$1,"rg:None")</f>
        <v>rg:None</v>
      </c>
      <c r="K32" s="16" t="str">
        <f>IF(Table2[[#This Row],[!Type]]=K$1, K$1,"rg:None")</f>
        <v>rg:None</v>
      </c>
      <c r="L32" s="16" t="str">
        <f>IF(Table2[[#This Row],[!Type]]=L$1, L$1,"rg:None")</f>
        <v>rg:None</v>
      </c>
      <c r="M32" s="16" t="str">
        <f>IF(Table2[[#This Row],[!Type]]=M$1, M$1,"rg:None")</f>
        <v>rg:None</v>
      </c>
      <c r="N32" s="16" t="str">
        <f>IF(Table2[[#This Row],[!Type]]=N$1, N$1,"rg:None")</f>
        <v>rg:None</v>
      </c>
      <c r="O32" s="16" t="str">
        <f>IF(Table2[[#This Row],[!Type]]=O$1, O$1,"rg:None")</f>
        <v>rg:None</v>
      </c>
      <c r="P32" s="4" t="str">
        <f>IF(Table2[[#This Row],[!Type]]=P$1, P$1,"rg:None")</f>
        <v>links</v>
      </c>
      <c r="Q32" s="4" t="str">
        <f>IF(Table2[[#This Row],[!Type]]=Q$1, Q$1,"rg:None")</f>
        <v>rg:None</v>
      </c>
      <c r="R32" s="4" t="str">
        <f>IF(Table2[[#This Row],[!Type]]=R$1, R$1,"rg:None")</f>
        <v>rg:None</v>
      </c>
      <c r="S32" s="4" t="str">
        <f>IF(Table2[[#This Row],[!Type]]=S$1, S$1,"rg:None")</f>
        <v>rg:None</v>
      </c>
      <c r="T32" s="16" t="str">
        <f>IF(LEN(Table2[[#This Row],[!Length]]) &gt; 0, Table2[[#This Row],[!Length]], "rg:None")</f>
        <v>rg:None</v>
      </c>
      <c r="U32" s="16" t="str">
        <f>IF(LEN(Table2[[#This Row],[!Name]]) &gt; 0, Table2[[#This Row],[!Name]], "rg:None")</f>
        <v>notes</v>
      </c>
      <c r="V32" s="16" t="str">
        <f>IF(LEN(Table2[[#This Row],[!Description]]) &gt; 0, Table2[[#This Row],[!Description]], "rg:None")</f>
        <v>The set of notes about the school bus entered by users.</v>
      </c>
      <c r="W32" s="16" t="str">
        <f>IF(LEN(Table2[[#This Row],[!FK]])&gt;0,Table2[[#This Row],[!FK]],"rg:None")</f>
        <v>Note</v>
      </c>
      <c r="X32" s="16" t="str">
        <f>IF(LEN(concatif2(A:A,Table2[[#This Row],[!Table]],G:G,"Y",D:D,",")) &gt; 0,"rg:[ { 'req' : '"&amp;concatif2(A:A,Table2[[#This Row],[!Table]],G:G,"Y",D:D,"' }, { 'req': '")&amp;"'} ]","rg:[]")</f>
        <v>rg:[ { 'req' : 'id' }, { 'req': 'status' }, { 'req': 'permitClassCode' }, { 'req': 'bodyTypeCode' }, { 'req': 'schoolBusSeatingCapacity'} ]</v>
      </c>
      <c r="Y32" s="16" t="str">
        <f>IF(LEN(Table2[[#This Row],[!Unique]])&gt;0,"rg:True","rg:None")</f>
        <v>rg:None</v>
      </c>
    </row>
    <row r="33" spans="1:25" x14ac:dyDescent="0.3">
      <c r="A33" s="25" t="s">
        <v>4</v>
      </c>
      <c r="B33" s="25" t="s">
        <v>55</v>
      </c>
      <c r="C33" s="3"/>
      <c r="D33" s="25" t="s">
        <v>235</v>
      </c>
      <c r="E33" s="25" t="s">
        <v>247</v>
      </c>
      <c r="F33" s="26" t="s">
        <v>236</v>
      </c>
      <c r="G33" s="19"/>
      <c r="H33" s="19"/>
      <c r="I33" s="4" t="str">
        <f t="shared" si="1"/>
        <v>Defs</v>
      </c>
      <c r="J33" s="16" t="str">
        <f>IF(Table2[[#This Row],[!Type]]=J$1, J$1,"rg:None")</f>
        <v>rg:None</v>
      </c>
      <c r="K33" s="16" t="str">
        <f>IF(Table2[[#This Row],[!Type]]=K$1, K$1,"rg:None")</f>
        <v>rg:None</v>
      </c>
      <c r="L33" s="16" t="str">
        <f>IF(Table2[[#This Row],[!Type]]=L$1, L$1,"rg:None")</f>
        <v>rg:None</v>
      </c>
      <c r="M33" s="16" t="str">
        <f>IF(Table2[[#This Row],[!Type]]=M$1, M$1,"rg:None")</f>
        <v>rg:None</v>
      </c>
      <c r="N33" s="16" t="str">
        <f>IF(Table2[[#This Row],[!Type]]=N$1, N$1,"rg:None")</f>
        <v>rg:None</v>
      </c>
      <c r="O33" s="16" t="str">
        <f>IF(Table2[[#This Row],[!Type]]=O$1, O$1,"rg:None")</f>
        <v>rg:None</v>
      </c>
      <c r="P33" s="4" t="str">
        <f>IF(Table2[[#This Row],[!Type]]=P$1, P$1,"rg:None")</f>
        <v>links</v>
      </c>
      <c r="Q33" s="4" t="str">
        <f>IF(Table2[[#This Row],[!Type]]=Q$1, Q$1,"rg:None")</f>
        <v>rg:None</v>
      </c>
      <c r="R33" s="4" t="str">
        <f>IF(Table2[[#This Row],[!Type]]=R$1, R$1,"rg:None")</f>
        <v>rg:None</v>
      </c>
      <c r="S33" s="4" t="str">
        <f>IF(Table2[[#This Row],[!Type]]=S$1, S$1,"rg:None")</f>
        <v>rg:None</v>
      </c>
      <c r="T33" s="16" t="str">
        <f>IF(LEN(Table2[[#This Row],[!Length]]) &gt; 0, Table2[[#This Row],[!Length]], "rg:None")</f>
        <v>rg:None</v>
      </c>
      <c r="U33" s="16" t="str">
        <f>IF(LEN(Table2[[#This Row],[!Name]]) &gt; 0, Table2[[#This Row],[!Name]], "rg:None")</f>
        <v>attachments</v>
      </c>
      <c r="V33" s="16" t="str">
        <f>IF(LEN(Table2[[#This Row],[!Description]]) &gt; 0, Table2[[#This Row],[!Description]], "rg:None")</f>
        <v>The set of attachments about the school bus uploaded by the users.</v>
      </c>
      <c r="W33" s="16" t="str">
        <f>IF(LEN(Table2[[#This Row],[!FK]])&gt;0,Table2[[#This Row],[!FK]],"rg:None")</f>
        <v>Attachment</v>
      </c>
      <c r="X33" s="16" t="str">
        <f>IF(LEN(concatif2(A:A,Table2[[#This Row],[!Table]],G:G,"Y",D:D,",")) &gt; 0,"rg:[ { 'req' : '"&amp;concatif2(A:A,Table2[[#This Row],[!Table]],G:G,"Y",D:D,"' }, { 'req': '")&amp;"'} ]","rg:[]")</f>
        <v>rg:[ { 'req' : 'id' }, { 'req': 'status' }, { 'req': 'permitClassCode' }, { 'req': 'bodyTypeCode' }, { 'req': 'schoolBusSeatingCapacity'} ]</v>
      </c>
      <c r="Y33" s="16" t="str">
        <f>IF(LEN(Table2[[#This Row],[!Unique]])&gt;0,"rg:True","rg:None")</f>
        <v>rg:None</v>
      </c>
    </row>
    <row r="34" spans="1:25" x14ac:dyDescent="0.3">
      <c r="A34" s="25" t="s">
        <v>4</v>
      </c>
      <c r="B34" s="25" t="s">
        <v>55</v>
      </c>
      <c r="C34" s="3"/>
      <c r="D34" s="25" t="s">
        <v>237</v>
      </c>
      <c r="E34" s="25" t="s">
        <v>248</v>
      </c>
      <c r="F34" s="26" t="s">
        <v>238</v>
      </c>
      <c r="G34" s="19"/>
      <c r="H34" s="19"/>
      <c r="I34" s="4" t="str">
        <f t="shared" si="1"/>
        <v>Defs</v>
      </c>
      <c r="J34" s="16" t="str">
        <f>IF(Table2[[#This Row],[!Type]]=J$1, J$1,"rg:None")</f>
        <v>rg:None</v>
      </c>
      <c r="K34" s="16" t="str">
        <f>IF(Table2[[#This Row],[!Type]]=K$1, K$1,"rg:None")</f>
        <v>rg:None</v>
      </c>
      <c r="L34" s="16" t="str">
        <f>IF(Table2[[#This Row],[!Type]]=L$1, L$1,"rg:None")</f>
        <v>rg:None</v>
      </c>
      <c r="M34" s="16" t="str">
        <f>IF(Table2[[#This Row],[!Type]]=M$1, M$1,"rg:None")</f>
        <v>rg:None</v>
      </c>
      <c r="N34" s="16" t="str">
        <f>IF(Table2[[#This Row],[!Type]]=N$1, N$1,"rg:None")</f>
        <v>rg:None</v>
      </c>
      <c r="O34" s="16" t="str">
        <f>IF(Table2[[#This Row],[!Type]]=O$1, O$1,"rg:None")</f>
        <v>rg:None</v>
      </c>
      <c r="P34" s="4" t="str">
        <f>IF(Table2[[#This Row],[!Type]]=P$1, P$1,"rg:None")</f>
        <v>links</v>
      </c>
      <c r="Q34" s="4" t="str">
        <f>IF(Table2[[#This Row],[!Type]]=Q$1, Q$1,"rg:None")</f>
        <v>rg:None</v>
      </c>
      <c r="R34" s="4" t="str">
        <f>IF(Table2[[#This Row],[!Type]]=R$1, R$1,"rg:None")</f>
        <v>rg:None</v>
      </c>
      <c r="S34" s="4" t="str">
        <f>IF(Table2[[#This Row],[!Type]]=S$1, S$1,"rg:None")</f>
        <v>rg:None</v>
      </c>
      <c r="T34" s="16" t="str">
        <f>IF(LEN(Table2[[#This Row],[!Length]]) &gt; 0, Table2[[#This Row],[!Length]], "rg:None")</f>
        <v>rg:None</v>
      </c>
      <c r="U34" s="16" t="str">
        <f>IF(LEN(Table2[[#This Row],[!Name]]) &gt; 0, Table2[[#This Row],[!Name]], "rg:None")</f>
        <v>history</v>
      </c>
      <c r="V34" s="16" t="str">
        <f>IF(LEN(Table2[[#This Row],[!Description]]) &gt; 0, Table2[[#This Row],[!Description]], "rg:None")</f>
        <v>The history of updates made to the School Bus.</v>
      </c>
      <c r="W34" s="16" t="str">
        <f>IF(LEN(Table2[[#This Row],[!FK]])&gt;0,Table2[[#This Row],[!FK]],"rg:None")</f>
        <v>History</v>
      </c>
      <c r="X34" s="16" t="str">
        <f>IF(LEN(concatif2(A:A,Table2[[#This Row],[!Table]],G:G,"Y",D:D,",")) &gt; 0,"rg:[ { 'req' : '"&amp;concatif2(A:A,Table2[[#This Row],[!Table]],G:G,"Y",D:D,"' }, { 'req': '")&amp;"'} ]","rg:[]")</f>
        <v>rg:[ { 'req' : 'id' }, { 'req': 'status' }, { 'req': 'permitClassCode' }, { 'req': 'bodyTypeCode' }, { 'req': 'schoolBusSeatingCapacity'} ]</v>
      </c>
      <c r="Y34" s="16" t="str">
        <f>IF(LEN(Table2[[#This Row],[!Unique]])&gt;0,"rg:True","rg:None")</f>
        <v>rg:None</v>
      </c>
    </row>
    <row r="35" spans="1:25" x14ac:dyDescent="0.3">
      <c r="A35" s="61" t="s">
        <v>4</v>
      </c>
      <c r="B35" s="61" t="s">
        <v>9</v>
      </c>
      <c r="C35" s="3"/>
      <c r="D35" s="61" t="s">
        <v>65</v>
      </c>
      <c r="E35" s="61" t="s">
        <v>414</v>
      </c>
      <c r="F35" s="62" t="s">
        <v>65</v>
      </c>
      <c r="G35" s="19"/>
      <c r="H35" s="19"/>
      <c r="I35" s="4" t="str">
        <f>IF(LEN(A35) &gt; 0,"Defs","-")</f>
        <v>Defs</v>
      </c>
      <c r="J35" s="16" t="str">
        <f>IF(Table2[[#This Row],[!Type]]=J$1, J$1,"rg:None")</f>
        <v>rg:None</v>
      </c>
      <c r="K35" s="16" t="str">
        <f>IF(Table2[[#This Row],[!Type]]=K$1, K$1,"rg:None")</f>
        <v>rg:None</v>
      </c>
      <c r="L35" s="16" t="str">
        <f>IF(Table2[[#This Row],[!Type]]=L$1, L$1,"rg:None")</f>
        <v>rg:None</v>
      </c>
      <c r="M35" s="16" t="str">
        <f>IF(Table2[[#This Row],[!Type]]=M$1, M$1,"rg:None")</f>
        <v>rg:None</v>
      </c>
      <c r="N35" s="16" t="str">
        <f>IF(Table2[[#This Row],[!Type]]=N$1, N$1,"rg:None")</f>
        <v>rg:None</v>
      </c>
      <c r="O35" s="16" t="str">
        <f>IF(Table2[[#This Row],[!Type]]=O$1, O$1,"rg:None")</f>
        <v>rg:None</v>
      </c>
      <c r="P35" s="4" t="str">
        <f>IF(Table2[[#This Row],[!Type]]=P$1, P$1,"rg:None")</f>
        <v>rg:None</v>
      </c>
      <c r="Q35" s="4" t="str">
        <f>IF(Table2[[#This Row],[!Type]]=Q$1, Q$1,"rg:None")</f>
        <v>ref</v>
      </c>
      <c r="R35" s="4" t="str">
        <f>IF(Table2[[#This Row],[!Type]]=R$1, R$1,"rg:None")</f>
        <v>rg:None</v>
      </c>
      <c r="S35" s="4" t="str">
        <f>IF(Table2[[#This Row],[!Type]]=S$1, S$1,"rg:None")</f>
        <v>rg:None</v>
      </c>
      <c r="T35" s="16" t="str">
        <f>IF(LEN(Table2[[#This Row],[!Length]]) &gt; 0, Table2[[#This Row],[!Length]], "rg:None")</f>
        <v>rg:None</v>
      </c>
      <c r="U35" s="16" t="str">
        <f>IF(LEN(Table2[[#This Row],[!Name]]) &gt; 0, Table2[[#This Row],[!Name]], "rg:None")</f>
        <v>CCWData</v>
      </c>
      <c r="V35" s="16" t="str">
        <f>IF(LEN(Table2[[#This Row],[!Description]]) &gt; 0, Table2[[#This Row],[!Description]], "rg:None")</f>
        <v>CCWData for this School Bus</v>
      </c>
      <c r="W35" s="16" t="str">
        <f>IF(LEN(Table2[[#This Row],[!FK]])&gt;0,Table2[[#This Row],[!FK]],"rg:None")</f>
        <v>CCWData</v>
      </c>
      <c r="X35" s="16" t="str">
        <f>IF(LEN(concatif2(A:A,Table2[[#This Row],[!Table]],G:G,"Y",D:D,",")) &gt; 0,"rg:[ { 'req' : '"&amp;concatif2(A:A,Table2[[#This Row],[!Table]],G:G,"Y",D:D,"' }, { 'req': '")&amp;"'} ]","rg:[]")</f>
        <v>rg:[ { 'req' : 'id' }, { 'req': 'status' }, { 'req': 'permitClassCode' }, { 'req': 'bodyTypeCode' }, { 'req': 'schoolBusSeatingCapacity'} ]</v>
      </c>
      <c r="Y35" s="16" t="str">
        <f>IF(LEN(Table2[[#This Row],[!Unique]])&gt;0,"rg:True","rg:None")</f>
        <v>rg:None</v>
      </c>
    </row>
    <row r="36" spans="1:25" x14ac:dyDescent="0.3">
      <c r="A36" s="3" t="s">
        <v>11</v>
      </c>
      <c r="B36" s="3" t="s">
        <v>5</v>
      </c>
      <c r="C36" s="3"/>
      <c r="D36" s="3" t="s">
        <v>11</v>
      </c>
      <c r="E36" s="27" t="s">
        <v>311</v>
      </c>
      <c r="F36" s="3" t="s">
        <v>6</v>
      </c>
      <c r="G36" s="4"/>
      <c r="H36" s="4"/>
      <c r="I36" s="5" t="str">
        <f t="shared" si="0"/>
        <v>Defs</v>
      </c>
      <c r="J36" t="str">
        <f>IF(Table2[[#This Row],[!Type]]=J$1, J$1,"rg:None")</f>
        <v>rg:None</v>
      </c>
      <c r="K36" t="str">
        <f>IF(Table2[[#This Row],[!Type]]=K$1, K$1,"rg:None")</f>
        <v>rg:None</v>
      </c>
      <c r="L36" t="str">
        <f>IF(Table2[[#This Row],[!Type]]=L$1, L$1,"rg:None")</f>
        <v>rg:None</v>
      </c>
      <c r="M36" t="str">
        <f>IF(Table2[[#This Row],[!Type]]=M$1, M$1,"rg:None")</f>
        <v>rg:None</v>
      </c>
      <c r="N36" s="10" t="str">
        <f>IF(Table2[[#This Row],[!Type]]=N$1, N$1,"rg:None")</f>
        <v>rg:None</v>
      </c>
      <c r="O36" s="10" t="str">
        <f>IF(Table2[[#This Row],[!Type]]=O$1, O$1,"rg:None")</f>
        <v>rg:None</v>
      </c>
      <c r="P36" s="5" t="str">
        <f>IF(Table2[[#This Row],[!Type]]=P$1, P$1,"rg:None")</f>
        <v>rg:None</v>
      </c>
      <c r="Q36" s="5" t="str">
        <f>IF(Table2[[#This Row],[!Type]]=Q$1, Q$1,"rg:None")</f>
        <v>rg:None</v>
      </c>
      <c r="R36" s="5" t="str">
        <f>IF(Table2[[#This Row],[!Type]]=R$1, R$1,"rg:None")</f>
        <v>rg:None</v>
      </c>
      <c r="S36" s="5" t="str">
        <f>IF(Table2[[#This Row],[!Type]]=S$1, S$1,"rg:None")</f>
        <v>table</v>
      </c>
      <c r="T36" s="10" t="str">
        <f>IF(LEN(Table2[[#This Row],[!Length]]) &gt; 0, Table2[[#This Row],[!Length]], "rg:None")</f>
        <v>rg:None</v>
      </c>
      <c r="U36" s="10" t="str">
        <f>IF(LEN(Table2[[#This Row],[!Name]]) &gt; 0, Table2[[#This Row],[!Name]], "rg:None")</f>
        <v>SchoolBusOwner</v>
      </c>
      <c r="V36" s="10" t="str">
        <f>IF(LEN(Table2[[#This Row],[!Description]]) &gt; 0, Table2[[#This Row],[!Description]], "rg:None")</f>
        <v>Demographic information about companies, organizations, school districts, or individuals who own or lease school buses</v>
      </c>
      <c r="W36" s="10" t="str">
        <f>IF(LEN(Table2[[#This Row],[!FK]])&gt;0,Table2[[#This Row],[!FK]],"rg:None")</f>
        <v>rg:None</v>
      </c>
      <c r="X36" s="10" t="str">
        <f>IF(LEN(concatif2(A:A,Table2[[#This Row],[!Table]],G:G,"Y",D:D,",")) &gt; 0,"rg:[ { 'req' : '"&amp;concatif2(A:A,Table2[[#This Row],[!Table]],G:G,"Y",D:D,"' }, { 'req': '")&amp;"'} ]","rg:[]")</f>
        <v>rg:[ { 'req' : 'id' }, { 'req': 'name' }, { 'req': 'status' }, { 'req': 'dateCreated'} ]</v>
      </c>
      <c r="Y36" s="10" t="str">
        <f>IF(LEN(Table2[[#This Row],[!Unique]])&gt;0,"rg:True","rg:None")</f>
        <v>rg:None</v>
      </c>
    </row>
    <row r="37" spans="1:25" x14ac:dyDescent="0.3">
      <c r="A37" s="3" t="s">
        <v>11</v>
      </c>
      <c r="B37" s="3" t="s">
        <v>7</v>
      </c>
      <c r="C37" s="3"/>
      <c r="D37" s="3" t="s">
        <v>7</v>
      </c>
      <c r="E37" s="27" t="s">
        <v>276</v>
      </c>
      <c r="F37" s="3" t="s">
        <v>6</v>
      </c>
      <c r="G37" s="4" t="s">
        <v>136</v>
      </c>
      <c r="H37" s="45" t="s">
        <v>136</v>
      </c>
      <c r="I37" s="5" t="str">
        <f t="shared" si="0"/>
        <v>Defs</v>
      </c>
      <c r="J37" t="str">
        <f>IF(Table2[[#This Row],[!Type]]=J$1, J$1,"rg:None")</f>
        <v>rg:None</v>
      </c>
      <c r="K37" t="str">
        <f>IF(Table2[[#This Row],[!Type]]=K$1, K$1,"rg:None")</f>
        <v>rg:None</v>
      </c>
      <c r="L37" t="str">
        <f>IF(Table2[[#This Row],[!Type]]=L$1, L$1,"rg:None")</f>
        <v>rg:None</v>
      </c>
      <c r="M37" t="str">
        <f>IF(Table2[[#This Row],[!Type]]=M$1, M$1,"rg:None")</f>
        <v>id</v>
      </c>
      <c r="N37" s="10" t="str">
        <f>IF(Table2[[#This Row],[!Type]]=N$1, N$1,"rg:None")</f>
        <v>rg:None</v>
      </c>
      <c r="O37" s="10" t="str">
        <f>IF(Table2[[#This Row],[!Type]]=O$1, O$1,"rg:None")</f>
        <v>rg:None</v>
      </c>
      <c r="P37" s="5" t="str">
        <f>IF(Table2[[#This Row],[!Type]]=P$1, P$1,"rg:None")</f>
        <v>rg:None</v>
      </c>
      <c r="Q37" s="5" t="str">
        <f>IF(Table2[[#This Row],[!Type]]=Q$1, Q$1,"rg:None")</f>
        <v>rg:None</v>
      </c>
      <c r="R37" s="5" t="str">
        <f>IF(Table2[[#This Row],[!Type]]=R$1, R$1,"rg:None")</f>
        <v>rg:None</v>
      </c>
      <c r="S37" s="5" t="str">
        <f>IF(Table2[[#This Row],[!Type]]=S$1, S$1,"rg:None")</f>
        <v>rg:None</v>
      </c>
      <c r="T37" s="10" t="str">
        <f>IF(LEN(Table2[[#This Row],[!Length]]) &gt; 0, Table2[[#This Row],[!Length]], "rg:None")</f>
        <v>rg:None</v>
      </c>
      <c r="U37" s="10" t="str">
        <f>IF(LEN(Table2[[#This Row],[!Name]]) &gt; 0, Table2[[#This Row],[!Name]], "rg:None")</f>
        <v>id</v>
      </c>
      <c r="V37" s="10" t="str">
        <f>IF(LEN(Table2[[#This Row],[!Description]]) &gt; 0, Table2[[#This Row],[!Description]], "rg:None")</f>
        <v>A system-generated unique identifier for a SchoolBusOwner</v>
      </c>
      <c r="W37" s="10" t="str">
        <f>IF(LEN(Table2[[#This Row],[!FK]])&gt;0,Table2[[#This Row],[!FK]],"rg:None")</f>
        <v>rg:None</v>
      </c>
      <c r="X37" s="10" t="str">
        <f>IF(LEN(concatif2(A:A,Table2[[#This Row],[!Table]],G:G,"Y",D:D,",")) &gt; 0,"rg:[ { 'req' : '"&amp;concatif2(A:A,Table2[[#This Row],[!Table]],G:G,"Y",D:D,"' }, { 'req': '")&amp;"'} ]","rg:[]")</f>
        <v>rg:[ { 'req' : 'id' }, { 'req': 'name' }, { 'req': 'status' }, { 'req': 'dateCreated'} ]</v>
      </c>
      <c r="Y37" s="10" t="str">
        <f>IF(LEN(Table2[[#This Row],[!Unique]])&gt;0,"rg:True","rg:None")</f>
        <v>rg:True</v>
      </c>
    </row>
    <row r="38" spans="1:25" x14ac:dyDescent="0.3">
      <c r="A38" s="3" t="s">
        <v>11</v>
      </c>
      <c r="B38" s="3" t="s">
        <v>8</v>
      </c>
      <c r="C38" s="3">
        <v>150</v>
      </c>
      <c r="D38" s="3" t="s">
        <v>42</v>
      </c>
      <c r="E38" s="27" t="s">
        <v>43</v>
      </c>
      <c r="F38" s="3" t="s">
        <v>6</v>
      </c>
      <c r="G38" s="45" t="s">
        <v>136</v>
      </c>
      <c r="H38" s="45" t="s">
        <v>136</v>
      </c>
      <c r="I38" s="5" t="str">
        <f t="shared" si="0"/>
        <v>Defs</v>
      </c>
      <c r="J38" t="str">
        <f>IF(Table2[[#This Row],[!Type]]=J$1, J$1,"rg:None")</f>
        <v>rg:None</v>
      </c>
      <c r="K38" t="str">
        <f>IF(Table2[[#This Row],[!Type]]=K$1, K$1,"rg:None")</f>
        <v>rg:None</v>
      </c>
      <c r="L38" t="str">
        <f>IF(Table2[[#This Row],[!Type]]=L$1, L$1,"rg:None")</f>
        <v>rg:None</v>
      </c>
      <c r="M38" t="str">
        <f>IF(Table2[[#This Row],[!Type]]=M$1, M$1,"rg:None")</f>
        <v>rg:None</v>
      </c>
      <c r="N38" s="10" t="str">
        <f>IF(Table2[[#This Row],[!Type]]=N$1, N$1,"rg:None")</f>
        <v>rg:None</v>
      </c>
      <c r="O38" s="10" t="str">
        <f>IF(Table2[[#This Row],[!Type]]=O$1, O$1,"rg:None")</f>
        <v>rg:None</v>
      </c>
      <c r="P38" s="5" t="str">
        <f>IF(Table2[[#This Row],[!Type]]=P$1, P$1,"rg:None")</f>
        <v>rg:None</v>
      </c>
      <c r="Q38" s="5" t="str">
        <f>IF(Table2[[#This Row],[!Type]]=Q$1, Q$1,"rg:None")</f>
        <v>rg:None</v>
      </c>
      <c r="R38" s="5" t="str">
        <f>IF(Table2[[#This Row],[!Type]]=R$1, R$1,"rg:None")</f>
        <v>string</v>
      </c>
      <c r="S38" s="5" t="str">
        <f>IF(Table2[[#This Row],[!Type]]=S$1, S$1,"rg:None")</f>
        <v>rg:None</v>
      </c>
      <c r="T38" s="10">
        <f>IF(LEN(Table2[[#This Row],[!Length]]) &gt; 0, Table2[[#This Row],[!Length]], "rg:None")</f>
        <v>150</v>
      </c>
      <c r="U38" s="10" t="str">
        <f>IF(LEN(Table2[[#This Row],[!Name]]) &gt; 0, Table2[[#This Row],[!Name]], "rg:None")</f>
        <v>name</v>
      </c>
      <c r="V38" s="10" t="str">
        <f>IF(LEN(Table2[[#This Row],[!Description]]) &gt; 0, Table2[[#This Row],[!Description]], "rg:None")</f>
        <v>The name of the School Bus owner as defined by the user/Inspector. Not tied to the ICBC or NSC names,  but whatever is most useful for the Inspectors.</v>
      </c>
      <c r="W38" s="10" t="str">
        <f>IF(LEN(Table2[[#This Row],[!FK]])&gt;0,Table2[[#This Row],[!FK]],"rg:None")</f>
        <v>rg:None</v>
      </c>
      <c r="X38" s="10" t="str">
        <f>IF(LEN(concatif2(A:A,Table2[[#This Row],[!Table]],G:G,"Y",D:D,",")) &gt; 0,"rg:[ { 'req' : '"&amp;concatif2(A:A,Table2[[#This Row],[!Table]],G:G,"Y",D:D,"' }, { 'req': '")&amp;"'} ]","rg:[]")</f>
        <v>rg:[ { 'req' : 'id' }, { 'req': 'name' }, { 'req': 'status' }, { 'req': 'dateCreated'} ]</v>
      </c>
      <c r="Y38" s="10" t="str">
        <f>IF(LEN(Table2[[#This Row],[!Unique]])&gt;0,"rg:True","rg:None")</f>
        <v>rg:True</v>
      </c>
    </row>
    <row r="39" spans="1:25" x14ac:dyDescent="0.3">
      <c r="A39" s="3" t="s">
        <v>11</v>
      </c>
      <c r="B39" s="3" t="s">
        <v>8</v>
      </c>
      <c r="C39" s="3">
        <v>30</v>
      </c>
      <c r="D39" s="3" t="s">
        <v>13</v>
      </c>
      <c r="E39" s="27" t="s">
        <v>312</v>
      </c>
      <c r="F39" s="3" t="s">
        <v>6</v>
      </c>
      <c r="G39" s="45" t="s">
        <v>136</v>
      </c>
      <c r="H39" s="4"/>
      <c r="I39" s="5" t="str">
        <f t="shared" si="0"/>
        <v>Defs</v>
      </c>
      <c r="J39" t="str">
        <f>IF(Table2[[#This Row],[!Type]]=J$1, J$1,"rg:None")</f>
        <v>rg:None</v>
      </c>
      <c r="K39" t="str">
        <f>IF(Table2[[#This Row],[!Type]]=K$1, K$1,"rg:None")</f>
        <v>rg:None</v>
      </c>
      <c r="L39" t="str">
        <f>IF(Table2[[#This Row],[!Type]]=L$1, L$1,"rg:None")</f>
        <v>rg:None</v>
      </c>
      <c r="M39" t="str">
        <f>IF(Table2[[#This Row],[!Type]]=M$1, M$1,"rg:None")</f>
        <v>rg:None</v>
      </c>
      <c r="N39" s="10" t="str">
        <f>IF(Table2[[#This Row],[!Type]]=N$1, N$1,"rg:None")</f>
        <v>rg:None</v>
      </c>
      <c r="O39" s="10" t="str">
        <f>IF(Table2[[#This Row],[!Type]]=O$1, O$1,"rg:None")</f>
        <v>rg:None</v>
      </c>
      <c r="P39" s="5" t="str">
        <f>IF(Table2[[#This Row],[!Type]]=P$1, P$1,"rg:None")</f>
        <v>rg:None</v>
      </c>
      <c r="Q39" s="5" t="str">
        <f>IF(Table2[[#This Row],[!Type]]=Q$1, Q$1,"rg:None")</f>
        <v>rg:None</v>
      </c>
      <c r="R39" s="5" t="str">
        <f>IF(Table2[[#This Row],[!Type]]=R$1, R$1,"rg:None")</f>
        <v>string</v>
      </c>
      <c r="S39" s="5" t="str">
        <f>IF(Table2[[#This Row],[!Type]]=S$1, S$1,"rg:None")</f>
        <v>rg:None</v>
      </c>
      <c r="T39" s="10">
        <f>IF(LEN(Table2[[#This Row],[!Length]]) &gt; 0, Table2[[#This Row],[!Length]], "rg:None")</f>
        <v>30</v>
      </c>
      <c r="U39" s="10" t="str">
        <f>IF(LEN(Table2[[#This Row],[!Name]]) &gt; 0, Table2[[#This Row],[!Name]], "rg:None")</f>
        <v>status</v>
      </c>
      <c r="V39" s="10" t="str">
        <f>IF(LEN(Table2[[#This Row],[!Description]]) &gt; 0, Table2[[#This Row],[!Description]], "rg:None")</f>
        <v>Status of the School Bus owner - enumerated value Active,  Inactive or Archived from drop down</v>
      </c>
      <c r="W39" s="10" t="str">
        <f>IF(LEN(Table2[[#This Row],[!FK]])&gt;0,Table2[[#This Row],[!FK]],"rg:None")</f>
        <v>rg:None</v>
      </c>
      <c r="X39" s="10" t="str">
        <f>IF(LEN(concatif2(A:A,Table2[[#This Row],[!Table]],G:G,"Y",D:D,",")) &gt; 0,"rg:[ { 'req' : '"&amp;concatif2(A:A,Table2[[#This Row],[!Table]],G:G,"Y",D:D,"' }, { 'req': '")&amp;"'} ]","rg:[]")</f>
        <v>rg:[ { 'req' : 'id' }, { 'req': 'name' }, { 'req': 'status' }, { 'req': 'dateCreated'} ]</v>
      </c>
      <c r="Y39" s="10" t="str">
        <f>IF(LEN(Table2[[#This Row],[!Unique]])&gt;0,"rg:True","rg:None")</f>
        <v>rg:None</v>
      </c>
    </row>
    <row r="40" spans="1:25" x14ac:dyDescent="0.3">
      <c r="A40" s="3" t="s">
        <v>11</v>
      </c>
      <c r="B40" s="3" t="s">
        <v>25</v>
      </c>
      <c r="C40" s="3"/>
      <c r="D40" s="3" t="s">
        <v>44</v>
      </c>
      <c r="E40" s="27" t="s">
        <v>313</v>
      </c>
      <c r="F40" s="3" t="s">
        <v>6</v>
      </c>
      <c r="G40" s="45" t="s">
        <v>136</v>
      </c>
      <c r="H40" s="4"/>
      <c r="I40" s="5" t="str">
        <f t="shared" si="0"/>
        <v>Defs</v>
      </c>
      <c r="J40" t="str">
        <f>IF(Table2[[#This Row],[!Type]]=J$1, J$1,"rg:None")</f>
        <v>rg:None</v>
      </c>
      <c r="K40" t="str">
        <f>IF(Table2[[#This Row],[!Type]]=K$1, K$1,"rg:None")</f>
        <v>rg:None</v>
      </c>
      <c r="L40" t="str">
        <f>IF(Table2[[#This Row],[!Type]]=L$1, L$1,"rg:None")</f>
        <v>datetime</v>
      </c>
      <c r="M40" t="str">
        <f>IF(Table2[[#This Row],[!Type]]=M$1, M$1,"rg:None")</f>
        <v>rg:None</v>
      </c>
      <c r="N40" s="10" t="str">
        <f>IF(Table2[[#This Row],[!Type]]=N$1, N$1,"rg:None")</f>
        <v>rg:None</v>
      </c>
      <c r="O40" s="10" t="str">
        <f>IF(Table2[[#This Row],[!Type]]=O$1, O$1,"rg:None")</f>
        <v>rg:None</v>
      </c>
      <c r="P40" s="5" t="str">
        <f>IF(Table2[[#This Row],[!Type]]=P$1, P$1,"rg:None")</f>
        <v>rg:None</v>
      </c>
      <c r="Q40" s="5" t="str">
        <f>IF(Table2[[#This Row],[!Type]]=Q$1, Q$1,"rg:None")</f>
        <v>rg:None</v>
      </c>
      <c r="R40" s="5" t="str">
        <f>IF(Table2[[#This Row],[!Type]]=R$1, R$1,"rg:None")</f>
        <v>rg:None</v>
      </c>
      <c r="S40" s="5" t="str">
        <f>IF(Table2[[#This Row],[!Type]]=S$1, S$1,"rg:None")</f>
        <v>rg:None</v>
      </c>
      <c r="T40" s="10" t="str">
        <f>IF(LEN(Table2[[#This Row],[!Length]]) &gt; 0, Table2[[#This Row],[!Length]], "rg:None")</f>
        <v>rg:None</v>
      </c>
      <c r="U40" s="10" t="str">
        <f>IF(LEN(Table2[[#This Row],[!Name]]) &gt; 0, Table2[[#This Row],[!Name]], "rg:None")</f>
        <v>dateCreated</v>
      </c>
      <c r="V40" s="10" t="str">
        <f>IF(LEN(Table2[[#This Row],[!Description]]) &gt; 0, Table2[[#This Row],[!Description]], "rg:None")</f>
        <v>The original create date and time of the owner record. The date-time of the creation of the record from the audit fields. Since this might be surfaced in the API,  adding it to the definition.</v>
      </c>
      <c r="W40" s="10" t="str">
        <f>IF(LEN(Table2[[#This Row],[!FK]])&gt;0,Table2[[#This Row],[!FK]],"rg:None")</f>
        <v>rg:None</v>
      </c>
      <c r="X40" s="10" t="str">
        <f>IF(LEN(concatif2(A:A,Table2[[#This Row],[!Table]],G:G,"Y",D:D,",")) &gt; 0,"rg:[ { 'req' : '"&amp;concatif2(A:A,Table2[[#This Row],[!Table]],G:G,"Y",D:D,"' }, { 'req': '")&amp;"'} ]","rg:[]")</f>
        <v>rg:[ { 'req' : 'id' }, { 'req': 'name' }, { 'req': 'status' }, { 'req': 'dateCreated'} ]</v>
      </c>
      <c r="Y40" s="10" t="str">
        <f>IF(LEN(Table2[[#This Row],[!Unique]])&gt;0,"rg:True","rg:None")</f>
        <v>rg:None</v>
      </c>
    </row>
    <row r="41" spans="1:25" x14ac:dyDescent="0.3">
      <c r="A41" s="3" t="s">
        <v>11</v>
      </c>
      <c r="B41" s="3" t="s">
        <v>9</v>
      </c>
      <c r="C41" s="3"/>
      <c r="D41" s="3" t="s">
        <v>45</v>
      </c>
      <c r="E41" s="27" t="s">
        <v>46</v>
      </c>
      <c r="F41" s="24" t="s">
        <v>244</v>
      </c>
      <c r="G41" s="4"/>
      <c r="H41" s="4"/>
      <c r="I41" s="5" t="str">
        <f t="shared" si="0"/>
        <v>Defs</v>
      </c>
      <c r="J41" t="str">
        <f>IF(Table2[[#This Row],[!Type]]=J$1, J$1,"rg:None")</f>
        <v>rg:None</v>
      </c>
      <c r="K41" t="str">
        <f>IF(Table2[[#This Row],[!Type]]=K$1, K$1,"rg:None")</f>
        <v>rg:None</v>
      </c>
      <c r="L41" t="str">
        <f>IF(Table2[[#This Row],[!Type]]=L$1, L$1,"rg:None")</f>
        <v>rg:None</v>
      </c>
      <c r="M41" t="str">
        <f>IF(Table2[[#This Row],[!Type]]=M$1, M$1,"rg:None")</f>
        <v>rg:None</v>
      </c>
      <c r="N41" s="10" t="str">
        <f>IF(Table2[[#This Row],[!Type]]=N$1, N$1,"rg:None")</f>
        <v>rg:None</v>
      </c>
      <c r="O41" s="10" t="str">
        <f>IF(Table2[[#This Row],[!Type]]=O$1, O$1,"rg:None")</f>
        <v>rg:None</v>
      </c>
      <c r="P41" s="5" t="str">
        <f>IF(Table2[[#This Row],[!Type]]=P$1, P$1,"rg:None")</f>
        <v>rg:None</v>
      </c>
      <c r="Q41" s="5" t="str">
        <f>IF(Table2[[#This Row],[!Type]]=Q$1, Q$1,"rg:None")</f>
        <v>ref</v>
      </c>
      <c r="R41" s="5" t="str">
        <f>IF(Table2[[#This Row],[!Type]]=R$1, R$1,"rg:None")</f>
        <v>rg:None</v>
      </c>
      <c r="S41" s="5" t="str">
        <f>IF(Table2[[#This Row],[!Type]]=S$1, S$1,"rg:None")</f>
        <v>rg:None</v>
      </c>
      <c r="T41" s="10" t="str">
        <f>IF(LEN(Table2[[#This Row],[!Length]]) &gt; 0, Table2[[#This Row],[!Length]], "rg:None")</f>
        <v>rg:None</v>
      </c>
      <c r="U41" s="10" t="str">
        <f>IF(LEN(Table2[[#This Row],[!Name]]) &gt; 0, Table2[[#This Row],[!Name]], "rg:None")</f>
        <v>primaryContact</v>
      </c>
      <c r="V41" s="10" t="str">
        <f>IF(LEN(Table2[[#This Row],[!Description]]) &gt; 0, Table2[[#This Row],[!Description]], "rg:None")</f>
        <v>Link to the designated Primary Contact for the Inspector to the School Bus Owner organization.</v>
      </c>
      <c r="W41" s="10" t="str">
        <f>IF(LEN(Table2[[#This Row],[!FK]])&gt;0,Table2[[#This Row],[!FK]],"rg:None")</f>
        <v>Contact</v>
      </c>
      <c r="X41" s="10" t="str">
        <f>IF(LEN(concatif2(A:A,Table2[[#This Row],[!Table]],G:G,"Y",D:D,",")) &gt; 0,"rg:[ { 'req' : '"&amp;concatif2(A:A,Table2[[#This Row],[!Table]],G:G,"Y",D:D,"' }, { 'req': '")&amp;"'} ]","rg:[]")</f>
        <v>rg:[ { 'req' : 'id' }, { 'req': 'name' }, { 'req': 'status' }, { 'req': 'dateCreated'} ]</v>
      </c>
      <c r="Y41" s="10" t="str">
        <f>IF(LEN(Table2[[#This Row],[!Unique]])&gt;0,"rg:True","rg:None")</f>
        <v>rg:None</v>
      </c>
    </row>
    <row r="42" spans="1:25" x14ac:dyDescent="0.3">
      <c r="A42" s="3" t="s">
        <v>11</v>
      </c>
      <c r="B42" s="3" t="s">
        <v>9</v>
      </c>
      <c r="C42" s="3"/>
      <c r="D42" s="24" t="s">
        <v>87</v>
      </c>
      <c r="E42" s="27" t="s">
        <v>47</v>
      </c>
      <c r="F42" s="24" t="s">
        <v>87</v>
      </c>
      <c r="G42" s="4"/>
      <c r="H42" s="4"/>
      <c r="I42" s="5" t="str">
        <f t="shared" si="0"/>
        <v>Defs</v>
      </c>
      <c r="J42" t="str">
        <f>IF(Table2[[#This Row],[!Type]]=J$1, J$1,"rg:None")</f>
        <v>rg:None</v>
      </c>
      <c r="K42" t="str">
        <f>IF(Table2[[#This Row],[!Type]]=K$1, K$1,"rg:None")</f>
        <v>rg:None</v>
      </c>
      <c r="L42" t="str">
        <f>IF(Table2[[#This Row],[!Type]]=L$1, L$1,"rg:None")</f>
        <v>rg:None</v>
      </c>
      <c r="M42" t="str">
        <f>IF(Table2[[#This Row],[!Type]]=M$1, M$1,"rg:None")</f>
        <v>rg:None</v>
      </c>
      <c r="N42" s="10" t="str">
        <f>IF(Table2[[#This Row],[!Type]]=N$1, N$1,"rg:None")</f>
        <v>rg:None</v>
      </c>
      <c r="O42" s="10" t="str">
        <f>IF(Table2[[#This Row],[!Type]]=O$1, O$1,"rg:None")</f>
        <v>rg:None</v>
      </c>
      <c r="P42" s="5" t="str">
        <f>IF(Table2[[#This Row],[!Type]]=P$1, P$1,"rg:None")</f>
        <v>rg:None</v>
      </c>
      <c r="Q42" s="5" t="str">
        <f>IF(Table2[[#This Row],[!Type]]=Q$1, Q$1,"rg:None")</f>
        <v>ref</v>
      </c>
      <c r="R42" s="5" t="str">
        <f>IF(Table2[[#This Row],[!Type]]=R$1, R$1,"rg:None")</f>
        <v>rg:None</v>
      </c>
      <c r="S42" s="5" t="str">
        <f>IF(Table2[[#This Row],[!Type]]=S$1, S$1,"rg:None")</f>
        <v>rg:None</v>
      </c>
      <c r="T42" s="10" t="str">
        <f>IF(LEN(Table2[[#This Row],[!Length]]) &gt; 0, Table2[[#This Row],[!Length]], "rg:None")</f>
        <v>rg:None</v>
      </c>
      <c r="U42" s="10" t="str">
        <f>IF(LEN(Table2[[#This Row],[!Name]]) &gt; 0, Table2[[#This Row],[!Name]], "rg:None")</f>
        <v>District</v>
      </c>
      <c r="V42" s="10" t="str">
        <f>IF(LEN(Table2[[#This Row],[!Description]]) &gt; 0, Table2[[#This Row],[!Description]], "rg:None")</f>
        <v>The District to which this School Bus is affliated.</v>
      </c>
      <c r="W42" s="10" t="str">
        <f>IF(LEN(Table2[[#This Row],[!FK]])&gt;0,Table2[[#This Row],[!FK]],"rg:None")</f>
        <v>District</v>
      </c>
      <c r="X42" s="10" t="str">
        <f>IF(LEN(concatif2(A:A,Table2[[#This Row],[!Table]],G:G,"Y",D:D,",")) &gt; 0,"rg:[ { 'req' : '"&amp;concatif2(A:A,Table2[[#This Row],[!Table]],G:G,"Y",D:D,"' }, { 'req': '")&amp;"'} ]","rg:[]")</f>
        <v>rg:[ { 'req' : 'id' }, { 'req': 'name' }, { 'req': 'status' }, { 'req': 'dateCreated'} ]</v>
      </c>
      <c r="Y42" s="10" t="str">
        <f>IF(LEN(Table2[[#This Row],[!Unique]])&gt;0,"rg:True","rg:None")</f>
        <v>rg:None</v>
      </c>
    </row>
    <row r="43" spans="1:25" x14ac:dyDescent="0.3">
      <c r="A43" s="3" t="s">
        <v>11</v>
      </c>
      <c r="B43" s="3" t="s">
        <v>55</v>
      </c>
      <c r="C43" s="3"/>
      <c r="D43" s="3" t="s">
        <v>48</v>
      </c>
      <c r="E43" s="28" t="s">
        <v>252</v>
      </c>
      <c r="F43" s="24" t="s">
        <v>244</v>
      </c>
      <c r="G43" s="4"/>
      <c r="H43" s="4"/>
      <c r="I43" s="5" t="str">
        <f t="shared" si="0"/>
        <v>Defs</v>
      </c>
      <c r="J43" t="str">
        <f>IF(Table2[[#This Row],[!Type]]=J$1, J$1,"rg:None")</f>
        <v>rg:None</v>
      </c>
      <c r="K43" t="str">
        <f>IF(Table2[[#This Row],[!Type]]=K$1, K$1,"rg:None")</f>
        <v>rg:None</v>
      </c>
      <c r="L43" t="str">
        <f>IF(Table2[[#This Row],[!Type]]=L$1, L$1,"rg:None")</f>
        <v>rg:None</v>
      </c>
      <c r="M43" t="str">
        <f>IF(Table2[[#This Row],[!Type]]=M$1, M$1,"rg:None")</f>
        <v>rg:None</v>
      </c>
      <c r="N43" s="10" t="str">
        <f>IF(Table2[[#This Row],[!Type]]=N$1, N$1,"rg:None")</f>
        <v>rg:None</v>
      </c>
      <c r="O43" s="10" t="str">
        <f>IF(Table2[[#This Row],[!Type]]=O$1, O$1,"rg:None")</f>
        <v>rg:None</v>
      </c>
      <c r="P43" s="5" t="str">
        <f>IF(Table2[[#This Row],[!Type]]=P$1, P$1,"rg:None")</f>
        <v>links</v>
      </c>
      <c r="Q43" s="5" t="str">
        <f>IF(Table2[[#This Row],[!Type]]=Q$1, Q$1,"rg:None")</f>
        <v>rg:None</v>
      </c>
      <c r="R43" s="5" t="str">
        <f>IF(Table2[[#This Row],[!Type]]=R$1, R$1,"rg:None")</f>
        <v>rg:None</v>
      </c>
      <c r="S43" s="5" t="str">
        <f>IF(Table2[[#This Row],[!Type]]=S$1, S$1,"rg:None")</f>
        <v>rg:None</v>
      </c>
      <c r="T43" s="10" t="str">
        <f>IF(LEN(Table2[[#This Row],[!Length]]) &gt; 0, Table2[[#This Row],[!Length]], "rg:None")</f>
        <v>rg:None</v>
      </c>
      <c r="U43" s="10" t="str">
        <f>IF(LEN(Table2[[#This Row],[!Name]]) &gt; 0, Table2[[#This Row],[!Name]], "rg:None")</f>
        <v>contacts</v>
      </c>
      <c r="V43" s="10" t="str">
        <f>IF(LEN(Table2[[#This Row],[!Description]]) &gt; 0, Table2[[#This Row],[!Description]], "rg:None")</f>
        <v>The set of contacts related to the School Bus Owner.</v>
      </c>
      <c r="W43" s="10" t="str">
        <f>IF(LEN(Table2[[#This Row],[!FK]])&gt;0,Table2[[#This Row],[!FK]],"rg:None")</f>
        <v>Contact</v>
      </c>
      <c r="X43" s="10" t="str">
        <f>IF(LEN(concatif2(A:A,Table2[[#This Row],[!Table]],G:G,"Y",D:D,",")) &gt; 0,"rg:[ { 'req' : '"&amp;concatif2(A:A,Table2[[#This Row],[!Table]],G:G,"Y",D:D,"' }, { 'req': '")&amp;"'} ]","rg:[]")</f>
        <v>rg:[ { 'req' : 'id' }, { 'req': 'name' }, { 'req': 'status' }, { 'req': 'dateCreated'} ]</v>
      </c>
      <c r="Y43" s="10" t="str">
        <f>IF(LEN(Table2[[#This Row],[!Unique]])&gt;0,"rg:True","rg:None")</f>
        <v>rg:None</v>
      </c>
    </row>
    <row r="44" spans="1:25" x14ac:dyDescent="0.3">
      <c r="A44" s="3" t="s">
        <v>11</v>
      </c>
      <c r="B44" s="24" t="s">
        <v>55</v>
      </c>
      <c r="C44" s="3"/>
      <c r="D44" s="24" t="s">
        <v>54</v>
      </c>
      <c r="E44" s="25" t="s">
        <v>249</v>
      </c>
      <c r="F44" s="24" t="s">
        <v>234</v>
      </c>
      <c r="G44" s="4"/>
      <c r="H44" s="4"/>
      <c r="I44" s="5" t="str">
        <f t="shared" si="0"/>
        <v>Defs</v>
      </c>
      <c r="J44" t="str">
        <f>IF(Table2[[#This Row],[!Type]]=J$1, J$1,"rg:None")</f>
        <v>rg:None</v>
      </c>
      <c r="K44" t="str">
        <f>IF(Table2[[#This Row],[!Type]]=K$1, K$1,"rg:None")</f>
        <v>rg:None</v>
      </c>
      <c r="L44" t="str">
        <f>IF(Table2[[#This Row],[!Type]]=L$1, L$1,"rg:None")</f>
        <v>rg:None</v>
      </c>
      <c r="M44" t="str">
        <f>IF(Table2[[#This Row],[!Type]]=M$1, M$1,"rg:None")</f>
        <v>rg:None</v>
      </c>
      <c r="N44" s="10" t="str">
        <f>IF(Table2[[#This Row],[!Type]]=N$1, N$1,"rg:None")</f>
        <v>rg:None</v>
      </c>
      <c r="O44" s="10" t="str">
        <f>IF(Table2[[#This Row],[!Type]]=O$1, O$1,"rg:None")</f>
        <v>rg:None</v>
      </c>
      <c r="P44" s="5" t="str">
        <f>IF(Table2[[#This Row],[!Type]]=P$1, P$1,"rg:None")</f>
        <v>links</v>
      </c>
      <c r="Q44" s="5" t="str">
        <f>IF(Table2[[#This Row],[!Type]]=Q$1, Q$1,"rg:None")</f>
        <v>rg:None</v>
      </c>
      <c r="R44" s="5" t="str">
        <f>IF(Table2[[#This Row],[!Type]]=R$1, R$1,"rg:None")</f>
        <v>rg:None</v>
      </c>
      <c r="S44" s="5" t="str">
        <f>IF(Table2[[#This Row],[!Type]]=S$1, S$1,"rg:None")</f>
        <v>rg:None</v>
      </c>
      <c r="T44" s="10" t="str">
        <f>IF(LEN(Table2[[#This Row],[!Length]]) &gt; 0, Table2[[#This Row],[!Length]], "rg:None")</f>
        <v>rg:None</v>
      </c>
      <c r="U44" s="10" t="str">
        <f>IF(LEN(Table2[[#This Row],[!Name]]) &gt; 0, Table2[[#This Row],[!Name]], "rg:None")</f>
        <v>notes</v>
      </c>
      <c r="V44" s="10" t="str">
        <f>IF(LEN(Table2[[#This Row],[!Description]]) &gt; 0, Table2[[#This Row],[!Description]], "rg:None")</f>
        <v>The set of notes about the school bus owner entered by users.</v>
      </c>
      <c r="W44" s="10" t="str">
        <f>IF(LEN(Table2[[#This Row],[!FK]])&gt;0,Table2[[#This Row],[!FK]],"rg:None")</f>
        <v>Note</v>
      </c>
      <c r="X44" s="10" t="str">
        <f>IF(LEN(concatif2(A:A,Table2[[#This Row],[!Table]],G:G,"Y",D:D,",")) &gt; 0,"rg:[ { 'req' : '"&amp;concatif2(A:A,Table2[[#This Row],[!Table]],G:G,"Y",D:D,"' }, { 'req': '")&amp;"'} ]","rg:[]")</f>
        <v>rg:[ { 'req' : 'id' }, { 'req': 'name' }, { 'req': 'status' }, { 'req': 'dateCreated'} ]</v>
      </c>
      <c r="Y44" s="10" t="str">
        <f>IF(LEN(Table2[[#This Row],[!Unique]])&gt;0,"rg:True","rg:None")</f>
        <v>rg:None</v>
      </c>
    </row>
    <row r="45" spans="1:25" x14ac:dyDescent="0.3">
      <c r="A45" s="3" t="s">
        <v>11</v>
      </c>
      <c r="B45" s="24" t="s">
        <v>55</v>
      </c>
      <c r="C45" s="3"/>
      <c r="D45" s="24" t="s">
        <v>235</v>
      </c>
      <c r="E45" s="25" t="s">
        <v>250</v>
      </c>
      <c r="F45" s="24" t="s">
        <v>236</v>
      </c>
      <c r="G45" s="4"/>
      <c r="H45" s="4"/>
      <c r="I45" s="5" t="str">
        <f t="shared" si="0"/>
        <v>Defs</v>
      </c>
      <c r="J45" t="str">
        <f>IF(Table2[[#This Row],[!Type]]=J$1, J$1,"rg:None")</f>
        <v>rg:None</v>
      </c>
      <c r="K45" t="str">
        <f>IF(Table2[[#This Row],[!Type]]=K$1, K$1,"rg:None")</f>
        <v>rg:None</v>
      </c>
      <c r="L45" t="str">
        <f>IF(Table2[[#This Row],[!Type]]=L$1, L$1,"rg:None")</f>
        <v>rg:None</v>
      </c>
      <c r="M45" t="str">
        <f>IF(Table2[[#This Row],[!Type]]=M$1, M$1,"rg:None")</f>
        <v>rg:None</v>
      </c>
      <c r="N45" s="10" t="str">
        <f>IF(Table2[[#This Row],[!Type]]=N$1, N$1,"rg:None")</f>
        <v>rg:None</v>
      </c>
      <c r="O45" s="10" t="str">
        <f>IF(Table2[[#This Row],[!Type]]=O$1, O$1,"rg:None")</f>
        <v>rg:None</v>
      </c>
      <c r="P45" s="5" t="str">
        <f>IF(Table2[[#This Row],[!Type]]=P$1, P$1,"rg:None")</f>
        <v>links</v>
      </c>
      <c r="Q45" s="5" t="str">
        <f>IF(Table2[[#This Row],[!Type]]=Q$1, Q$1,"rg:None")</f>
        <v>rg:None</v>
      </c>
      <c r="R45" s="5" t="str">
        <f>IF(Table2[[#This Row],[!Type]]=R$1, R$1,"rg:None")</f>
        <v>rg:None</v>
      </c>
      <c r="S45" s="5" t="str">
        <f>IF(Table2[[#This Row],[!Type]]=S$1, S$1,"rg:None")</f>
        <v>rg:None</v>
      </c>
      <c r="T45" s="10" t="str">
        <f>IF(LEN(Table2[[#This Row],[!Length]]) &gt; 0, Table2[[#This Row],[!Length]], "rg:None")</f>
        <v>rg:None</v>
      </c>
      <c r="U45" s="10" t="str">
        <f>IF(LEN(Table2[[#This Row],[!Name]]) &gt; 0, Table2[[#This Row],[!Name]], "rg:None")</f>
        <v>attachments</v>
      </c>
      <c r="V45" s="10" t="str">
        <f>IF(LEN(Table2[[#This Row],[!Description]]) &gt; 0, Table2[[#This Row],[!Description]], "rg:None")</f>
        <v>The set of attachments about the school bus owner uploaded by the users.</v>
      </c>
      <c r="W45" s="10" t="str">
        <f>IF(LEN(Table2[[#This Row],[!FK]])&gt;0,Table2[[#This Row],[!FK]],"rg:None")</f>
        <v>Attachment</v>
      </c>
      <c r="X45" s="10" t="str">
        <f>IF(LEN(concatif2(A:A,Table2[[#This Row],[!Table]],G:G,"Y",D:D,",")) &gt; 0,"rg:[ { 'req' : '"&amp;concatif2(A:A,Table2[[#This Row],[!Table]],G:G,"Y",D:D,"' }, { 'req': '")&amp;"'} ]","rg:[]")</f>
        <v>rg:[ { 'req' : 'id' }, { 'req': 'name' }, { 'req': 'status' }, { 'req': 'dateCreated'} ]</v>
      </c>
      <c r="Y45" s="10" t="str">
        <f>IF(LEN(Table2[[#This Row],[!Unique]])&gt;0,"rg:True","rg:None")</f>
        <v>rg:None</v>
      </c>
    </row>
    <row r="46" spans="1:25" x14ac:dyDescent="0.3">
      <c r="A46" s="24" t="s">
        <v>11</v>
      </c>
      <c r="B46" s="24" t="s">
        <v>55</v>
      </c>
      <c r="C46" s="3"/>
      <c r="D46" s="24" t="s">
        <v>237</v>
      </c>
      <c r="E46" s="25" t="s">
        <v>251</v>
      </c>
      <c r="F46" s="24" t="s">
        <v>238</v>
      </c>
      <c r="G46" s="4"/>
      <c r="H46" s="4"/>
      <c r="I46" s="5" t="str">
        <f t="shared" si="0"/>
        <v>Defs</v>
      </c>
      <c r="J46" t="str">
        <f>IF(Table2[[#This Row],[!Type]]=J$1, J$1,"rg:None")</f>
        <v>rg:None</v>
      </c>
      <c r="K46" t="str">
        <f>IF(Table2[[#This Row],[!Type]]=K$1, K$1,"rg:None")</f>
        <v>rg:None</v>
      </c>
      <c r="L46" t="str">
        <f>IF(Table2[[#This Row],[!Type]]=L$1, L$1,"rg:None")</f>
        <v>rg:None</v>
      </c>
      <c r="M46" t="str">
        <f>IF(Table2[[#This Row],[!Type]]=M$1, M$1,"rg:None")</f>
        <v>rg:None</v>
      </c>
      <c r="N46" s="10" t="str">
        <f>IF(Table2[[#This Row],[!Type]]=N$1, N$1,"rg:None")</f>
        <v>rg:None</v>
      </c>
      <c r="O46" s="10" t="str">
        <f>IF(Table2[[#This Row],[!Type]]=O$1, O$1,"rg:None")</f>
        <v>rg:None</v>
      </c>
      <c r="P46" s="5" t="str">
        <f>IF(Table2[[#This Row],[!Type]]=P$1, P$1,"rg:None")</f>
        <v>links</v>
      </c>
      <c r="Q46" s="5" t="str">
        <f>IF(Table2[[#This Row],[!Type]]=Q$1, Q$1,"rg:None")</f>
        <v>rg:None</v>
      </c>
      <c r="R46" s="5" t="str">
        <f>IF(Table2[[#This Row],[!Type]]=R$1, R$1,"rg:None")</f>
        <v>rg:None</v>
      </c>
      <c r="S46" s="5" t="str">
        <f>IF(Table2[[#This Row],[!Type]]=S$1, S$1,"rg:None")</f>
        <v>rg:None</v>
      </c>
      <c r="T46" s="10" t="str">
        <f>IF(LEN(Table2[[#This Row],[!Length]]) &gt; 0, Table2[[#This Row],[!Length]], "rg:None")</f>
        <v>rg:None</v>
      </c>
      <c r="U46" s="10" t="str">
        <f>IF(LEN(Table2[[#This Row],[!Name]]) &gt; 0, Table2[[#This Row],[!Name]], "rg:None")</f>
        <v>history</v>
      </c>
      <c r="V46" s="10" t="str">
        <f>IF(LEN(Table2[[#This Row],[!Description]]) &gt; 0, Table2[[#This Row],[!Description]], "rg:None")</f>
        <v>The history of updates made to the School Bus Owner data.</v>
      </c>
      <c r="W46" s="10" t="str">
        <f>IF(LEN(Table2[[#This Row],[!FK]])&gt;0,Table2[[#This Row],[!FK]],"rg:None")</f>
        <v>History</v>
      </c>
      <c r="X46" s="10" t="str">
        <f>IF(LEN(concatif2(A:A,Table2[[#This Row],[!Table]],G:G,"Y",D:D,",")) &gt; 0,"rg:[ { 'req' : '"&amp;concatif2(A:A,Table2[[#This Row],[!Table]],G:G,"Y",D:D,"' }, { 'req': '")&amp;"'} ]","rg:[]")</f>
        <v>rg:[ { 'req' : 'id' }, { 'req': 'name' }, { 'req': 'status' }, { 'req': 'dateCreated'} ]</v>
      </c>
      <c r="Y46" s="10" t="str">
        <f>IF(LEN(Table2[[#This Row],[!Unique]])&gt;0,"rg:True","rg:None")</f>
        <v>rg:None</v>
      </c>
    </row>
    <row r="47" spans="1:25" x14ac:dyDescent="0.3">
      <c r="A47" s="3" t="s">
        <v>65</v>
      </c>
      <c r="B47" s="3" t="s">
        <v>5</v>
      </c>
      <c r="C47" s="3"/>
      <c r="D47" s="3" t="s">
        <v>65</v>
      </c>
      <c r="E47" s="43" t="s">
        <v>386</v>
      </c>
      <c r="F47" s="3" t="s">
        <v>6</v>
      </c>
      <c r="I47" s="5" t="str">
        <f t="shared" ref="I47:I90" si="2">IF(LEN(A47) &gt; 0,"Defs","-")</f>
        <v>Defs</v>
      </c>
      <c r="J47" t="str">
        <f>IF(Table2[[#This Row],[!Type]]=J$1, J$1,"rg:None")</f>
        <v>rg:None</v>
      </c>
      <c r="K47" t="str">
        <f>IF(Table2[[#This Row],[!Type]]=K$1, K$1,"rg:None")</f>
        <v>rg:None</v>
      </c>
      <c r="L47" t="str">
        <f>IF(Table2[[#This Row],[!Type]]=L$1, L$1,"rg:None")</f>
        <v>rg:None</v>
      </c>
      <c r="M47" t="str">
        <f>IF(Table2[[#This Row],[!Type]]=M$1, M$1,"rg:None")</f>
        <v>rg:None</v>
      </c>
      <c r="N47" s="10" t="str">
        <f>IF(Table2[[#This Row],[!Type]]=N$1, N$1,"rg:None")</f>
        <v>rg:None</v>
      </c>
      <c r="O47" s="10" t="str">
        <f>IF(Table2[[#This Row],[!Type]]=O$1, O$1,"rg:None")</f>
        <v>rg:None</v>
      </c>
      <c r="P47" s="5" t="str">
        <f>IF(Table2[[#This Row],[!Type]]=P$1, P$1,"rg:None")</f>
        <v>rg:None</v>
      </c>
      <c r="Q47" s="5" t="str">
        <f>IF(Table2[[#This Row],[!Type]]=Q$1, Q$1,"rg:None")</f>
        <v>rg:None</v>
      </c>
      <c r="R47" s="5" t="str">
        <f>IF(Table2[[#This Row],[!Type]]=R$1, R$1,"rg:None")</f>
        <v>rg:None</v>
      </c>
      <c r="S47" s="5" t="str">
        <f>IF(Table2[[#This Row],[!Type]]=S$1, S$1,"rg:None")</f>
        <v>table</v>
      </c>
      <c r="T47" s="10" t="str">
        <f>IF(LEN(Table2[[#This Row],[!Length]]) &gt; 0, Table2[[#This Row],[!Length]], "rg:None")</f>
        <v>rg:None</v>
      </c>
      <c r="U47" s="10" t="str">
        <f>IF(LEN(Table2[[#This Row],[!Name]]) &gt; 0, Table2[[#This Row],[!Name]], "rg:None")</f>
        <v>CCWData</v>
      </c>
      <c r="V47" s="10" t="str">
        <f>IF(LEN(Table2[[#This Row],[!Description]]) &gt; 0, Table2[[#This Row],[!Description]], "rg:None")</f>
        <v>Data pulled in from external sources (ICBC, NSC, etc) about School Buses and retained but not updated in the School Bus app. All data elements are simply copied from the comparable fields in the WSDLs of the Web Service Calls. The true source of the field definitions are in those other systems.</v>
      </c>
      <c r="W47" s="10" t="str">
        <f>IF(LEN(Table2[[#This Row],[!FK]])&gt;0,Table2[[#This Row],[!FK]],"rg:None")</f>
        <v>rg:None</v>
      </c>
      <c r="X47" s="10" t="str">
        <f>IF(LEN(concatif2(A:A,Table2[[#This Row],[!Table]],G:G,"Y",D:D,",")) &gt; 0,"rg:[ { 'req' : '"&amp;concatif2(A:A,Table2[[#This Row],[!Table]],G:G,"Y",D:D,"' }, { 'req': '")&amp;"'} ]","rg:[]")</f>
        <v>rg:[ { 'req' : 'id'} ]</v>
      </c>
      <c r="Y47" s="10" t="str">
        <f>IF(LEN(Table2[[#This Row],[!Unique]])&gt;0,"rg:True","rg:None")</f>
        <v>rg:None</v>
      </c>
    </row>
    <row r="48" spans="1:25" x14ac:dyDescent="0.3">
      <c r="A48" s="3" t="s">
        <v>65</v>
      </c>
      <c r="B48" s="3" t="s">
        <v>7</v>
      </c>
      <c r="C48" s="3"/>
      <c r="D48" s="3" t="s">
        <v>7</v>
      </c>
      <c r="E48" s="42" t="s">
        <v>295</v>
      </c>
      <c r="F48" s="3" t="s">
        <v>6</v>
      </c>
      <c r="G48" s="4" t="s">
        <v>136</v>
      </c>
      <c r="H48" s="45" t="s">
        <v>136</v>
      </c>
      <c r="I48" s="5" t="str">
        <f t="shared" si="2"/>
        <v>Defs</v>
      </c>
      <c r="J48" t="str">
        <f>IF(Table2[[#This Row],[!Type]]=J$1, J$1,"rg:None")</f>
        <v>rg:None</v>
      </c>
      <c r="K48" t="str">
        <f>IF(Table2[[#This Row],[!Type]]=K$1, K$1,"rg:None")</f>
        <v>rg:None</v>
      </c>
      <c r="L48" t="str">
        <f>IF(Table2[[#This Row],[!Type]]=L$1, L$1,"rg:None")</f>
        <v>rg:None</v>
      </c>
      <c r="M48" t="str">
        <f>IF(Table2[[#This Row],[!Type]]=M$1, M$1,"rg:None")</f>
        <v>id</v>
      </c>
      <c r="N48" s="10" t="str">
        <f>IF(Table2[[#This Row],[!Type]]=N$1, N$1,"rg:None")</f>
        <v>rg:None</v>
      </c>
      <c r="O48" s="10" t="str">
        <f>IF(Table2[[#This Row],[!Type]]=O$1, O$1,"rg:None")</f>
        <v>rg:None</v>
      </c>
      <c r="P48" s="5" t="str">
        <f>IF(Table2[[#This Row],[!Type]]=P$1, P$1,"rg:None")</f>
        <v>rg:None</v>
      </c>
      <c r="Q48" s="5" t="str">
        <f>IF(Table2[[#This Row],[!Type]]=Q$1, Q$1,"rg:None")</f>
        <v>rg:None</v>
      </c>
      <c r="R48" s="5" t="str">
        <f>IF(Table2[[#This Row],[!Type]]=R$1, R$1,"rg:None")</f>
        <v>rg:None</v>
      </c>
      <c r="S48" s="5" t="str">
        <f>IF(Table2[[#This Row],[!Type]]=S$1, S$1,"rg:None")</f>
        <v>rg:None</v>
      </c>
      <c r="T48" s="10" t="str">
        <f>IF(LEN(Table2[[#This Row],[!Length]]) &gt; 0, Table2[[#This Row],[!Length]], "rg:None")</f>
        <v>rg:None</v>
      </c>
      <c r="U48" s="10" t="str">
        <f>IF(LEN(Table2[[#This Row],[!Name]]) &gt; 0, Table2[[#This Row],[!Name]], "rg:None")</f>
        <v>id</v>
      </c>
      <c r="V48" s="10" t="str">
        <f>IF(LEN(Table2[[#This Row],[!Description]]) &gt; 0, Table2[[#This Row],[!Description]], "rg:None")</f>
        <v>A system-generated unique identifier for CCWData</v>
      </c>
      <c r="W48" s="10" t="str">
        <f>IF(LEN(Table2[[#This Row],[!FK]])&gt;0,Table2[[#This Row],[!FK]],"rg:None")</f>
        <v>rg:None</v>
      </c>
      <c r="X48" s="10" t="str">
        <f>IF(LEN(concatif2(A:A,Table2[[#This Row],[!Table]],G:G,"Y",D:D,",")) &gt; 0,"rg:[ { 'req' : '"&amp;concatif2(A:A,Table2[[#This Row],[!Table]],G:G,"Y",D:D,"' }, { 'req': '")&amp;"'} ]","rg:[]")</f>
        <v>rg:[ { 'req' : 'id'} ]</v>
      </c>
      <c r="Y48" s="10" t="str">
        <f>IF(LEN(Table2[[#This Row],[!Unique]])&gt;0,"rg:True","rg:None")</f>
        <v>rg:True</v>
      </c>
    </row>
    <row r="49" spans="1:25" x14ac:dyDescent="0.3">
      <c r="A49" s="3" t="s">
        <v>65</v>
      </c>
      <c r="B49" s="3" t="s">
        <v>8</v>
      </c>
      <c r="C49" s="3">
        <v>255</v>
      </c>
      <c r="D49" s="24" t="s">
        <v>253</v>
      </c>
      <c r="E49" s="27" t="s">
        <v>314</v>
      </c>
      <c r="F49" s="3" t="s">
        <v>6</v>
      </c>
      <c r="H49" s="44" t="s">
        <v>136</v>
      </c>
      <c r="I49" s="5" t="str">
        <f t="shared" si="2"/>
        <v>Defs</v>
      </c>
      <c r="J49" t="str">
        <f>IF(Table2[[#This Row],[!Type]]=J$1, J$1,"rg:None")</f>
        <v>rg:None</v>
      </c>
      <c r="K49" t="str">
        <f>IF(Table2[[#This Row],[!Type]]=K$1, K$1,"rg:None")</f>
        <v>rg:None</v>
      </c>
      <c r="L49" t="str">
        <f>IF(Table2[[#This Row],[!Type]]=L$1, L$1,"rg:None")</f>
        <v>rg:None</v>
      </c>
      <c r="M49" t="str">
        <f>IF(Table2[[#This Row],[!Type]]=M$1, M$1,"rg:None")</f>
        <v>rg:None</v>
      </c>
      <c r="N49" s="10" t="str">
        <f>IF(Table2[[#This Row],[!Type]]=N$1, N$1,"rg:None")</f>
        <v>rg:None</v>
      </c>
      <c r="O49" s="10" t="str">
        <f>IF(Table2[[#This Row],[!Type]]=O$1, O$1,"rg:None")</f>
        <v>rg:None</v>
      </c>
      <c r="P49" s="5" t="str">
        <f>IF(Table2[[#This Row],[!Type]]=P$1, P$1,"rg:None")</f>
        <v>rg:None</v>
      </c>
      <c r="Q49" s="5" t="str">
        <f>IF(Table2[[#This Row],[!Type]]=Q$1, Q$1,"rg:None")</f>
        <v>rg:None</v>
      </c>
      <c r="R49" s="5" t="str">
        <f>IF(Table2[[#This Row],[!Type]]=R$1, R$1,"rg:None")</f>
        <v>string</v>
      </c>
      <c r="S49" s="5" t="str">
        <f>IF(Table2[[#This Row],[!Type]]=S$1, S$1,"rg:None")</f>
        <v>rg:None</v>
      </c>
      <c r="T49" s="10">
        <f>IF(LEN(Table2[[#This Row],[!Length]]) &gt; 0, Table2[[#This Row],[!Length]], "rg:None")</f>
        <v>255</v>
      </c>
      <c r="U49" s="10" t="str">
        <f>IF(LEN(Table2[[#This Row],[!Name]]) &gt; 0, Table2[[#This Row],[!Name]], "rg:None")</f>
        <v>ICBCRegistrationNumber</v>
      </c>
      <c r="V49" s="10" t="str">
        <f>IF(LEN(Table2[[#This Row],[!Description]]) &gt; 0, Table2[[#This Row],[!Description]], "rg:None")</f>
        <v>The Registration Number (Regi) is the link between the CCW vehicle information and a specific School Bus</v>
      </c>
      <c r="W49" s="10" t="str">
        <f>IF(LEN(Table2[[#This Row],[!FK]])&gt;0,Table2[[#This Row],[!FK]],"rg:None")</f>
        <v>rg:None</v>
      </c>
      <c r="X49" s="10" t="str">
        <f>IF(LEN(concatif2(A:A,Table2[[#This Row],[!Table]],G:G,"Y",D:D,",")) &gt; 0,"rg:[ { 'req' : '"&amp;concatif2(A:A,Table2[[#This Row],[!Table]],G:G,"Y",D:D,"' }, { 'req': '")&amp;"'} ]","rg:[]")</f>
        <v>rg:[ { 'req' : 'id'} ]</v>
      </c>
      <c r="Y49" s="10" t="str">
        <f>IF(LEN(Table2[[#This Row],[!Unique]])&gt;0,"rg:True","rg:None")</f>
        <v>rg:True</v>
      </c>
    </row>
    <row r="50" spans="1:25" x14ac:dyDescent="0.3">
      <c r="A50" s="3" t="s">
        <v>65</v>
      </c>
      <c r="B50" s="3" t="s">
        <v>33</v>
      </c>
      <c r="C50" s="3"/>
      <c r="D50" s="5" t="s">
        <v>139</v>
      </c>
      <c r="E50" s="27" t="s">
        <v>66</v>
      </c>
      <c r="F50" s="3" t="s">
        <v>6</v>
      </c>
      <c r="I50" s="5" t="str">
        <f t="shared" si="2"/>
        <v>Defs</v>
      </c>
      <c r="J50" t="str">
        <f>IF(Table2[[#This Row],[!Type]]=J$1, J$1,"rg:None")</f>
        <v>rg:None</v>
      </c>
      <c r="K50" t="str">
        <f>IF(Table2[[#This Row],[!Type]]=K$1, K$1,"rg:None")</f>
        <v>rg:None</v>
      </c>
      <c r="L50" t="str">
        <f>IF(Table2[[#This Row],[!Type]]=L$1, L$1,"rg:None")</f>
        <v>rg:None</v>
      </c>
      <c r="M50" t="str">
        <f>IF(Table2[[#This Row],[!Type]]=M$1, M$1,"rg:None")</f>
        <v>rg:None</v>
      </c>
      <c r="N50" s="10" t="str">
        <f>IF(Table2[[#This Row],[!Type]]=N$1, N$1,"rg:None")</f>
        <v>integer</v>
      </c>
      <c r="O50" s="10" t="str">
        <f>IF(Table2[[#This Row],[!Type]]=O$1, O$1,"rg:None")</f>
        <v>rg:None</v>
      </c>
      <c r="P50" s="5" t="str">
        <f>IF(Table2[[#This Row],[!Type]]=P$1, P$1,"rg:None")</f>
        <v>rg:None</v>
      </c>
      <c r="Q50" s="5" t="str">
        <f>IF(Table2[[#This Row],[!Type]]=Q$1, Q$1,"rg:None")</f>
        <v>rg:None</v>
      </c>
      <c r="R50" s="5" t="str">
        <f>IF(Table2[[#This Row],[!Type]]=R$1, R$1,"rg:None")</f>
        <v>rg:None</v>
      </c>
      <c r="S50" s="5" t="str">
        <f>IF(Table2[[#This Row],[!Type]]=S$1, S$1,"rg:None")</f>
        <v>rg:None</v>
      </c>
      <c r="T50" s="10" t="str">
        <f>IF(LEN(Table2[[#This Row],[!Length]]) &gt; 0, Table2[[#This Row],[!Length]], "rg:None")</f>
        <v>rg:None</v>
      </c>
      <c r="U50" s="10" t="str">
        <f>IF(LEN(Table2[[#This Row],[!Name]]) &gt; 0, Table2[[#This Row],[!Name]], "rg:None")</f>
        <v>ICBCModelYear</v>
      </c>
      <c r="V50" s="10" t="str">
        <f>IF(LEN(Table2[[#This Row],[!Description]]) &gt; 0, Table2[[#This Row],[!Description]], "rg:None")</f>
        <v>Vehicle Year</v>
      </c>
      <c r="W50" s="10" t="str">
        <f>IF(LEN(Table2[[#This Row],[!FK]])&gt;0,Table2[[#This Row],[!FK]],"rg:None")</f>
        <v>rg:None</v>
      </c>
      <c r="X50" s="10" t="str">
        <f>IF(LEN(concatif2(A:A,Table2[[#This Row],[!Table]],G:G,"Y",D:D,",")) &gt; 0,"rg:[ { 'req' : '"&amp;concatif2(A:A,Table2[[#This Row],[!Table]],G:G,"Y",D:D,"' }, { 'req': '")&amp;"'} ]","rg:[]")</f>
        <v>rg:[ { 'req' : 'id'} ]</v>
      </c>
      <c r="Y50" s="10" t="str">
        <f>IF(LEN(Table2[[#This Row],[!Unique]])&gt;0,"rg:True","rg:None")</f>
        <v>rg:None</v>
      </c>
    </row>
    <row r="51" spans="1:25" x14ac:dyDescent="0.3">
      <c r="A51" s="3" t="s">
        <v>65</v>
      </c>
      <c r="B51" s="3" t="s">
        <v>8</v>
      </c>
      <c r="C51" s="3">
        <v>255</v>
      </c>
      <c r="D51" s="5" t="s">
        <v>140</v>
      </c>
      <c r="E51" s="47" t="s">
        <v>389</v>
      </c>
      <c r="F51" s="3" t="s">
        <v>6</v>
      </c>
      <c r="I51" s="5" t="str">
        <f t="shared" si="2"/>
        <v>Defs</v>
      </c>
      <c r="J51" t="str">
        <f>IF(Table2[[#This Row],[!Type]]=J$1, J$1,"rg:None")</f>
        <v>rg:None</v>
      </c>
      <c r="K51" t="str">
        <f>IF(Table2[[#This Row],[!Type]]=K$1, K$1,"rg:None")</f>
        <v>rg:None</v>
      </c>
      <c r="L51" t="str">
        <f>IF(Table2[[#This Row],[!Type]]=L$1, L$1,"rg:None")</f>
        <v>rg:None</v>
      </c>
      <c r="M51" t="str">
        <f>IF(Table2[[#This Row],[!Type]]=M$1, M$1,"rg:None")</f>
        <v>rg:None</v>
      </c>
      <c r="N51" s="10" t="str">
        <f>IF(Table2[[#This Row],[!Type]]=N$1, N$1,"rg:None")</f>
        <v>rg:None</v>
      </c>
      <c r="O51" s="10" t="str">
        <f>IF(Table2[[#This Row],[!Type]]=O$1, O$1,"rg:None")</f>
        <v>rg:None</v>
      </c>
      <c r="P51" s="5" t="str">
        <f>IF(Table2[[#This Row],[!Type]]=P$1, P$1,"rg:None")</f>
        <v>rg:None</v>
      </c>
      <c r="Q51" s="5" t="str">
        <f>IF(Table2[[#This Row],[!Type]]=Q$1, Q$1,"rg:None")</f>
        <v>rg:None</v>
      </c>
      <c r="R51" s="5" t="str">
        <f>IF(Table2[[#This Row],[!Type]]=R$1, R$1,"rg:None")</f>
        <v>string</v>
      </c>
      <c r="S51" s="5" t="str">
        <f>IF(Table2[[#This Row],[!Type]]=S$1, S$1,"rg:None")</f>
        <v>rg:None</v>
      </c>
      <c r="T51" s="10">
        <f>IF(LEN(Table2[[#This Row],[!Length]]) &gt; 0, Table2[[#This Row],[!Length]], "rg:None")</f>
        <v>255</v>
      </c>
      <c r="U51" s="10" t="str">
        <f>IF(LEN(Table2[[#This Row],[!Name]]) &gt; 0, Table2[[#This Row],[!Name]], "rg:None")</f>
        <v>ICBCVehicleType</v>
      </c>
      <c r="V51" s="10" t="str">
        <f>IF(LEN(Table2[[#This Row],[!Description]]) &gt; 0, Table2[[#This Row],[!Description]], "rg:None")</f>
        <v>ICBC defined field - designates Commercial, Private, Other Categories</v>
      </c>
      <c r="W51" s="10" t="str">
        <f>IF(LEN(Table2[[#This Row],[!FK]])&gt;0,Table2[[#This Row],[!FK]],"rg:None")</f>
        <v>rg:None</v>
      </c>
      <c r="X51" s="10" t="str">
        <f>IF(LEN(concatif2(A:A,Table2[[#This Row],[!Table]],G:G,"Y",D:D,",")) &gt; 0,"rg:[ { 'req' : '"&amp;concatif2(A:A,Table2[[#This Row],[!Table]],G:G,"Y",D:D,"' }, { 'req': '")&amp;"'} ]","rg:[]")</f>
        <v>rg:[ { 'req' : 'id'} ]</v>
      </c>
      <c r="Y51" s="10" t="str">
        <f>IF(LEN(Table2[[#This Row],[!Unique]])&gt;0,"rg:True","rg:None")</f>
        <v>rg:None</v>
      </c>
    </row>
    <row r="52" spans="1:25" x14ac:dyDescent="0.3">
      <c r="A52" s="3" t="s">
        <v>65</v>
      </c>
      <c r="B52" s="3" t="s">
        <v>8</v>
      </c>
      <c r="C52" s="3">
        <v>255</v>
      </c>
      <c r="D52" s="5" t="s">
        <v>141</v>
      </c>
      <c r="E52" s="27" t="s">
        <v>315</v>
      </c>
      <c r="F52" s="3" t="s">
        <v>6</v>
      </c>
      <c r="I52" s="5" t="str">
        <f t="shared" si="2"/>
        <v>Defs</v>
      </c>
      <c r="J52" t="str">
        <f>IF(Table2[[#This Row],[!Type]]=J$1, J$1,"rg:None")</f>
        <v>rg:None</v>
      </c>
      <c r="K52" t="str">
        <f>IF(Table2[[#This Row],[!Type]]=K$1, K$1,"rg:None")</f>
        <v>rg:None</v>
      </c>
      <c r="L52" t="str">
        <f>IF(Table2[[#This Row],[!Type]]=L$1, L$1,"rg:None")</f>
        <v>rg:None</v>
      </c>
      <c r="M52" t="str">
        <f>IF(Table2[[#This Row],[!Type]]=M$1, M$1,"rg:None")</f>
        <v>rg:None</v>
      </c>
      <c r="N52" s="10" t="str">
        <f>IF(Table2[[#This Row],[!Type]]=N$1, N$1,"rg:None")</f>
        <v>rg:None</v>
      </c>
      <c r="O52" s="10" t="str">
        <f>IF(Table2[[#This Row],[!Type]]=O$1, O$1,"rg:None")</f>
        <v>rg:None</v>
      </c>
      <c r="P52" s="5" t="str">
        <f>IF(Table2[[#This Row],[!Type]]=P$1, P$1,"rg:None")</f>
        <v>rg:None</v>
      </c>
      <c r="Q52" s="5" t="str">
        <f>IF(Table2[[#This Row],[!Type]]=Q$1, Q$1,"rg:None")</f>
        <v>rg:None</v>
      </c>
      <c r="R52" s="5" t="str">
        <f>IF(Table2[[#This Row],[!Type]]=R$1, R$1,"rg:None")</f>
        <v>string</v>
      </c>
      <c r="S52" s="5" t="str">
        <f>IF(Table2[[#This Row],[!Type]]=S$1, S$1,"rg:None")</f>
        <v>rg:None</v>
      </c>
      <c r="T52" s="10">
        <f>IF(LEN(Table2[[#This Row],[!Length]]) &gt; 0, Table2[[#This Row],[!Length]], "rg:None")</f>
        <v>255</v>
      </c>
      <c r="U52" s="10" t="str">
        <f>IF(LEN(Table2[[#This Row],[!Name]]) &gt; 0, Table2[[#This Row],[!Name]], "rg:None")</f>
        <v>ICBCRateClass</v>
      </c>
      <c r="V52" s="10" t="str">
        <f>IF(LEN(Table2[[#This Row],[!Description]]) &gt; 0, Table2[[#This Row],[!Description]], "rg:None")</f>
        <v>Defines usage such as pleasure only, business, delivery, etc..</v>
      </c>
      <c r="W52" s="10" t="str">
        <f>IF(LEN(Table2[[#This Row],[!FK]])&gt;0,Table2[[#This Row],[!FK]],"rg:None")</f>
        <v>rg:None</v>
      </c>
      <c r="X52" s="10" t="str">
        <f>IF(LEN(concatif2(A:A,Table2[[#This Row],[!Table]],G:G,"Y",D:D,",")) &gt; 0,"rg:[ { 'req' : '"&amp;concatif2(A:A,Table2[[#This Row],[!Table]],G:G,"Y",D:D,"' }, { 'req': '")&amp;"'} ]","rg:[]")</f>
        <v>rg:[ { 'req' : 'id'} ]</v>
      </c>
      <c r="Y52" s="10" t="str">
        <f>IF(LEN(Table2[[#This Row],[!Unique]])&gt;0,"rg:True","rg:None")</f>
        <v>rg:None</v>
      </c>
    </row>
    <row r="53" spans="1:25" x14ac:dyDescent="0.3">
      <c r="A53" s="3" t="s">
        <v>65</v>
      </c>
      <c r="B53" s="3" t="s">
        <v>8</v>
      </c>
      <c r="C53" s="3">
        <v>255</v>
      </c>
      <c r="D53" s="5" t="s">
        <v>142</v>
      </c>
      <c r="E53" s="27" t="s">
        <v>316</v>
      </c>
      <c r="F53" s="3" t="s">
        <v>6</v>
      </c>
      <c r="I53" s="5" t="str">
        <f t="shared" si="2"/>
        <v>Defs</v>
      </c>
      <c r="J53" t="str">
        <f>IF(Table2[[#This Row],[!Type]]=J$1, J$1,"rg:None")</f>
        <v>rg:None</v>
      </c>
      <c r="K53" t="str">
        <f>IF(Table2[[#This Row],[!Type]]=K$1, K$1,"rg:None")</f>
        <v>rg:None</v>
      </c>
      <c r="L53" t="str">
        <f>IF(Table2[[#This Row],[!Type]]=L$1, L$1,"rg:None")</f>
        <v>rg:None</v>
      </c>
      <c r="M53" t="str">
        <f>IF(Table2[[#This Row],[!Type]]=M$1, M$1,"rg:None")</f>
        <v>rg:None</v>
      </c>
      <c r="N53" s="10" t="str">
        <f>IF(Table2[[#This Row],[!Type]]=N$1, N$1,"rg:None")</f>
        <v>rg:None</v>
      </c>
      <c r="O53" s="10" t="str">
        <f>IF(Table2[[#This Row],[!Type]]=O$1, O$1,"rg:None")</f>
        <v>rg:None</v>
      </c>
      <c r="P53" s="5" t="str">
        <f>IF(Table2[[#This Row],[!Type]]=P$1, P$1,"rg:None")</f>
        <v>rg:None</v>
      </c>
      <c r="Q53" s="5" t="str">
        <f>IF(Table2[[#This Row],[!Type]]=Q$1, Q$1,"rg:None")</f>
        <v>rg:None</v>
      </c>
      <c r="R53" s="5" t="str">
        <f>IF(Table2[[#This Row],[!Type]]=R$1, R$1,"rg:None")</f>
        <v>string</v>
      </c>
      <c r="S53" s="5" t="str">
        <f>IF(Table2[[#This Row],[!Type]]=S$1, S$1,"rg:None")</f>
        <v>rg:None</v>
      </c>
      <c r="T53" s="10">
        <f>IF(LEN(Table2[[#This Row],[!Length]]) &gt; 0, Table2[[#This Row],[!Length]], "rg:None")</f>
        <v>255</v>
      </c>
      <c r="U53" s="10" t="str">
        <f>IF(LEN(Table2[[#This Row],[!Name]]) &gt; 0, Table2[[#This Row],[!Name]], "rg:None")</f>
        <v>ICBCCVIPDecal</v>
      </c>
      <c r="V53" s="10" t="str">
        <f>IF(LEN(Table2[[#This Row],[!Description]]) &gt; 0, Table2[[#This Row],[!Description]], "rg:None")</f>
        <v>Six monthly commercial vehicle inspection decal number</v>
      </c>
      <c r="W53" s="10" t="str">
        <f>IF(LEN(Table2[[#This Row],[!FK]])&gt;0,Table2[[#This Row],[!FK]],"rg:None")</f>
        <v>rg:None</v>
      </c>
      <c r="X53" s="10" t="str">
        <f>IF(LEN(concatif2(A:A,Table2[[#This Row],[!Table]],G:G,"Y",D:D,",")) &gt; 0,"rg:[ { 'req' : '"&amp;concatif2(A:A,Table2[[#This Row],[!Table]],G:G,"Y",D:D,"' }, { 'req': '")&amp;"'} ]","rg:[]")</f>
        <v>rg:[ { 'req' : 'id'} ]</v>
      </c>
      <c r="Y53" s="10" t="str">
        <f>IF(LEN(Table2[[#This Row],[!Unique]])&gt;0,"rg:True","rg:None")</f>
        <v>rg:None</v>
      </c>
    </row>
    <row r="54" spans="1:25" x14ac:dyDescent="0.3">
      <c r="A54" s="3" t="s">
        <v>65</v>
      </c>
      <c r="B54" s="3" t="s">
        <v>33</v>
      </c>
      <c r="C54" s="3"/>
      <c r="D54" s="5" t="s">
        <v>143</v>
      </c>
      <c r="E54" s="43" t="s">
        <v>339</v>
      </c>
      <c r="F54" s="3" t="s">
        <v>6</v>
      </c>
      <c r="I54" s="5" t="str">
        <f t="shared" si="2"/>
        <v>Defs</v>
      </c>
      <c r="J54" t="str">
        <f>IF(Table2[[#This Row],[!Type]]=J$1, J$1,"rg:None")</f>
        <v>rg:None</v>
      </c>
      <c r="K54" t="str">
        <f>IF(Table2[[#This Row],[!Type]]=K$1, K$1,"rg:None")</f>
        <v>rg:None</v>
      </c>
      <c r="L54" t="str">
        <f>IF(Table2[[#This Row],[!Type]]=L$1, L$1,"rg:None")</f>
        <v>rg:None</v>
      </c>
      <c r="M54" t="str">
        <f>IF(Table2[[#This Row],[!Type]]=M$1, M$1,"rg:None")</f>
        <v>rg:None</v>
      </c>
      <c r="N54" s="10" t="str">
        <f>IF(Table2[[#This Row],[!Type]]=N$1, N$1,"rg:None")</f>
        <v>integer</v>
      </c>
      <c r="O54" s="10" t="str">
        <f>IF(Table2[[#This Row],[!Type]]=O$1, O$1,"rg:None")</f>
        <v>rg:None</v>
      </c>
      <c r="P54" s="5" t="str">
        <f>IF(Table2[[#This Row],[!Type]]=P$1, P$1,"rg:None")</f>
        <v>rg:None</v>
      </c>
      <c r="Q54" s="5" t="str">
        <f>IF(Table2[[#This Row],[!Type]]=Q$1, Q$1,"rg:None")</f>
        <v>rg:None</v>
      </c>
      <c r="R54" s="5" t="str">
        <f>IF(Table2[[#This Row],[!Type]]=R$1, R$1,"rg:None")</f>
        <v>rg:None</v>
      </c>
      <c r="S54" s="5" t="str">
        <f>IF(Table2[[#This Row],[!Type]]=S$1, S$1,"rg:None")</f>
        <v>rg:None</v>
      </c>
      <c r="T54" s="10" t="str">
        <f>IF(LEN(Table2[[#This Row],[!Length]]) &gt; 0, Table2[[#This Row],[!Length]], "rg:None")</f>
        <v>rg:None</v>
      </c>
      <c r="U54" s="10" t="str">
        <f>IF(LEN(Table2[[#This Row],[!Name]]) &gt; 0, Table2[[#This Row],[!Name]], "rg:None")</f>
        <v>ICBCFleetUnitNo</v>
      </c>
      <c r="V54" s="10" t="str">
        <f>IF(LEN(Table2[[#This Row],[!Description]]) &gt; 0, Table2[[#This Row],[!Description]], "rg:None")</f>
        <v>The owner-defined number of the bus within their bus fleet.</v>
      </c>
      <c r="W54" s="10" t="str">
        <f>IF(LEN(Table2[[#This Row],[!FK]])&gt;0,Table2[[#This Row],[!FK]],"rg:None")</f>
        <v>rg:None</v>
      </c>
      <c r="X54" s="10" t="str">
        <f>IF(LEN(concatif2(A:A,Table2[[#This Row],[!Table]],G:G,"Y",D:D,",")) &gt; 0,"rg:[ { 'req' : '"&amp;concatif2(A:A,Table2[[#This Row],[!Table]],G:G,"Y",D:D,"' }, { 'req': '")&amp;"'} ]","rg:[]")</f>
        <v>rg:[ { 'req' : 'id'} ]</v>
      </c>
      <c r="Y54" s="10" t="str">
        <f>IF(LEN(Table2[[#This Row],[!Unique]])&gt;0,"rg:True","rg:None")</f>
        <v>rg:None</v>
      </c>
    </row>
    <row r="55" spans="1:25" x14ac:dyDescent="0.3">
      <c r="A55" s="3" t="s">
        <v>65</v>
      </c>
      <c r="B55" s="3" t="s">
        <v>33</v>
      </c>
      <c r="C55" s="3"/>
      <c r="D55" s="5" t="s">
        <v>144</v>
      </c>
      <c r="E55" s="27" t="s">
        <v>317</v>
      </c>
      <c r="F55" s="3" t="s">
        <v>6</v>
      </c>
      <c r="I55" s="5" t="str">
        <f t="shared" si="2"/>
        <v>Defs</v>
      </c>
      <c r="J55" t="str">
        <f>IF(Table2[[#This Row],[!Type]]=J$1, J$1,"rg:None")</f>
        <v>rg:None</v>
      </c>
      <c r="K55" t="str">
        <f>IF(Table2[[#This Row],[!Type]]=K$1, K$1,"rg:None")</f>
        <v>rg:None</v>
      </c>
      <c r="L55" t="str">
        <f>IF(Table2[[#This Row],[!Type]]=L$1, L$1,"rg:None")</f>
        <v>rg:None</v>
      </c>
      <c r="M55" t="str">
        <f>IF(Table2[[#This Row],[!Type]]=M$1, M$1,"rg:None")</f>
        <v>rg:None</v>
      </c>
      <c r="N55" s="10" t="str">
        <f>IF(Table2[[#This Row],[!Type]]=N$1, N$1,"rg:None")</f>
        <v>integer</v>
      </c>
      <c r="O55" s="10" t="str">
        <f>IF(Table2[[#This Row],[!Type]]=O$1, O$1,"rg:None")</f>
        <v>rg:None</v>
      </c>
      <c r="P55" s="5" t="str">
        <f>IF(Table2[[#This Row],[!Type]]=P$1, P$1,"rg:None")</f>
        <v>rg:None</v>
      </c>
      <c r="Q55" s="5" t="str">
        <f>IF(Table2[[#This Row],[!Type]]=Q$1, Q$1,"rg:None")</f>
        <v>rg:None</v>
      </c>
      <c r="R55" s="5" t="str">
        <f>IF(Table2[[#This Row],[!Type]]=R$1, R$1,"rg:None")</f>
        <v>rg:None</v>
      </c>
      <c r="S55" s="5" t="str">
        <f>IF(Table2[[#This Row],[!Type]]=S$1, S$1,"rg:None")</f>
        <v>rg:None</v>
      </c>
      <c r="T55" s="10" t="str">
        <f>IF(LEN(Table2[[#This Row],[!Length]]) &gt; 0, Table2[[#This Row],[!Length]], "rg:None")</f>
        <v>rg:None</v>
      </c>
      <c r="U55" s="10" t="str">
        <f>IF(LEN(Table2[[#This Row],[!Name]]) &gt; 0, Table2[[#This Row],[!Name]], "rg:None")</f>
        <v>ICBCGrossVehicleWeight</v>
      </c>
      <c r="V55" s="10" t="str">
        <f>IF(LEN(Table2[[#This Row],[!Description]]) &gt; 0, Table2[[#This Row],[!Description]], "rg:None")</f>
        <v>Vehicle gross weight in kgs</v>
      </c>
      <c r="W55" s="10" t="str">
        <f>IF(LEN(Table2[[#This Row],[!FK]])&gt;0,Table2[[#This Row],[!FK]],"rg:None")</f>
        <v>rg:None</v>
      </c>
      <c r="X55" s="10" t="str">
        <f>IF(LEN(concatif2(A:A,Table2[[#This Row],[!Table]],G:G,"Y",D:D,",")) &gt; 0,"rg:[ { 'req' : '"&amp;concatif2(A:A,Table2[[#This Row],[!Table]],G:G,"Y",D:D,"' }, { 'req': '")&amp;"'} ]","rg:[]")</f>
        <v>rg:[ { 'req' : 'id'} ]</v>
      </c>
      <c r="Y55" s="10" t="str">
        <f>IF(LEN(Table2[[#This Row],[!Unique]])&gt;0,"rg:True","rg:None")</f>
        <v>rg:None</v>
      </c>
    </row>
    <row r="56" spans="1:25" x14ac:dyDescent="0.3">
      <c r="A56" s="3" t="s">
        <v>65</v>
      </c>
      <c r="B56" s="3" t="s">
        <v>8</v>
      </c>
      <c r="C56" s="3">
        <v>255</v>
      </c>
      <c r="D56" s="5" t="s">
        <v>145</v>
      </c>
      <c r="E56" s="27" t="s">
        <v>318</v>
      </c>
      <c r="F56" s="3" t="s">
        <v>6</v>
      </c>
      <c r="I56" s="5" t="str">
        <f t="shared" si="2"/>
        <v>Defs</v>
      </c>
      <c r="J56" t="str">
        <f>IF(Table2[[#This Row],[!Type]]=J$1, J$1,"rg:None")</f>
        <v>rg:None</v>
      </c>
      <c r="K56" t="str">
        <f>IF(Table2[[#This Row],[!Type]]=K$1, K$1,"rg:None")</f>
        <v>rg:None</v>
      </c>
      <c r="L56" t="str">
        <f>IF(Table2[[#This Row],[!Type]]=L$1, L$1,"rg:None")</f>
        <v>rg:None</v>
      </c>
      <c r="M56" t="str">
        <f>IF(Table2[[#This Row],[!Type]]=M$1, M$1,"rg:None")</f>
        <v>rg:None</v>
      </c>
      <c r="N56" s="10" t="str">
        <f>IF(Table2[[#This Row],[!Type]]=N$1, N$1,"rg:None")</f>
        <v>rg:None</v>
      </c>
      <c r="O56" s="10" t="str">
        <f>IF(Table2[[#This Row],[!Type]]=O$1, O$1,"rg:None")</f>
        <v>rg:None</v>
      </c>
      <c r="P56" s="5" t="str">
        <f>IF(Table2[[#This Row],[!Type]]=P$1, P$1,"rg:None")</f>
        <v>rg:None</v>
      </c>
      <c r="Q56" s="5" t="str">
        <f>IF(Table2[[#This Row],[!Type]]=Q$1, Q$1,"rg:None")</f>
        <v>rg:None</v>
      </c>
      <c r="R56" s="5" t="str">
        <f>IF(Table2[[#This Row],[!Type]]=R$1, R$1,"rg:None")</f>
        <v>string</v>
      </c>
      <c r="S56" s="5" t="str">
        <f>IF(Table2[[#This Row],[!Type]]=S$1, S$1,"rg:None")</f>
        <v>rg:None</v>
      </c>
      <c r="T56" s="10">
        <f>IF(LEN(Table2[[#This Row],[!Length]]) &gt; 0, Table2[[#This Row],[!Length]], "rg:None")</f>
        <v>255</v>
      </c>
      <c r="U56" s="10" t="str">
        <f>IF(LEN(Table2[[#This Row],[!Name]]) &gt; 0, Table2[[#This Row],[!Name]], "rg:None")</f>
        <v>ICBCMake</v>
      </c>
      <c r="V56" s="10" t="str">
        <f>IF(LEN(Table2[[#This Row],[!Description]]) &gt; 0, Table2[[#This Row],[!Description]], "rg:None")</f>
        <v>Vehicle make</v>
      </c>
      <c r="W56" s="10" t="str">
        <f>IF(LEN(Table2[[#This Row],[!FK]])&gt;0,Table2[[#This Row],[!FK]],"rg:None")</f>
        <v>rg:None</v>
      </c>
      <c r="X56" s="10" t="str">
        <f>IF(LEN(concatif2(A:A,Table2[[#This Row],[!Table]],G:G,"Y",D:D,",")) &gt; 0,"rg:[ { 'req' : '"&amp;concatif2(A:A,Table2[[#This Row],[!Table]],G:G,"Y",D:D,"' }, { 'req': '")&amp;"'} ]","rg:[]")</f>
        <v>rg:[ { 'req' : 'id'} ]</v>
      </c>
      <c r="Y56" s="10" t="str">
        <f>IF(LEN(Table2[[#This Row],[!Unique]])&gt;0,"rg:True","rg:None")</f>
        <v>rg:None</v>
      </c>
    </row>
    <row r="57" spans="1:25" x14ac:dyDescent="0.3">
      <c r="A57" s="3" t="s">
        <v>65</v>
      </c>
      <c r="B57" s="3" t="s">
        <v>8</v>
      </c>
      <c r="C57" s="3">
        <v>255</v>
      </c>
      <c r="D57" s="5" t="s">
        <v>146</v>
      </c>
      <c r="E57" s="27" t="s">
        <v>319</v>
      </c>
      <c r="F57" s="3" t="s">
        <v>6</v>
      </c>
      <c r="I57" s="5" t="str">
        <f t="shared" si="2"/>
        <v>Defs</v>
      </c>
      <c r="J57" t="str">
        <f>IF(Table2[[#This Row],[!Type]]=J$1, J$1,"rg:None")</f>
        <v>rg:None</v>
      </c>
      <c r="K57" t="str">
        <f>IF(Table2[[#This Row],[!Type]]=K$1, K$1,"rg:None")</f>
        <v>rg:None</v>
      </c>
      <c r="L57" t="str">
        <f>IF(Table2[[#This Row],[!Type]]=L$1, L$1,"rg:None")</f>
        <v>rg:None</v>
      </c>
      <c r="M57" t="str">
        <f>IF(Table2[[#This Row],[!Type]]=M$1, M$1,"rg:None")</f>
        <v>rg:None</v>
      </c>
      <c r="N57" s="10" t="str">
        <f>IF(Table2[[#This Row],[!Type]]=N$1, N$1,"rg:None")</f>
        <v>rg:None</v>
      </c>
      <c r="O57" s="10" t="str">
        <f>IF(Table2[[#This Row],[!Type]]=O$1, O$1,"rg:None")</f>
        <v>rg:None</v>
      </c>
      <c r="P57" s="5" t="str">
        <f>IF(Table2[[#This Row],[!Type]]=P$1, P$1,"rg:None")</f>
        <v>rg:None</v>
      </c>
      <c r="Q57" s="5" t="str">
        <f>IF(Table2[[#This Row],[!Type]]=Q$1, Q$1,"rg:None")</f>
        <v>rg:None</v>
      </c>
      <c r="R57" s="5" t="str">
        <f>IF(Table2[[#This Row],[!Type]]=R$1, R$1,"rg:None")</f>
        <v>string</v>
      </c>
      <c r="S57" s="5" t="str">
        <f>IF(Table2[[#This Row],[!Type]]=S$1, S$1,"rg:None")</f>
        <v>rg:None</v>
      </c>
      <c r="T57" s="10">
        <f>IF(LEN(Table2[[#This Row],[!Length]]) &gt; 0, Table2[[#This Row],[!Length]], "rg:None")</f>
        <v>255</v>
      </c>
      <c r="U57" s="10" t="str">
        <f>IF(LEN(Table2[[#This Row],[!Name]]) &gt; 0, Table2[[#This Row],[!Name]], "rg:None")</f>
        <v>ICBCBody</v>
      </c>
      <c r="V57" s="10" t="str">
        <f>IF(LEN(Table2[[#This Row],[!Description]]) &gt; 0, Table2[[#This Row],[!Description]], "rg:None")</f>
        <v>Vehicle body code</v>
      </c>
      <c r="W57" s="10" t="str">
        <f>IF(LEN(Table2[[#This Row],[!FK]])&gt;0,Table2[[#This Row],[!FK]],"rg:None")</f>
        <v>rg:None</v>
      </c>
      <c r="X57" s="10" t="str">
        <f>IF(LEN(concatif2(A:A,Table2[[#This Row],[!Table]],G:G,"Y",D:D,",")) &gt; 0,"rg:[ { 'req' : '"&amp;concatif2(A:A,Table2[[#This Row],[!Table]],G:G,"Y",D:D,"' }, { 'req': '")&amp;"'} ]","rg:[]")</f>
        <v>rg:[ { 'req' : 'id'} ]</v>
      </c>
      <c r="Y57" s="10" t="str">
        <f>IF(LEN(Table2[[#This Row],[!Unique]])&gt;0,"rg:True","rg:None")</f>
        <v>rg:None</v>
      </c>
    </row>
    <row r="58" spans="1:25" x14ac:dyDescent="0.3">
      <c r="A58" s="3" t="s">
        <v>65</v>
      </c>
      <c r="B58" s="3" t="s">
        <v>8</v>
      </c>
      <c r="C58" s="3">
        <v>255</v>
      </c>
      <c r="D58" s="5" t="s">
        <v>147</v>
      </c>
      <c r="E58" s="43" t="s">
        <v>358</v>
      </c>
      <c r="F58" s="3" t="s">
        <v>6</v>
      </c>
      <c r="I58" s="5" t="str">
        <f t="shared" si="2"/>
        <v>Defs</v>
      </c>
      <c r="J58" t="str">
        <f>IF(Table2[[#This Row],[!Type]]=J$1, J$1,"rg:None")</f>
        <v>rg:None</v>
      </c>
      <c r="K58" t="str">
        <f>IF(Table2[[#This Row],[!Type]]=K$1, K$1,"rg:None")</f>
        <v>rg:None</v>
      </c>
      <c r="L58" t="str">
        <f>IF(Table2[[#This Row],[!Type]]=L$1, L$1,"rg:None")</f>
        <v>rg:None</v>
      </c>
      <c r="M58" t="str">
        <f>IF(Table2[[#This Row],[!Type]]=M$1, M$1,"rg:None")</f>
        <v>rg:None</v>
      </c>
      <c r="N58" s="10" t="str">
        <f>IF(Table2[[#This Row],[!Type]]=N$1, N$1,"rg:None")</f>
        <v>rg:None</v>
      </c>
      <c r="O58" s="10" t="str">
        <f>IF(Table2[[#This Row],[!Type]]=O$1, O$1,"rg:None")</f>
        <v>rg:None</v>
      </c>
      <c r="P58" s="5" t="str">
        <f>IF(Table2[[#This Row],[!Type]]=P$1, P$1,"rg:None")</f>
        <v>rg:None</v>
      </c>
      <c r="Q58" s="5" t="str">
        <f>IF(Table2[[#This Row],[!Type]]=Q$1, Q$1,"rg:None")</f>
        <v>rg:None</v>
      </c>
      <c r="R58" s="5" t="str">
        <f>IF(Table2[[#This Row],[!Type]]=R$1, R$1,"rg:None")</f>
        <v>string</v>
      </c>
      <c r="S58" s="5" t="str">
        <f>IF(Table2[[#This Row],[!Type]]=S$1, S$1,"rg:None")</f>
        <v>rg:None</v>
      </c>
      <c r="T58" s="10">
        <f>IF(LEN(Table2[[#This Row],[!Length]]) &gt; 0, Table2[[#This Row],[!Length]], "rg:None")</f>
        <v>255</v>
      </c>
      <c r="U58" s="10" t="str">
        <f>IF(LEN(Table2[[#This Row],[!Name]]) &gt; 0, Table2[[#This Row],[!Name]], "rg:None")</f>
        <v>ICBCRebuiltStatus</v>
      </c>
      <c r="V58" s="10" t="str">
        <f>IF(LEN(Table2[[#This Row],[!Description]]) &gt; 0, Table2[[#This Row],[!Description]], "rg:None")</f>
        <v>ICBC coded field about whether or not the vehicle has been rebuilt and if so the nature of the rebuilding.</v>
      </c>
      <c r="W58" s="10" t="str">
        <f>IF(LEN(Table2[[#This Row],[!FK]])&gt;0,Table2[[#This Row],[!FK]],"rg:None")</f>
        <v>rg:None</v>
      </c>
      <c r="X58" s="10" t="str">
        <f>IF(LEN(concatif2(A:A,Table2[[#This Row],[!Table]],G:G,"Y",D:D,",")) &gt; 0,"rg:[ { 'req' : '"&amp;concatif2(A:A,Table2[[#This Row],[!Table]],G:G,"Y",D:D,"' }, { 'req': '")&amp;"'} ]","rg:[]")</f>
        <v>rg:[ { 'req' : 'id'} ]</v>
      </c>
      <c r="Y58" s="10" t="str">
        <f>IF(LEN(Table2[[#This Row],[!Unique]])&gt;0,"rg:True","rg:None")</f>
        <v>rg:None</v>
      </c>
    </row>
    <row r="59" spans="1:25" x14ac:dyDescent="0.3">
      <c r="A59" s="3" t="s">
        <v>65</v>
      </c>
      <c r="B59" s="3" t="s">
        <v>25</v>
      </c>
      <c r="C59" s="3"/>
      <c r="D59" s="5" t="s">
        <v>148</v>
      </c>
      <c r="E59" s="27" t="s">
        <v>320</v>
      </c>
      <c r="F59" s="3" t="s">
        <v>6</v>
      </c>
      <c r="I59" s="5" t="str">
        <f t="shared" si="2"/>
        <v>Defs</v>
      </c>
      <c r="J59" t="str">
        <f>IF(Table2[[#This Row],[!Type]]=J$1, J$1,"rg:None")</f>
        <v>rg:None</v>
      </c>
      <c r="K59" t="str">
        <f>IF(Table2[[#This Row],[!Type]]=K$1, K$1,"rg:None")</f>
        <v>rg:None</v>
      </c>
      <c r="L59" t="str">
        <f>IF(Table2[[#This Row],[!Type]]=L$1, L$1,"rg:None")</f>
        <v>datetime</v>
      </c>
      <c r="M59" t="str">
        <f>IF(Table2[[#This Row],[!Type]]=M$1, M$1,"rg:None")</f>
        <v>rg:None</v>
      </c>
      <c r="N59" s="10" t="str">
        <f>IF(Table2[[#This Row],[!Type]]=N$1, N$1,"rg:None")</f>
        <v>rg:None</v>
      </c>
      <c r="O59" s="10" t="str">
        <f>IF(Table2[[#This Row],[!Type]]=O$1, O$1,"rg:None")</f>
        <v>rg:None</v>
      </c>
      <c r="P59" s="5" t="str">
        <f>IF(Table2[[#This Row],[!Type]]=P$1, P$1,"rg:None")</f>
        <v>rg:None</v>
      </c>
      <c r="Q59" s="5" t="str">
        <f>IF(Table2[[#This Row],[!Type]]=Q$1, Q$1,"rg:None")</f>
        <v>rg:None</v>
      </c>
      <c r="R59" s="5" t="str">
        <f>IF(Table2[[#This Row],[!Type]]=R$1, R$1,"rg:None")</f>
        <v>rg:None</v>
      </c>
      <c r="S59" s="5" t="str">
        <f>IF(Table2[[#This Row],[!Type]]=S$1, S$1,"rg:None")</f>
        <v>rg:None</v>
      </c>
      <c r="T59" s="10" t="str">
        <f>IF(LEN(Table2[[#This Row],[!Length]]) &gt; 0, Table2[[#This Row],[!Length]], "rg:None")</f>
        <v>rg:None</v>
      </c>
      <c r="U59" s="10" t="str">
        <f>IF(LEN(Table2[[#This Row],[!Name]]) &gt; 0, Table2[[#This Row],[!Name]], "rg:None")</f>
        <v>ICBCCVIPExpiry</v>
      </c>
      <c r="V59" s="10" t="str">
        <f>IF(LEN(Table2[[#This Row],[!Description]]) &gt; 0, Table2[[#This Row],[!Description]], "rg:None")</f>
        <v xml:space="preserve">Expiry date of the last 6 month commercial vehicle inspection. </v>
      </c>
      <c r="W59" s="10" t="str">
        <f>IF(LEN(Table2[[#This Row],[!FK]])&gt;0,Table2[[#This Row],[!FK]],"rg:None")</f>
        <v>rg:None</v>
      </c>
      <c r="X59" s="10" t="str">
        <f>IF(LEN(concatif2(A:A,Table2[[#This Row],[!Table]],G:G,"Y",D:D,",")) &gt; 0,"rg:[ { 'req' : '"&amp;concatif2(A:A,Table2[[#This Row],[!Table]],G:G,"Y",D:D,"' }, { 'req': '")&amp;"'} ]","rg:[]")</f>
        <v>rg:[ { 'req' : 'id'} ]</v>
      </c>
      <c r="Y59" s="10" t="str">
        <f>IF(LEN(Table2[[#This Row],[!Unique]])&gt;0,"rg:True","rg:None")</f>
        <v>rg:None</v>
      </c>
    </row>
    <row r="60" spans="1:25" x14ac:dyDescent="0.3">
      <c r="A60" s="3" t="s">
        <v>65</v>
      </c>
      <c r="B60" s="3" t="s">
        <v>33</v>
      </c>
      <c r="C60" s="3"/>
      <c r="D60" s="5" t="s">
        <v>149</v>
      </c>
      <c r="E60" s="27" t="s">
        <v>321</v>
      </c>
      <c r="F60" s="3" t="s">
        <v>6</v>
      </c>
      <c r="G60" s="4"/>
      <c r="H60" s="4"/>
      <c r="I60" s="5" t="str">
        <f t="shared" si="2"/>
        <v>Defs</v>
      </c>
      <c r="J60" t="str">
        <f>IF(Table2[[#This Row],[!Type]]=J$1, J$1,"rg:None")</f>
        <v>rg:None</v>
      </c>
      <c r="K60" t="str">
        <f>IF(Table2[[#This Row],[!Type]]=K$1, K$1,"rg:None")</f>
        <v>rg:None</v>
      </c>
      <c r="L60" t="str">
        <f>IF(Table2[[#This Row],[!Type]]=L$1, L$1,"rg:None")</f>
        <v>rg:None</v>
      </c>
      <c r="M60" t="str">
        <f>IF(Table2[[#This Row],[!Type]]=M$1, M$1,"rg:None")</f>
        <v>rg:None</v>
      </c>
      <c r="N60" s="10" t="str">
        <f>IF(Table2[[#This Row],[!Type]]=N$1, N$1,"rg:None")</f>
        <v>integer</v>
      </c>
      <c r="O60" s="10" t="str">
        <f>IF(Table2[[#This Row],[!Type]]=O$1, O$1,"rg:None")</f>
        <v>rg:None</v>
      </c>
      <c r="P60" s="5" t="str">
        <f>IF(Table2[[#This Row],[!Type]]=P$1, P$1,"rg:None")</f>
        <v>rg:None</v>
      </c>
      <c r="Q60" s="5" t="str">
        <f>IF(Table2[[#This Row],[!Type]]=Q$1, Q$1,"rg:None")</f>
        <v>rg:None</v>
      </c>
      <c r="R60" s="5" t="str">
        <f>IF(Table2[[#This Row],[!Type]]=R$1, R$1,"rg:None")</f>
        <v>rg:None</v>
      </c>
      <c r="S60" s="5" t="str">
        <f>IF(Table2[[#This Row],[!Type]]=S$1, S$1,"rg:None")</f>
        <v>rg:None</v>
      </c>
      <c r="T60" s="10" t="str">
        <f>IF(LEN(Table2[[#This Row],[!Length]]) &gt; 0, Table2[[#This Row],[!Length]], "rg:None")</f>
        <v>rg:None</v>
      </c>
      <c r="U60" s="10" t="str">
        <f>IF(LEN(Table2[[#This Row],[!Name]]) &gt; 0, Table2[[#This Row],[!Name]], "rg:None")</f>
        <v>ICBCNetWt</v>
      </c>
      <c r="V60" s="10" t="str">
        <f>IF(LEN(Table2[[#This Row],[!Description]]) &gt; 0, Table2[[#This Row],[!Description]], "rg:None")</f>
        <v>Vehicle net weight in kgs</v>
      </c>
      <c r="W60" s="10" t="str">
        <f>IF(LEN(Table2[[#This Row],[!FK]])&gt;0,Table2[[#This Row],[!FK]],"rg:None")</f>
        <v>rg:None</v>
      </c>
      <c r="X60" s="10" t="str">
        <f>IF(LEN(concatif2(A:A,Table2[[#This Row],[!Table]],G:G,"Y",D:D,",")) &gt; 0,"rg:[ { 'req' : '"&amp;concatif2(A:A,Table2[[#This Row],[!Table]],G:G,"Y",D:D,"' }, { 'req': '")&amp;"'} ]","rg:[]")</f>
        <v>rg:[ { 'req' : 'id'} ]</v>
      </c>
      <c r="Y60" s="10" t="str">
        <f>IF(LEN(Table2[[#This Row],[!Unique]])&gt;0,"rg:True","rg:None")</f>
        <v>rg:None</v>
      </c>
    </row>
    <row r="61" spans="1:25" x14ac:dyDescent="0.3">
      <c r="A61" s="3" t="s">
        <v>65</v>
      </c>
      <c r="B61" s="3" t="s">
        <v>8</v>
      </c>
      <c r="C61" s="3">
        <v>255</v>
      </c>
      <c r="D61" s="5" t="s">
        <v>150</v>
      </c>
      <c r="E61" s="52" t="s">
        <v>391</v>
      </c>
      <c r="F61" s="3" t="s">
        <v>6</v>
      </c>
      <c r="G61" s="4"/>
      <c r="H61" s="4"/>
      <c r="I61" s="5" t="str">
        <f t="shared" si="2"/>
        <v>Defs</v>
      </c>
      <c r="J61" t="str">
        <f>IF(Table2[[#This Row],[!Type]]=J$1, J$1,"rg:None")</f>
        <v>rg:None</v>
      </c>
      <c r="K61" t="str">
        <f>IF(Table2[[#This Row],[!Type]]=K$1, K$1,"rg:None")</f>
        <v>rg:None</v>
      </c>
      <c r="L61" t="str">
        <f>IF(Table2[[#This Row],[!Type]]=L$1, L$1,"rg:None")</f>
        <v>rg:None</v>
      </c>
      <c r="M61" t="str">
        <f>IF(Table2[[#This Row],[!Type]]=M$1, M$1,"rg:None")</f>
        <v>rg:None</v>
      </c>
      <c r="N61" s="10" t="str">
        <f>IF(Table2[[#This Row],[!Type]]=N$1, N$1,"rg:None")</f>
        <v>rg:None</v>
      </c>
      <c r="O61" s="10" t="str">
        <f>IF(Table2[[#This Row],[!Type]]=O$1, O$1,"rg:None")</f>
        <v>rg:None</v>
      </c>
      <c r="P61" s="5" t="str">
        <f>IF(Table2[[#This Row],[!Type]]=P$1, P$1,"rg:None")</f>
        <v>rg:None</v>
      </c>
      <c r="Q61" s="5" t="str">
        <f>IF(Table2[[#This Row],[!Type]]=Q$1, Q$1,"rg:None")</f>
        <v>rg:None</v>
      </c>
      <c r="R61" s="5" t="str">
        <f>IF(Table2[[#This Row],[!Type]]=R$1, R$1,"rg:None")</f>
        <v>string</v>
      </c>
      <c r="S61" s="5" t="str">
        <f>IF(Table2[[#This Row],[!Type]]=S$1, S$1,"rg:None")</f>
        <v>rg:None</v>
      </c>
      <c r="T61" s="10">
        <f>IF(LEN(Table2[[#This Row],[!Length]]) &gt; 0, Table2[[#This Row],[!Length]], "rg:None")</f>
        <v>255</v>
      </c>
      <c r="U61" s="10" t="str">
        <f>IF(LEN(Table2[[#This Row],[!Name]]) &gt; 0, Table2[[#This Row],[!Name]], "rg:None")</f>
        <v>ICBCModel</v>
      </c>
      <c r="V61" s="10" t="str">
        <f>IF(LEN(Table2[[#This Row],[!Description]]) &gt; 0, Table2[[#This Row],[!Description]], "rg:None")</f>
        <v>Vehicle model codes used by ICBC - for example bus, scbus, dump, logtr</v>
      </c>
      <c r="W61" s="10" t="str">
        <f>IF(LEN(Table2[[#This Row],[!FK]])&gt;0,Table2[[#This Row],[!FK]],"rg:None")</f>
        <v>rg:None</v>
      </c>
      <c r="X61" s="10" t="str">
        <f>IF(LEN(concatif2(A:A,Table2[[#This Row],[!Table]],G:G,"Y",D:D,",")) &gt; 0,"rg:[ { 'req' : '"&amp;concatif2(A:A,Table2[[#This Row],[!Table]],G:G,"Y",D:D,"' }, { 'req': '")&amp;"'} ]","rg:[]")</f>
        <v>rg:[ { 'req' : 'id'} ]</v>
      </c>
      <c r="Y61" s="10" t="str">
        <f>IF(LEN(Table2[[#This Row],[!Unique]])&gt;0,"rg:True","rg:None")</f>
        <v>rg:None</v>
      </c>
    </row>
    <row r="62" spans="1:25" x14ac:dyDescent="0.3">
      <c r="A62" s="3" t="s">
        <v>65</v>
      </c>
      <c r="B62" s="3" t="s">
        <v>8</v>
      </c>
      <c r="C62" s="3">
        <v>255</v>
      </c>
      <c r="D62" s="5" t="s">
        <v>151</v>
      </c>
      <c r="E62" s="27" t="s">
        <v>322</v>
      </c>
      <c r="F62" s="3" t="s">
        <v>6</v>
      </c>
      <c r="G62" s="4"/>
      <c r="H62" s="4"/>
      <c r="I62" s="5" t="str">
        <f t="shared" si="2"/>
        <v>Defs</v>
      </c>
      <c r="J62" t="str">
        <f>IF(Table2[[#This Row],[!Type]]=J$1, J$1,"rg:None")</f>
        <v>rg:None</v>
      </c>
      <c r="K62" t="str">
        <f>IF(Table2[[#This Row],[!Type]]=K$1, K$1,"rg:None")</f>
        <v>rg:None</v>
      </c>
      <c r="L62" t="str">
        <f>IF(Table2[[#This Row],[!Type]]=L$1, L$1,"rg:None")</f>
        <v>rg:None</v>
      </c>
      <c r="M62" t="str">
        <f>IF(Table2[[#This Row],[!Type]]=M$1, M$1,"rg:None")</f>
        <v>rg:None</v>
      </c>
      <c r="N62" s="10" t="str">
        <f>IF(Table2[[#This Row],[!Type]]=N$1, N$1,"rg:None")</f>
        <v>rg:None</v>
      </c>
      <c r="O62" s="10" t="str">
        <f>IF(Table2[[#This Row],[!Type]]=O$1, O$1,"rg:None")</f>
        <v>rg:None</v>
      </c>
      <c r="P62" s="5" t="str">
        <f>IF(Table2[[#This Row],[!Type]]=P$1, P$1,"rg:None")</f>
        <v>rg:None</v>
      </c>
      <c r="Q62" s="5" t="str">
        <f>IF(Table2[[#This Row],[!Type]]=Q$1, Q$1,"rg:None")</f>
        <v>rg:None</v>
      </c>
      <c r="R62" s="5" t="str">
        <f>IF(Table2[[#This Row],[!Type]]=R$1, R$1,"rg:None")</f>
        <v>string</v>
      </c>
      <c r="S62" s="5" t="str">
        <f>IF(Table2[[#This Row],[!Type]]=S$1, S$1,"rg:None")</f>
        <v>rg:None</v>
      </c>
      <c r="T62" s="10">
        <f>IF(LEN(Table2[[#This Row],[!Length]]) &gt; 0, Table2[[#This Row],[!Length]], "rg:None")</f>
        <v>255</v>
      </c>
      <c r="U62" s="10" t="str">
        <f>IF(LEN(Table2[[#This Row],[!Name]]) &gt; 0, Table2[[#This Row],[!Name]], "rg:None")</f>
        <v>ICBCFuel</v>
      </c>
      <c r="V62" s="10" t="str">
        <f>IF(LEN(Table2[[#This Row],[!Description]]) &gt; 0, Table2[[#This Row],[!Description]], "rg:None")</f>
        <v>Fuel type gasoline, propane, diesel etc..</v>
      </c>
      <c r="W62" s="10" t="str">
        <f>IF(LEN(Table2[[#This Row],[!FK]])&gt;0,Table2[[#This Row],[!FK]],"rg:None")</f>
        <v>rg:None</v>
      </c>
      <c r="X62" s="10" t="str">
        <f>IF(LEN(concatif2(A:A,Table2[[#This Row],[!Table]],G:G,"Y",D:D,",")) &gt; 0,"rg:[ { 'req' : '"&amp;concatif2(A:A,Table2[[#This Row],[!Table]],G:G,"Y",D:D,"' }, { 'req': '")&amp;"'} ]","rg:[]")</f>
        <v>rg:[ { 'req' : 'id'} ]</v>
      </c>
      <c r="Y62" s="10" t="str">
        <f>IF(LEN(Table2[[#This Row],[!Unique]])&gt;0,"rg:True","rg:None")</f>
        <v>rg:None</v>
      </c>
    </row>
    <row r="63" spans="1:25" x14ac:dyDescent="0.3">
      <c r="A63" s="3" t="s">
        <v>65</v>
      </c>
      <c r="B63" s="3" t="s">
        <v>33</v>
      </c>
      <c r="C63" s="3"/>
      <c r="D63" s="5" t="s">
        <v>152</v>
      </c>
      <c r="E63" s="27" t="s">
        <v>323</v>
      </c>
      <c r="F63" s="3" t="s">
        <v>6</v>
      </c>
      <c r="G63" s="4"/>
      <c r="H63" s="4"/>
      <c r="I63" s="5" t="str">
        <f t="shared" si="2"/>
        <v>Defs</v>
      </c>
      <c r="J63" t="str">
        <f>IF(Table2[[#This Row],[!Type]]=J$1, J$1,"rg:None")</f>
        <v>rg:None</v>
      </c>
      <c r="K63" t="str">
        <f>IF(Table2[[#This Row],[!Type]]=K$1, K$1,"rg:None")</f>
        <v>rg:None</v>
      </c>
      <c r="L63" t="str">
        <f>IF(Table2[[#This Row],[!Type]]=L$1, L$1,"rg:None")</f>
        <v>rg:None</v>
      </c>
      <c r="M63" t="str">
        <f>IF(Table2[[#This Row],[!Type]]=M$1, M$1,"rg:None")</f>
        <v>rg:None</v>
      </c>
      <c r="N63" s="10" t="str">
        <f>IF(Table2[[#This Row],[!Type]]=N$1, N$1,"rg:None")</f>
        <v>integer</v>
      </c>
      <c r="O63" s="10" t="str">
        <f>IF(Table2[[#This Row],[!Type]]=O$1, O$1,"rg:None")</f>
        <v>rg:None</v>
      </c>
      <c r="P63" s="5" t="str">
        <f>IF(Table2[[#This Row],[!Type]]=P$1, P$1,"rg:None")</f>
        <v>rg:None</v>
      </c>
      <c r="Q63" s="5" t="str">
        <f>IF(Table2[[#This Row],[!Type]]=Q$1, Q$1,"rg:None")</f>
        <v>rg:None</v>
      </c>
      <c r="R63" s="5" t="str">
        <f>IF(Table2[[#This Row],[!Type]]=R$1, R$1,"rg:None")</f>
        <v>rg:None</v>
      </c>
      <c r="S63" s="5" t="str">
        <f>IF(Table2[[#This Row],[!Type]]=S$1, S$1,"rg:None")</f>
        <v>rg:None</v>
      </c>
      <c r="T63" s="10" t="str">
        <f>IF(LEN(Table2[[#This Row],[!Length]]) &gt; 0, Table2[[#This Row],[!Length]], "rg:None")</f>
        <v>rg:None</v>
      </c>
      <c r="U63" s="10" t="str">
        <f>IF(LEN(Table2[[#This Row],[!Name]]) &gt; 0, Table2[[#This Row],[!Name]], "rg:None")</f>
        <v>ICBCSeatingCapacity</v>
      </c>
      <c r="V63" s="10" t="str">
        <f>IF(LEN(Table2[[#This Row],[!Description]]) &gt; 0, Table2[[#This Row],[!Description]], "rg:None")</f>
        <v>Vehicle seating capacity including driver</v>
      </c>
      <c r="W63" s="10" t="str">
        <f>IF(LEN(Table2[[#This Row],[!FK]])&gt;0,Table2[[#This Row],[!FK]],"rg:None")</f>
        <v>rg:None</v>
      </c>
      <c r="X63" s="10" t="str">
        <f>IF(LEN(concatif2(A:A,Table2[[#This Row],[!Table]],G:G,"Y",D:D,",")) &gt; 0,"rg:[ { 'req' : '"&amp;concatif2(A:A,Table2[[#This Row],[!Table]],G:G,"Y",D:D,"' }, { 'req': '")&amp;"'} ]","rg:[]")</f>
        <v>rg:[ { 'req' : 'id'} ]</v>
      </c>
      <c r="Y63" s="10" t="str">
        <f>IF(LEN(Table2[[#This Row],[!Unique]])&gt;0,"rg:True","rg:None")</f>
        <v>rg:None</v>
      </c>
    </row>
    <row r="64" spans="1:25" x14ac:dyDescent="0.3">
      <c r="A64" s="3" t="s">
        <v>65</v>
      </c>
      <c r="B64" s="3" t="s">
        <v>8</v>
      </c>
      <c r="C64" s="3">
        <v>255</v>
      </c>
      <c r="D64" s="5" t="s">
        <v>153</v>
      </c>
      <c r="E64" s="27" t="s">
        <v>324</v>
      </c>
      <c r="F64" s="3" t="s">
        <v>6</v>
      </c>
      <c r="G64" s="4"/>
      <c r="H64" s="4"/>
      <c r="I64" s="5" t="str">
        <f t="shared" si="2"/>
        <v>Defs</v>
      </c>
      <c r="J64" t="str">
        <f>IF(Table2[[#This Row],[!Type]]=J$1, J$1,"rg:None")</f>
        <v>rg:None</v>
      </c>
      <c r="K64" t="str">
        <f>IF(Table2[[#This Row],[!Type]]=K$1, K$1,"rg:None")</f>
        <v>rg:None</v>
      </c>
      <c r="L64" t="str">
        <f>IF(Table2[[#This Row],[!Type]]=L$1, L$1,"rg:None")</f>
        <v>rg:None</v>
      </c>
      <c r="M64" t="str">
        <f>IF(Table2[[#This Row],[!Type]]=M$1, M$1,"rg:None")</f>
        <v>rg:None</v>
      </c>
      <c r="N64" s="10" t="str">
        <f>IF(Table2[[#This Row],[!Type]]=N$1, N$1,"rg:None")</f>
        <v>rg:None</v>
      </c>
      <c r="O64" s="10" t="str">
        <f>IF(Table2[[#This Row],[!Type]]=O$1, O$1,"rg:None")</f>
        <v>rg:None</v>
      </c>
      <c r="P64" s="5" t="str">
        <f>IF(Table2[[#This Row],[!Type]]=P$1, P$1,"rg:None")</f>
        <v>rg:None</v>
      </c>
      <c r="Q64" s="5" t="str">
        <f>IF(Table2[[#This Row],[!Type]]=Q$1, Q$1,"rg:None")</f>
        <v>rg:None</v>
      </c>
      <c r="R64" s="5" t="str">
        <f>IF(Table2[[#This Row],[!Type]]=R$1, R$1,"rg:None")</f>
        <v>string</v>
      </c>
      <c r="S64" s="5" t="str">
        <f>IF(Table2[[#This Row],[!Type]]=S$1, S$1,"rg:None")</f>
        <v>rg:None</v>
      </c>
      <c r="T64" s="10">
        <f>IF(LEN(Table2[[#This Row],[!Length]]) &gt; 0, Table2[[#This Row],[!Length]], "rg:None")</f>
        <v>255</v>
      </c>
      <c r="U64" s="10" t="str">
        <f>IF(LEN(Table2[[#This Row],[!Name]]) &gt; 0, Table2[[#This Row],[!Name]], "rg:None")</f>
        <v>ICBCColour</v>
      </c>
      <c r="V64" s="10" t="str">
        <f>IF(LEN(Table2[[#This Row],[!Description]]) &gt; 0, Table2[[#This Row],[!Description]], "rg:None")</f>
        <v>Vehicle color ex BLU, WHI, etc..</v>
      </c>
      <c r="W64" s="10" t="str">
        <f>IF(LEN(Table2[[#This Row],[!FK]])&gt;0,Table2[[#This Row],[!FK]],"rg:None")</f>
        <v>rg:None</v>
      </c>
      <c r="X64" s="10" t="str">
        <f>IF(LEN(concatif2(A:A,Table2[[#This Row],[!Table]],G:G,"Y",D:D,",")) &gt; 0,"rg:[ { 'req' : '"&amp;concatif2(A:A,Table2[[#This Row],[!Table]],G:G,"Y",D:D,"' }, { 'req': '")&amp;"'} ]","rg:[]")</f>
        <v>rg:[ { 'req' : 'id'} ]</v>
      </c>
      <c r="Y64" s="10" t="str">
        <f>IF(LEN(Table2[[#This Row],[!Unique]])&gt;0,"rg:True","rg:None")</f>
        <v>rg:None</v>
      </c>
    </row>
    <row r="65" spans="1:25" x14ac:dyDescent="0.3">
      <c r="A65" s="3" t="s">
        <v>65</v>
      </c>
      <c r="B65" s="3" t="s">
        <v>8</v>
      </c>
      <c r="C65" s="3">
        <v>255</v>
      </c>
      <c r="D65" s="5" t="s">
        <v>154</v>
      </c>
      <c r="E65" s="43" t="s">
        <v>359</v>
      </c>
      <c r="F65" s="3" t="s">
        <v>6</v>
      </c>
      <c r="G65" s="4"/>
      <c r="H65" s="4"/>
      <c r="I65" s="5" t="str">
        <f t="shared" si="2"/>
        <v>Defs</v>
      </c>
      <c r="J65" t="str">
        <f>IF(Table2[[#This Row],[!Type]]=J$1, J$1,"rg:None")</f>
        <v>rg:None</v>
      </c>
      <c r="K65" t="str">
        <f>IF(Table2[[#This Row],[!Type]]=K$1, K$1,"rg:None")</f>
        <v>rg:None</v>
      </c>
      <c r="L65" t="str">
        <f>IF(Table2[[#This Row],[!Type]]=L$1, L$1,"rg:None")</f>
        <v>rg:None</v>
      </c>
      <c r="M65" t="str">
        <f>IF(Table2[[#This Row],[!Type]]=M$1, M$1,"rg:None")</f>
        <v>rg:None</v>
      </c>
      <c r="N65" s="10" t="str">
        <f>IF(Table2[[#This Row],[!Type]]=N$1, N$1,"rg:None")</f>
        <v>rg:None</v>
      </c>
      <c r="O65" s="10" t="str">
        <f>IF(Table2[[#This Row],[!Type]]=O$1, O$1,"rg:None")</f>
        <v>rg:None</v>
      </c>
      <c r="P65" s="5" t="str">
        <f>IF(Table2[[#This Row],[!Type]]=P$1, P$1,"rg:None")</f>
        <v>rg:None</v>
      </c>
      <c r="Q65" s="5" t="str">
        <f>IF(Table2[[#This Row],[!Type]]=Q$1, Q$1,"rg:None")</f>
        <v>rg:None</v>
      </c>
      <c r="R65" s="5" t="str">
        <f>IF(Table2[[#This Row],[!Type]]=R$1, R$1,"rg:None")</f>
        <v>string</v>
      </c>
      <c r="S65" s="5" t="str">
        <f>IF(Table2[[#This Row],[!Type]]=S$1, S$1,"rg:None")</f>
        <v>rg:None</v>
      </c>
      <c r="T65" s="10">
        <f>IF(LEN(Table2[[#This Row],[!Length]]) &gt; 0, Table2[[#This Row],[!Length]], "rg:None")</f>
        <v>255</v>
      </c>
      <c r="U65" s="10" t="str">
        <f>IF(LEN(Table2[[#This Row],[!Name]]) &gt; 0, Table2[[#This Row],[!Name]], "rg:None")</f>
        <v>ICBCNotesAndOrders</v>
      </c>
      <c r="V65" s="10" t="str">
        <f>IF(LEN(Table2[[#This Row],[!Description]]) &gt; 0, Table2[[#This Row],[!Description]], "rg:None")</f>
        <v>Notes and orders from ICBC about the vehicle.</v>
      </c>
      <c r="W65" s="10" t="str">
        <f>IF(LEN(Table2[[#This Row],[!FK]])&gt;0,Table2[[#This Row],[!FK]],"rg:None")</f>
        <v>rg:None</v>
      </c>
      <c r="X65" s="10" t="str">
        <f>IF(LEN(concatif2(A:A,Table2[[#This Row],[!Table]],G:G,"Y",D:D,",")) &gt; 0,"rg:[ { 'req' : '"&amp;concatif2(A:A,Table2[[#This Row],[!Table]],G:G,"Y",D:D,"' }, { 'req': '")&amp;"'} ]","rg:[]")</f>
        <v>rg:[ { 'req' : 'id'} ]</v>
      </c>
      <c r="Y65" s="10" t="str">
        <f>IF(LEN(Table2[[#This Row],[!Unique]])&gt;0,"rg:True","rg:None")</f>
        <v>rg:None</v>
      </c>
    </row>
    <row r="66" spans="1:25" x14ac:dyDescent="0.3">
      <c r="A66" s="3" t="s">
        <v>65</v>
      </c>
      <c r="B66" s="3" t="s">
        <v>25</v>
      </c>
      <c r="C66" s="3"/>
      <c r="D66" s="5" t="s">
        <v>155</v>
      </c>
      <c r="E66" s="43" t="s">
        <v>385</v>
      </c>
      <c r="F66" s="3" t="s">
        <v>6</v>
      </c>
      <c r="G66" s="4"/>
      <c r="H66" s="4"/>
      <c r="I66" s="5" t="str">
        <f t="shared" si="2"/>
        <v>Defs</v>
      </c>
      <c r="J66" t="str">
        <f>IF(Table2[[#This Row],[!Type]]=J$1, J$1,"rg:None")</f>
        <v>rg:None</v>
      </c>
      <c r="K66" t="str">
        <f>IF(Table2[[#This Row],[!Type]]=K$1, K$1,"rg:None")</f>
        <v>rg:None</v>
      </c>
      <c r="L66" t="str">
        <f>IF(Table2[[#This Row],[!Type]]=L$1, L$1,"rg:None")</f>
        <v>datetime</v>
      </c>
      <c r="M66" t="str">
        <f>IF(Table2[[#This Row],[!Type]]=M$1, M$1,"rg:None")</f>
        <v>rg:None</v>
      </c>
      <c r="N66" s="10" t="str">
        <f>IF(Table2[[#This Row],[!Type]]=N$1, N$1,"rg:None")</f>
        <v>rg:None</v>
      </c>
      <c r="O66" s="10" t="str">
        <f>IF(Table2[[#This Row],[!Type]]=O$1, O$1,"rg:None")</f>
        <v>rg:None</v>
      </c>
      <c r="P66" s="5" t="str">
        <f>IF(Table2[[#This Row],[!Type]]=P$1, P$1,"rg:None")</f>
        <v>rg:None</v>
      </c>
      <c r="Q66" s="5" t="str">
        <f>IF(Table2[[#This Row],[!Type]]=Q$1, Q$1,"rg:None")</f>
        <v>rg:None</v>
      </c>
      <c r="R66" s="5" t="str">
        <f>IF(Table2[[#This Row],[!Type]]=R$1, R$1,"rg:None")</f>
        <v>rg:None</v>
      </c>
      <c r="S66" s="5" t="str">
        <f>IF(Table2[[#This Row],[!Type]]=S$1, S$1,"rg:None")</f>
        <v>rg:None</v>
      </c>
      <c r="T66" s="10" t="str">
        <f>IF(LEN(Table2[[#This Row],[!Length]]) &gt; 0, Table2[[#This Row],[!Length]], "rg:None")</f>
        <v>rg:None</v>
      </c>
      <c r="U66" s="10" t="str">
        <f>IF(LEN(Table2[[#This Row],[!Name]]) &gt; 0, Table2[[#This Row],[!Name]], "rg:None")</f>
        <v>ICBCOrderedOn</v>
      </c>
      <c r="V66" s="10" t="str">
        <f>IF(LEN(Table2[[#This Row],[!Description]]) &gt; 0, Table2[[#This Row],[!Description]], "rg:None")</f>
        <v>TO BE DETERMINED</v>
      </c>
      <c r="W66" s="10" t="str">
        <f>IF(LEN(Table2[[#This Row],[!FK]])&gt;0,Table2[[#This Row],[!FK]],"rg:None")</f>
        <v>rg:None</v>
      </c>
      <c r="X66" s="10" t="str">
        <f>IF(LEN(concatif2(A:A,Table2[[#This Row],[!Table]],G:G,"Y",D:D,",")) &gt; 0,"rg:[ { 'req' : '"&amp;concatif2(A:A,Table2[[#This Row],[!Table]],G:G,"Y",D:D,"' }, { 'req': '")&amp;"'} ]","rg:[]")</f>
        <v>rg:[ { 'req' : 'id'} ]</v>
      </c>
      <c r="Y66" s="10" t="str">
        <f>IF(LEN(Table2[[#This Row],[!Unique]])&gt;0,"rg:True","rg:None")</f>
        <v>rg:None</v>
      </c>
    </row>
    <row r="67" spans="1:25" x14ac:dyDescent="0.3">
      <c r="A67" s="3" t="s">
        <v>65</v>
      </c>
      <c r="B67" s="3" t="s">
        <v>8</v>
      </c>
      <c r="C67" s="3">
        <v>255</v>
      </c>
      <c r="D67" s="5" t="s">
        <v>156</v>
      </c>
      <c r="E67" s="43" t="s">
        <v>360</v>
      </c>
      <c r="F67" s="3" t="s">
        <v>6</v>
      </c>
      <c r="G67" s="4"/>
      <c r="H67" s="4"/>
      <c r="I67" s="5" t="str">
        <f t="shared" si="2"/>
        <v>Defs</v>
      </c>
      <c r="J67" t="str">
        <f>IF(Table2[[#This Row],[!Type]]=J$1, J$1,"rg:None")</f>
        <v>rg:None</v>
      </c>
      <c r="K67" t="str">
        <f>IF(Table2[[#This Row],[!Type]]=K$1, K$1,"rg:None")</f>
        <v>rg:None</v>
      </c>
      <c r="L67" t="str">
        <f>IF(Table2[[#This Row],[!Type]]=L$1, L$1,"rg:None")</f>
        <v>rg:None</v>
      </c>
      <c r="M67" t="str">
        <f>IF(Table2[[#This Row],[!Type]]=M$1, M$1,"rg:None")</f>
        <v>rg:None</v>
      </c>
      <c r="N67" s="10" t="str">
        <f>IF(Table2[[#This Row],[!Type]]=N$1, N$1,"rg:None")</f>
        <v>rg:None</v>
      </c>
      <c r="O67" s="10" t="str">
        <f>IF(Table2[[#This Row],[!Type]]=O$1, O$1,"rg:None")</f>
        <v>rg:None</v>
      </c>
      <c r="P67" s="5" t="str">
        <f>IF(Table2[[#This Row],[!Type]]=P$1, P$1,"rg:None")</f>
        <v>rg:None</v>
      </c>
      <c r="Q67" s="5" t="str">
        <f>IF(Table2[[#This Row],[!Type]]=Q$1, Q$1,"rg:None")</f>
        <v>rg:None</v>
      </c>
      <c r="R67" s="5" t="str">
        <f>IF(Table2[[#This Row],[!Type]]=R$1, R$1,"rg:None")</f>
        <v>string</v>
      </c>
      <c r="S67" s="5" t="str">
        <f>IF(Table2[[#This Row],[!Type]]=S$1, S$1,"rg:None")</f>
        <v>rg:None</v>
      </c>
      <c r="T67" s="10">
        <f>IF(LEN(Table2[[#This Row],[!Length]]) &gt; 0, Table2[[#This Row],[!Length]], "rg:None")</f>
        <v>255</v>
      </c>
      <c r="U67" s="10" t="str">
        <f>IF(LEN(Table2[[#This Row],[!Name]]) &gt; 0, Table2[[#This Row],[!Name]], "rg:None")</f>
        <v>ICBCRegOwnerName</v>
      </c>
      <c r="V67" s="10" t="str">
        <f>IF(LEN(Table2[[#This Row],[!Description]]) &gt; 0, Table2[[#This Row],[!Description]], "rg:None")</f>
        <v>The name of the registered owner of the vehicle - per ICBC.</v>
      </c>
      <c r="W67" s="10" t="str">
        <f>IF(LEN(Table2[[#This Row],[!FK]])&gt;0,Table2[[#This Row],[!FK]],"rg:None")</f>
        <v>rg:None</v>
      </c>
      <c r="X67" s="10" t="str">
        <f>IF(LEN(concatif2(A:A,Table2[[#This Row],[!Table]],G:G,"Y",D:D,",")) &gt; 0,"rg:[ { 'req' : '"&amp;concatif2(A:A,Table2[[#This Row],[!Table]],G:G,"Y",D:D,"' }, { 'req': '")&amp;"'} ]","rg:[]")</f>
        <v>rg:[ { 'req' : 'id'} ]</v>
      </c>
      <c r="Y67" s="10" t="str">
        <f>IF(LEN(Table2[[#This Row],[!Unique]])&gt;0,"rg:True","rg:None")</f>
        <v>rg:None</v>
      </c>
    </row>
    <row r="68" spans="1:25" x14ac:dyDescent="0.3">
      <c r="A68" s="3" t="s">
        <v>65</v>
      </c>
      <c r="B68" s="3" t="s">
        <v>8</v>
      </c>
      <c r="C68" s="3">
        <v>255</v>
      </c>
      <c r="D68" s="5" t="s">
        <v>157</v>
      </c>
      <c r="E68" s="27" t="s">
        <v>325</v>
      </c>
      <c r="F68" s="3" t="s">
        <v>6</v>
      </c>
      <c r="G68" s="4"/>
      <c r="H68" s="4"/>
      <c r="I68" s="5" t="str">
        <f t="shared" si="2"/>
        <v>Defs</v>
      </c>
      <c r="J68" t="str">
        <f>IF(Table2[[#This Row],[!Type]]=J$1, J$1,"rg:None")</f>
        <v>rg:None</v>
      </c>
      <c r="K68" t="str">
        <f>IF(Table2[[#This Row],[!Type]]=K$1, K$1,"rg:None")</f>
        <v>rg:None</v>
      </c>
      <c r="L68" t="str">
        <f>IF(Table2[[#This Row],[!Type]]=L$1, L$1,"rg:None")</f>
        <v>rg:None</v>
      </c>
      <c r="M68" t="str">
        <f>IF(Table2[[#This Row],[!Type]]=M$1, M$1,"rg:None")</f>
        <v>rg:None</v>
      </c>
      <c r="N68" s="10" t="str">
        <f>IF(Table2[[#This Row],[!Type]]=N$1, N$1,"rg:None")</f>
        <v>rg:None</v>
      </c>
      <c r="O68" s="10" t="str">
        <f>IF(Table2[[#This Row],[!Type]]=O$1, O$1,"rg:None")</f>
        <v>rg:None</v>
      </c>
      <c r="P68" s="5" t="str">
        <f>IF(Table2[[#This Row],[!Type]]=P$1, P$1,"rg:None")</f>
        <v>rg:None</v>
      </c>
      <c r="Q68" s="5" t="str">
        <f>IF(Table2[[#This Row],[!Type]]=Q$1, Q$1,"rg:None")</f>
        <v>rg:None</v>
      </c>
      <c r="R68" s="5" t="str">
        <f>IF(Table2[[#This Row],[!Type]]=R$1, R$1,"rg:None")</f>
        <v>string</v>
      </c>
      <c r="S68" s="5" t="str">
        <f>IF(Table2[[#This Row],[!Type]]=S$1, S$1,"rg:None")</f>
        <v>rg:None</v>
      </c>
      <c r="T68" s="10">
        <f>IF(LEN(Table2[[#This Row],[!Length]]) &gt; 0, Table2[[#This Row],[!Length]], "rg:None")</f>
        <v>255</v>
      </c>
      <c r="U68" s="10" t="str">
        <f>IF(LEN(Table2[[#This Row],[!Name]]) &gt; 0, Table2[[#This Row],[!Name]], "rg:None")</f>
        <v>ICBCRegOwnerAddr1</v>
      </c>
      <c r="V68" s="10" t="str">
        <f>IF(LEN(Table2[[#This Row],[!Description]]) &gt; 0, Table2[[#This Row],[!Description]], "rg:None")</f>
        <v>Owners address line 1</v>
      </c>
      <c r="W68" s="10" t="str">
        <f>IF(LEN(Table2[[#This Row],[!FK]])&gt;0,Table2[[#This Row],[!FK]],"rg:None")</f>
        <v>rg:None</v>
      </c>
      <c r="X68" s="10" t="str">
        <f>IF(LEN(concatif2(A:A,Table2[[#This Row],[!Table]],G:G,"Y",D:D,",")) &gt; 0,"rg:[ { 'req' : '"&amp;concatif2(A:A,Table2[[#This Row],[!Table]],G:G,"Y",D:D,"' }, { 'req': '")&amp;"'} ]","rg:[]")</f>
        <v>rg:[ { 'req' : 'id'} ]</v>
      </c>
      <c r="Y68" s="10" t="str">
        <f>IF(LEN(Table2[[#This Row],[!Unique]])&gt;0,"rg:True","rg:None")</f>
        <v>rg:None</v>
      </c>
    </row>
    <row r="69" spans="1:25" x14ac:dyDescent="0.3">
      <c r="A69" s="3" t="s">
        <v>65</v>
      </c>
      <c r="B69" s="3" t="s">
        <v>8</v>
      </c>
      <c r="C69" s="3">
        <v>255</v>
      </c>
      <c r="D69" s="5" t="s">
        <v>158</v>
      </c>
      <c r="E69" s="27" t="s">
        <v>326</v>
      </c>
      <c r="F69" s="3" t="s">
        <v>6</v>
      </c>
      <c r="G69" s="4"/>
      <c r="H69" s="4"/>
      <c r="I69" s="5" t="str">
        <f t="shared" si="2"/>
        <v>Defs</v>
      </c>
      <c r="J69" t="str">
        <f>IF(Table2[[#This Row],[!Type]]=J$1, J$1,"rg:None")</f>
        <v>rg:None</v>
      </c>
      <c r="K69" t="str">
        <f>IF(Table2[[#This Row],[!Type]]=K$1, K$1,"rg:None")</f>
        <v>rg:None</v>
      </c>
      <c r="L69" t="str">
        <f>IF(Table2[[#This Row],[!Type]]=L$1, L$1,"rg:None")</f>
        <v>rg:None</v>
      </c>
      <c r="M69" t="str">
        <f>IF(Table2[[#This Row],[!Type]]=M$1, M$1,"rg:None")</f>
        <v>rg:None</v>
      </c>
      <c r="N69" s="10" t="str">
        <f>IF(Table2[[#This Row],[!Type]]=N$1, N$1,"rg:None")</f>
        <v>rg:None</v>
      </c>
      <c r="O69" s="10" t="str">
        <f>IF(Table2[[#This Row],[!Type]]=O$1, O$1,"rg:None")</f>
        <v>rg:None</v>
      </c>
      <c r="P69" s="5" t="str">
        <f>IF(Table2[[#This Row],[!Type]]=P$1, P$1,"rg:None")</f>
        <v>rg:None</v>
      </c>
      <c r="Q69" s="5" t="str">
        <f>IF(Table2[[#This Row],[!Type]]=Q$1, Q$1,"rg:None")</f>
        <v>rg:None</v>
      </c>
      <c r="R69" s="5" t="str">
        <f>IF(Table2[[#This Row],[!Type]]=R$1, R$1,"rg:None")</f>
        <v>string</v>
      </c>
      <c r="S69" s="5" t="str">
        <f>IF(Table2[[#This Row],[!Type]]=S$1, S$1,"rg:None")</f>
        <v>rg:None</v>
      </c>
      <c r="T69" s="10">
        <f>IF(LEN(Table2[[#This Row],[!Length]]) &gt; 0, Table2[[#This Row],[!Length]], "rg:None")</f>
        <v>255</v>
      </c>
      <c r="U69" s="10" t="str">
        <f>IF(LEN(Table2[[#This Row],[!Name]]) &gt; 0, Table2[[#This Row],[!Name]], "rg:None")</f>
        <v>ICBCRegOwnerAddr2</v>
      </c>
      <c r="V69" s="10" t="str">
        <f>IF(LEN(Table2[[#This Row],[!Description]]) &gt; 0, Table2[[#This Row],[!Description]], "rg:None")</f>
        <v>Owners address line 2</v>
      </c>
      <c r="W69" s="10" t="str">
        <f>IF(LEN(Table2[[#This Row],[!FK]])&gt;0,Table2[[#This Row],[!FK]],"rg:None")</f>
        <v>rg:None</v>
      </c>
      <c r="X69" s="10" t="str">
        <f>IF(LEN(concatif2(A:A,Table2[[#This Row],[!Table]],G:G,"Y",D:D,",")) &gt; 0,"rg:[ { 'req' : '"&amp;concatif2(A:A,Table2[[#This Row],[!Table]],G:G,"Y",D:D,"' }, { 'req': '")&amp;"'} ]","rg:[]")</f>
        <v>rg:[ { 'req' : 'id'} ]</v>
      </c>
      <c r="Y69" s="10" t="str">
        <f>IF(LEN(Table2[[#This Row],[!Unique]])&gt;0,"rg:True","rg:None")</f>
        <v>rg:None</v>
      </c>
    </row>
    <row r="70" spans="1:25" x14ac:dyDescent="0.3">
      <c r="A70" s="3" t="s">
        <v>65</v>
      </c>
      <c r="B70" s="3" t="s">
        <v>8</v>
      </c>
      <c r="C70" s="3">
        <v>255</v>
      </c>
      <c r="D70" s="5" t="s">
        <v>159</v>
      </c>
      <c r="E70" s="27" t="s">
        <v>327</v>
      </c>
      <c r="F70" s="3" t="s">
        <v>6</v>
      </c>
      <c r="G70" s="4"/>
      <c r="H70" s="4"/>
      <c r="I70" s="5" t="str">
        <f t="shared" si="2"/>
        <v>Defs</v>
      </c>
      <c r="J70" t="str">
        <f>IF(Table2[[#This Row],[!Type]]=J$1, J$1,"rg:None")</f>
        <v>rg:None</v>
      </c>
      <c r="K70" t="str">
        <f>IF(Table2[[#This Row],[!Type]]=K$1, K$1,"rg:None")</f>
        <v>rg:None</v>
      </c>
      <c r="L70" t="str">
        <f>IF(Table2[[#This Row],[!Type]]=L$1, L$1,"rg:None")</f>
        <v>rg:None</v>
      </c>
      <c r="M70" t="str">
        <f>IF(Table2[[#This Row],[!Type]]=M$1, M$1,"rg:None")</f>
        <v>rg:None</v>
      </c>
      <c r="N70" s="10" t="str">
        <f>IF(Table2[[#This Row],[!Type]]=N$1, N$1,"rg:None")</f>
        <v>rg:None</v>
      </c>
      <c r="O70" s="10" t="str">
        <f>IF(Table2[[#This Row],[!Type]]=O$1, O$1,"rg:None")</f>
        <v>rg:None</v>
      </c>
      <c r="P70" s="5" t="str">
        <f>IF(Table2[[#This Row],[!Type]]=P$1, P$1,"rg:None")</f>
        <v>rg:None</v>
      </c>
      <c r="Q70" s="5" t="str">
        <f>IF(Table2[[#This Row],[!Type]]=Q$1, Q$1,"rg:None")</f>
        <v>rg:None</v>
      </c>
      <c r="R70" s="5" t="str">
        <f>IF(Table2[[#This Row],[!Type]]=R$1, R$1,"rg:None")</f>
        <v>string</v>
      </c>
      <c r="S70" s="5" t="str">
        <f>IF(Table2[[#This Row],[!Type]]=S$1, S$1,"rg:None")</f>
        <v>rg:None</v>
      </c>
      <c r="T70" s="10">
        <f>IF(LEN(Table2[[#This Row],[!Length]]) &gt; 0, Table2[[#This Row],[!Length]], "rg:None")</f>
        <v>255</v>
      </c>
      <c r="U70" s="10" t="str">
        <f>IF(LEN(Table2[[#This Row],[!Name]]) &gt; 0, Table2[[#This Row],[!Name]], "rg:None")</f>
        <v>ICBCRegOwnerCity</v>
      </c>
      <c r="V70" s="10" t="str">
        <f>IF(LEN(Table2[[#This Row],[!Description]]) &gt; 0, Table2[[#This Row],[!Description]], "rg:None")</f>
        <v>Owners address city</v>
      </c>
      <c r="W70" s="10" t="str">
        <f>IF(LEN(Table2[[#This Row],[!FK]])&gt;0,Table2[[#This Row],[!FK]],"rg:None")</f>
        <v>rg:None</v>
      </c>
      <c r="X70" s="10" t="str">
        <f>IF(LEN(concatif2(A:A,Table2[[#This Row],[!Table]],G:G,"Y",D:D,",")) &gt; 0,"rg:[ { 'req' : '"&amp;concatif2(A:A,Table2[[#This Row],[!Table]],G:G,"Y",D:D,"' }, { 'req': '")&amp;"'} ]","rg:[]")</f>
        <v>rg:[ { 'req' : 'id'} ]</v>
      </c>
      <c r="Y70" s="10" t="str">
        <f>IF(LEN(Table2[[#This Row],[!Unique]])&gt;0,"rg:True","rg:None")</f>
        <v>rg:None</v>
      </c>
    </row>
    <row r="71" spans="1:25" x14ac:dyDescent="0.3">
      <c r="A71" s="3" t="s">
        <v>65</v>
      </c>
      <c r="B71" s="3" t="s">
        <v>8</v>
      </c>
      <c r="C71" s="3">
        <v>255</v>
      </c>
      <c r="D71" s="5" t="s">
        <v>160</v>
      </c>
      <c r="E71" s="27" t="s">
        <v>328</v>
      </c>
      <c r="F71" s="3" t="s">
        <v>6</v>
      </c>
      <c r="G71" s="4"/>
      <c r="H71" s="4"/>
      <c r="I71" s="5" t="str">
        <f t="shared" si="2"/>
        <v>Defs</v>
      </c>
      <c r="J71" t="str">
        <f>IF(Table2[[#This Row],[!Type]]=J$1, J$1,"rg:None")</f>
        <v>rg:None</v>
      </c>
      <c r="K71" t="str">
        <f>IF(Table2[[#This Row],[!Type]]=K$1, K$1,"rg:None")</f>
        <v>rg:None</v>
      </c>
      <c r="L71" t="str">
        <f>IF(Table2[[#This Row],[!Type]]=L$1, L$1,"rg:None")</f>
        <v>rg:None</v>
      </c>
      <c r="M71" t="str">
        <f>IF(Table2[[#This Row],[!Type]]=M$1, M$1,"rg:None")</f>
        <v>rg:None</v>
      </c>
      <c r="N71" s="10" t="str">
        <f>IF(Table2[[#This Row],[!Type]]=N$1, N$1,"rg:None")</f>
        <v>rg:None</v>
      </c>
      <c r="O71" s="10" t="str">
        <f>IF(Table2[[#This Row],[!Type]]=O$1, O$1,"rg:None")</f>
        <v>rg:None</v>
      </c>
      <c r="P71" s="5" t="str">
        <f>IF(Table2[[#This Row],[!Type]]=P$1, P$1,"rg:None")</f>
        <v>rg:None</v>
      </c>
      <c r="Q71" s="5" t="str">
        <f>IF(Table2[[#This Row],[!Type]]=Q$1, Q$1,"rg:None")</f>
        <v>rg:None</v>
      </c>
      <c r="R71" s="5" t="str">
        <f>IF(Table2[[#This Row],[!Type]]=R$1, R$1,"rg:None")</f>
        <v>string</v>
      </c>
      <c r="S71" s="5" t="str">
        <f>IF(Table2[[#This Row],[!Type]]=S$1, S$1,"rg:None")</f>
        <v>rg:None</v>
      </c>
      <c r="T71" s="10">
        <f>IF(LEN(Table2[[#This Row],[!Length]]) &gt; 0, Table2[[#This Row],[!Length]], "rg:None")</f>
        <v>255</v>
      </c>
      <c r="U71" s="10" t="str">
        <f>IF(LEN(Table2[[#This Row],[!Name]]) &gt; 0, Table2[[#This Row],[!Name]], "rg:None")</f>
        <v>ICBCRegOwnerProv</v>
      </c>
      <c r="V71" s="10" t="str">
        <f>IF(LEN(Table2[[#This Row],[!Description]]) &gt; 0, Table2[[#This Row],[!Description]], "rg:None")</f>
        <v xml:space="preserve">Owners address Province </v>
      </c>
      <c r="W71" s="10" t="str">
        <f>IF(LEN(Table2[[#This Row],[!FK]])&gt;0,Table2[[#This Row],[!FK]],"rg:None")</f>
        <v>rg:None</v>
      </c>
      <c r="X71" s="10" t="str">
        <f>IF(LEN(concatif2(A:A,Table2[[#This Row],[!Table]],G:G,"Y",D:D,",")) &gt; 0,"rg:[ { 'req' : '"&amp;concatif2(A:A,Table2[[#This Row],[!Table]],G:G,"Y",D:D,"' }, { 'req': '")&amp;"'} ]","rg:[]")</f>
        <v>rg:[ { 'req' : 'id'} ]</v>
      </c>
      <c r="Y71" s="10" t="str">
        <f>IF(LEN(Table2[[#This Row],[!Unique]])&gt;0,"rg:True","rg:None")</f>
        <v>rg:None</v>
      </c>
    </row>
    <row r="72" spans="1:25" x14ac:dyDescent="0.3">
      <c r="A72" s="3" t="s">
        <v>65</v>
      </c>
      <c r="B72" s="3" t="s">
        <v>8</v>
      </c>
      <c r="C72" s="3">
        <v>255</v>
      </c>
      <c r="D72" s="5" t="s">
        <v>161</v>
      </c>
      <c r="E72" s="27" t="s">
        <v>329</v>
      </c>
      <c r="F72" s="3" t="s">
        <v>6</v>
      </c>
      <c r="G72" s="4"/>
      <c r="H72" s="4"/>
      <c r="I72" s="5" t="str">
        <f t="shared" si="2"/>
        <v>Defs</v>
      </c>
      <c r="J72" t="str">
        <f>IF(Table2[[#This Row],[!Type]]=J$1, J$1,"rg:None")</f>
        <v>rg:None</v>
      </c>
      <c r="K72" t="str">
        <f>IF(Table2[[#This Row],[!Type]]=K$1, K$1,"rg:None")</f>
        <v>rg:None</v>
      </c>
      <c r="L72" t="str">
        <f>IF(Table2[[#This Row],[!Type]]=L$1, L$1,"rg:None")</f>
        <v>rg:None</v>
      </c>
      <c r="M72" t="str">
        <f>IF(Table2[[#This Row],[!Type]]=M$1, M$1,"rg:None")</f>
        <v>rg:None</v>
      </c>
      <c r="N72" s="10" t="str">
        <f>IF(Table2[[#This Row],[!Type]]=N$1, N$1,"rg:None")</f>
        <v>rg:None</v>
      </c>
      <c r="O72" s="10" t="str">
        <f>IF(Table2[[#This Row],[!Type]]=O$1, O$1,"rg:None")</f>
        <v>rg:None</v>
      </c>
      <c r="P72" s="5" t="str">
        <f>IF(Table2[[#This Row],[!Type]]=P$1, P$1,"rg:None")</f>
        <v>rg:None</v>
      </c>
      <c r="Q72" s="5" t="str">
        <f>IF(Table2[[#This Row],[!Type]]=Q$1, Q$1,"rg:None")</f>
        <v>rg:None</v>
      </c>
      <c r="R72" s="5" t="str">
        <f>IF(Table2[[#This Row],[!Type]]=R$1, R$1,"rg:None")</f>
        <v>string</v>
      </c>
      <c r="S72" s="5" t="str">
        <f>IF(Table2[[#This Row],[!Type]]=S$1, S$1,"rg:None")</f>
        <v>rg:None</v>
      </c>
      <c r="T72" s="10">
        <f>IF(LEN(Table2[[#This Row],[!Length]]) &gt; 0, Table2[[#This Row],[!Length]], "rg:None")</f>
        <v>255</v>
      </c>
      <c r="U72" s="10" t="str">
        <f>IF(LEN(Table2[[#This Row],[!Name]]) &gt; 0, Table2[[#This Row],[!Name]], "rg:None")</f>
        <v>ICBCRegOwnerPostalCode</v>
      </c>
      <c r="V72" s="10" t="str">
        <f>IF(LEN(Table2[[#This Row],[!Description]]) &gt; 0, Table2[[#This Row],[!Description]], "rg:None")</f>
        <v>Owners address Postal Code</v>
      </c>
      <c r="W72" s="10" t="str">
        <f>IF(LEN(Table2[[#This Row],[!FK]])&gt;0,Table2[[#This Row],[!FK]],"rg:None")</f>
        <v>rg:None</v>
      </c>
      <c r="X72" s="10" t="str">
        <f>IF(LEN(concatif2(A:A,Table2[[#This Row],[!Table]],G:G,"Y",D:D,",")) &gt; 0,"rg:[ { 'req' : '"&amp;concatif2(A:A,Table2[[#This Row],[!Table]],G:G,"Y",D:D,"' }, { 'req': '")&amp;"'} ]","rg:[]")</f>
        <v>rg:[ { 'req' : 'id'} ]</v>
      </c>
      <c r="Y72" s="10" t="str">
        <f>IF(LEN(Table2[[#This Row],[!Unique]])&gt;0,"rg:True","rg:None")</f>
        <v>rg:None</v>
      </c>
    </row>
    <row r="73" spans="1:25" x14ac:dyDescent="0.3">
      <c r="A73" s="3" t="s">
        <v>65</v>
      </c>
      <c r="B73" s="3" t="s">
        <v>8</v>
      </c>
      <c r="C73" s="3">
        <v>255</v>
      </c>
      <c r="D73" s="5" t="s">
        <v>162</v>
      </c>
      <c r="E73" s="43" t="s">
        <v>384</v>
      </c>
      <c r="F73" s="3" t="s">
        <v>6</v>
      </c>
      <c r="G73" s="4"/>
      <c r="H73" s="4"/>
      <c r="I73" s="5" t="str">
        <f t="shared" si="2"/>
        <v>Defs</v>
      </c>
      <c r="J73" t="str">
        <f>IF(Table2[[#This Row],[!Type]]=J$1, J$1,"rg:None")</f>
        <v>rg:None</v>
      </c>
      <c r="K73" t="str">
        <f>IF(Table2[[#This Row],[!Type]]=K$1, K$1,"rg:None")</f>
        <v>rg:None</v>
      </c>
      <c r="L73" t="str">
        <f>IF(Table2[[#This Row],[!Type]]=L$1, L$1,"rg:None")</f>
        <v>rg:None</v>
      </c>
      <c r="M73" t="str">
        <f>IF(Table2[[#This Row],[!Type]]=M$1, M$1,"rg:None")</f>
        <v>rg:None</v>
      </c>
      <c r="N73" s="10" t="str">
        <f>IF(Table2[[#This Row],[!Type]]=N$1, N$1,"rg:None")</f>
        <v>rg:None</v>
      </c>
      <c r="O73" s="10" t="str">
        <f>IF(Table2[[#This Row],[!Type]]=O$1, O$1,"rg:None")</f>
        <v>rg:None</v>
      </c>
      <c r="P73" s="5" t="str">
        <f>IF(Table2[[#This Row],[!Type]]=P$1, P$1,"rg:None")</f>
        <v>rg:None</v>
      </c>
      <c r="Q73" s="5" t="str">
        <f>IF(Table2[[#This Row],[!Type]]=Q$1, Q$1,"rg:None")</f>
        <v>rg:None</v>
      </c>
      <c r="R73" s="5" t="str">
        <f>IF(Table2[[#This Row],[!Type]]=R$1, R$1,"rg:None")</f>
        <v>string</v>
      </c>
      <c r="S73" s="5" t="str">
        <f>IF(Table2[[#This Row],[!Type]]=S$1, S$1,"rg:None")</f>
        <v>rg:None</v>
      </c>
      <c r="T73" s="10">
        <f>IF(LEN(Table2[[#This Row],[!Length]]) &gt; 0, Table2[[#This Row],[!Length]], "rg:None")</f>
        <v>255</v>
      </c>
      <c r="U73" s="10" t="str">
        <f>IF(LEN(Table2[[#This Row],[!Name]]) &gt; 0, Table2[[#This Row],[!Name]], "rg:None")</f>
        <v>ICBCRegOwnerStatus</v>
      </c>
      <c r="V73" s="10" t="str">
        <f>IF(LEN(Table2[[#This Row],[!Description]]) &gt; 0, Table2[[#This Row],[!Description]], "rg:None")</f>
        <v>The status (as defined by ICBC) of the registered owner of the vehicle.</v>
      </c>
      <c r="W73" s="10" t="str">
        <f>IF(LEN(Table2[[#This Row],[!FK]])&gt;0,Table2[[#This Row],[!FK]],"rg:None")</f>
        <v>rg:None</v>
      </c>
      <c r="X73" s="10" t="str">
        <f>IF(LEN(concatif2(A:A,Table2[[#This Row],[!Table]],G:G,"Y",D:D,",")) &gt; 0,"rg:[ { 'req' : '"&amp;concatif2(A:A,Table2[[#This Row],[!Table]],G:G,"Y",D:D,"' }, { 'req': '")&amp;"'} ]","rg:[]")</f>
        <v>rg:[ { 'req' : 'id'} ]</v>
      </c>
      <c r="Y73" s="10" t="str">
        <f>IF(LEN(Table2[[#This Row],[!Unique]])&gt;0,"rg:True","rg:None")</f>
        <v>rg:None</v>
      </c>
    </row>
    <row r="74" spans="1:25" x14ac:dyDescent="0.3">
      <c r="A74" s="3" t="s">
        <v>65</v>
      </c>
      <c r="B74" s="3" t="s">
        <v>8</v>
      </c>
      <c r="C74" s="3">
        <v>255</v>
      </c>
      <c r="D74" s="5" t="s">
        <v>163</v>
      </c>
      <c r="E74" s="27" t="s">
        <v>330</v>
      </c>
      <c r="F74" s="3" t="s">
        <v>6</v>
      </c>
      <c r="G74" s="4"/>
      <c r="H74" s="4"/>
      <c r="I74" s="5" t="str">
        <f t="shared" si="2"/>
        <v>Defs</v>
      </c>
      <c r="J74" t="str">
        <f>IF(Table2[[#This Row],[!Type]]=J$1, J$1,"rg:None")</f>
        <v>rg:None</v>
      </c>
      <c r="K74" t="str">
        <f>IF(Table2[[#This Row],[!Type]]=K$1, K$1,"rg:None")</f>
        <v>rg:None</v>
      </c>
      <c r="L74" t="str">
        <f>IF(Table2[[#This Row],[!Type]]=L$1, L$1,"rg:None")</f>
        <v>rg:None</v>
      </c>
      <c r="M74" t="str">
        <f>IF(Table2[[#This Row],[!Type]]=M$1, M$1,"rg:None")</f>
        <v>rg:None</v>
      </c>
      <c r="N74" s="10" t="str">
        <f>IF(Table2[[#This Row],[!Type]]=N$1, N$1,"rg:None")</f>
        <v>rg:None</v>
      </c>
      <c r="O74" s="10" t="str">
        <f>IF(Table2[[#This Row],[!Type]]=O$1, O$1,"rg:None")</f>
        <v>rg:None</v>
      </c>
      <c r="P74" s="5" t="str">
        <f>IF(Table2[[#This Row],[!Type]]=P$1, P$1,"rg:None")</f>
        <v>rg:None</v>
      </c>
      <c r="Q74" s="5" t="str">
        <f>IF(Table2[[#This Row],[!Type]]=Q$1, Q$1,"rg:None")</f>
        <v>rg:None</v>
      </c>
      <c r="R74" s="5" t="str">
        <f>IF(Table2[[#This Row],[!Type]]=R$1, R$1,"rg:None")</f>
        <v>string</v>
      </c>
      <c r="S74" s="5" t="str">
        <f>IF(Table2[[#This Row],[!Type]]=S$1, S$1,"rg:None")</f>
        <v>rg:None</v>
      </c>
      <c r="T74" s="10">
        <f>IF(LEN(Table2[[#This Row],[!Length]]) &gt; 0, Table2[[#This Row],[!Length]], "rg:None")</f>
        <v>255</v>
      </c>
      <c r="U74" s="10" t="str">
        <f>IF(LEN(Table2[[#This Row],[!Name]]) &gt; 0, Table2[[#This Row],[!Name]], "rg:None")</f>
        <v>ICBCRegOwnerRODL</v>
      </c>
      <c r="V74" s="10" t="str">
        <f>IF(LEN(Table2[[#This Row],[!Description]]) &gt; 0, Table2[[#This Row],[!Description]], "rg:None")</f>
        <v>Registered Owners Driver Licence number</v>
      </c>
      <c r="W74" s="10" t="str">
        <f>IF(LEN(Table2[[#This Row],[!FK]])&gt;0,Table2[[#This Row],[!FK]],"rg:None")</f>
        <v>rg:None</v>
      </c>
      <c r="X74" s="10" t="str">
        <f>IF(LEN(concatif2(A:A,Table2[[#This Row],[!Table]],G:G,"Y",D:D,",")) &gt; 0,"rg:[ { 'req' : '"&amp;concatif2(A:A,Table2[[#This Row],[!Table]],G:G,"Y",D:D,"' }, { 'req': '")&amp;"'} ]","rg:[]")</f>
        <v>rg:[ { 'req' : 'id'} ]</v>
      </c>
      <c r="Y74" s="10" t="str">
        <f>IF(LEN(Table2[[#This Row],[!Unique]])&gt;0,"rg:True","rg:None")</f>
        <v>rg:None</v>
      </c>
    </row>
    <row r="75" spans="1:25" x14ac:dyDescent="0.3">
      <c r="A75" s="3" t="s">
        <v>65</v>
      </c>
      <c r="B75" s="3" t="s">
        <v>8</v>
      </c>
      <c r="C75" s="3">
        <v>255</v>
      </c>
      <c r="D75" s="48" t="s">
        <v>390</v>
      </c>
      <c r="E75" s="27" t="s">
        <v>331</v>
      </c>
      <c r="F75" s="3" t="s">
        <v>6</v>
      </c>
      <c r="G75" s="4"/>
      <c r="H75" s="4"/>
      <c r="I75" s="5" t="str">
        <f t="shared" si="2"/>
        <v>Defs</v>
      </c>
      <c r="J75" t="str">
        <f>IF(Table2[[#This Row],[!Type]]=J$1, J$1,"rg:None")</f>
        <v>rg:None</v>
      </c>
      <c r="K75" t="str">
        <f>IF(Table2[[#This Row],[!Type]]=K$1, K$1,"rg:None")</f>
        <v>rg:None</v>
      </c>
      <c r="L75" t="str">
        <f>IF(Table2[[#This Row],[!Type]]=L$1, L$1,"rg:None")</f>
        <v>rg:None</v>
      </c>
      <c r="M75" t="str">
        <f>IF(Table2[[#This Row],[!Type]]=M$1, M$1,"rg:None")</f>
        <v>rg:None</v>
      </c>
      <c r="N75" s="10" t="str">
        <f>IF(Table2[[#This Row],[!Type]]=N$1, N$1,"rg:None")</f>
        <v>rg:None</v>
      </c>
      <c r="O75" s="10" t="str">
        <f>IF(Table2[[#This Row],[!Type]]=O$1, O$1,"rg:None")</f>
        <v>rg:None</v>
      </c>
      <c r="P75" s="5" t="str">
        <f>IF(Table2[[#This Row],[!Type]]=P$1, P$1,"rg:None")</f>
        <v>rg:None</v>
      </c>
      <c r="Q75" s="5" t="str">
        <f>IF(Table2[[#This Row],[!Type]]=Q$1, Q$1,"rg:None")</f>
        <v>rg:None</v>
      </c>
      <c r="R75" s="5" t="str">
        <f>IF(Table2[[#This Row],[!Type]]=R$1, R$1,"rg:None")</f>
        <v>string</v>
      </c>
      <c r="S75" s="5" t="str">
        <f>IF(Table2[[#This Row],[!Type]]=S$1, S$1,"rg:None")</f>
        <v>rg:None</v>
      </c>
      <c r="T75" s="10">
        <f>IF(LEN(Table2[[#This Row],[!Length]]) &gt; 0, Table2[[#This Row],[!Length]], "rg:None")</f>
        <v>255</v>
      </c>
      <c r="U75" s="10" t="str">
        <f>IF(LEN(Table2[[#This Row],[!Name]]) &gt; 0, Table2[[#This Row],[!Name]], "rg:None")</f>
        <v>ICBCRegOwnerPODL</v>
      </c>
      <c r="V75" s="10" t="str">
        <f>IF(LEN(Table2[[#This Row],[!Description]]) &gt; 0, Table2[[#This Row],[!Description]], "rg:None")</f>
        <v>Previous Owners Driver Licence number</v>
      </c>
      <c r="W75" s="10" t="str">
        <f>IF(LEN(Table2[[#This Row],[!FK]])&gt;0,Table2[[#This Row],[!FK]],"rg:None")</f>
        <v>rg:None</v>
      </c>
      <c r="X75" s="10" t="str">
        <f>IF(LEN(concatif2(A:A,Table2[[#This Row],[!Table]],G:G,"Y",D:D,",")) &gt; 0,"rg:[ { 'req' : '"&amp;concatif2(A:A,Table2[[#This Row],[!Table]],G:G,"Y",D:D,"' }, { 'req': '")&amp;"'} ]","rg:[]")</f>
        <v>rg:[ { 'req' : 'id'} ]</v>
      </c>
      <c r="Y75" s="10" t="str">
        <f>IF(LEN(Table2[[#This Row],[!Unique]])&gt;0,"rg:True","rg:None")</f>
        <v>rg:None</v>
      </c>
    </row>
    <row r="76" spans="1:25" x14ac:dyDescent="0.3">
      <c r="A76" s="54" t="s">
        <v>65</v>
      </c>
      <c r="B76" s="54" t="s">
        <v>8</v>
      </c>
      <c r="C76" s="3">
        <v>255</v>
      </c>
      <c r="D76" s="54" t="s">
        <v>398</v>
      </c>
      <c r="E76" s="27" t="s">
        <v>300</v>
      </c>
      <c r="F76" s="6"/>
      <c r="G76" s="19"/>
      <c r="H76" s="19"/>
      <c r="I76" s="4" t="str">
        <f>IF(LEN(A76) &gt; 0,"Defs","-")</f>
        <v>Defs</v>
      </c>
      <c r="J76" s="16" t="str">
        <f>IF(Table2[[#This Row],[!Type]]=J$1, J$1,"rg:None")</f>
        <v>rg:None</v>
      </c>
      <c r="K76" s="33" t="str">
        <f>IF(Table2[[#This Row],[!Type]]=K$1, K$1,"rg:None")</f>
        <v>rg:None</v>
      </c>
      <c r="L76" s="16" t="str">
        <f>IF(Table2[[#This Row],[!Type]]=L$1, L$1,"rg:None")</f>
        <v>rg:None</v>
      </c>
      <c r="M76" s="16" t="str">
        <f>IF(Table2[[#This Row],[!Type]]=M$1, M$1,"rg:None")</f>
        <v>rg:None</v>
      </c>
      <c r="N76" s="16" t="str">
        <f>IF(Table2[[#This Row],[!Type]]=N$1, N$1,"rg:None")</f>
        <v>rg:None</v>
      </c>
      <c r="O76" s="16" t="str">
        <f>IF(Table2[[#This Row],[!Type]]=O$1, O$1,"rg:None")</f>
        <v>rg:None</v>
      </c>
      <c r="P76" s="4" t="str">
        <f>IF(Table2[[#This Row],[!Type]]=P$1, P$1,"rg:None")</f>
        <v>rg:None</v>
      </c>
      <c r="Q76" s="4" t="str">
        <f>IF(Table2[[#This Row],[!Type]]=Q$1, Q$1,"rg:None")</f>
        <v>rg:None</v>
      </c>
      <c r="R76" s="4" t="str">
        <f>IF(Table2[[#This Row],[!Type]]=R$1, R$1,"rg:None")</f>
        <v>string</v>
      </c>
      <c r="S76" s="4" t="str">
        <f>IF(Table2[[#This Row],[!Type]]=S$1, S$1,"rg:None")</f>
        <v>rg:None</v>
      </c>
      <c r="T76" s="16">
        <f>IF(LEN(Table2[[#This Row],[!Length]]) &gt; 0, Table2[[#This Row],[!Length]], "rg:None")</f>
        <v>255</v>
      </c>
      <c r="U76" s="16" t="str">
        <f>IF(LEN(Table2[[#This Row],[!Name]]) &gt; 0, Table2[[#This Row],[!Name]], "rg:None")</f>
        <v>ICBCLicencePlateNumber</v>
      </c>
      <c r="V76" s="16" t="str">
        <f>IF(LEN(Table2[[#This Row],[!Description]]) &gt; 0, Table2[[#This Row],[!Description]], "rg:None")</f>
        <v>The License Plate Number for the vehicle</v>
      </c>
      <c r="W76" s="16" t="str">
        <f>IF(LEN(Table2[[#This Row],[!FK]])&gt;0,Table2[[#This Row],[!FK]],"rg:None")</f>
        <v>rg:None</v>
      </c>
      <c r="X76" s="16" t="str">
        <f>IF(LEN(concatif2(A:A,Table2[[#This Row],[!Table]],G:G,"Y",D:D,",")) &gt; 0,"rg:[ { 'req' : '"&amp;concatif2(A:A,Table2[[#This Row],[!Table]],G:G,"Y",D:D,"' }, { 'req': '")&amp;"'} ]","rg:[]")</f>
        <v>rg:[ { 'req' : 'id'} ]</v>
      </c>
      <c r="Y76" s="16" t="str">
        <f>IF(LEN(Table2[[#This Row],[!Unique]])&gt;0,"rg:True","rg:None")</f>
        <v>rg:None</v>
      </c>
    </row>
    <row r="77" spans="1:25" x14ac:dyDescent="0.3">
      <c r="A77" s="54" t="s">
        <v>65</v>
      </c>
      <c r="B77" s="54" t="s">
        <v>8</v>
      </c>
      <c r="C77" s="3">
        <v>255</v>
      </c>
      <c r="D77" s="54" t="s">
        <v>399</v>
      </c>
      <c r="E77" s="43" t="s">
        <v>338</v>
      </c>
      <c r="F77" s="6"/>
      <c r="G77" s="19"/>
      <c r="H77" s="19"/>
      <c r="I77" s="4" t="str">
        <f>IF(LEN(A77) &gt; 0,"Defs","-")</f>
        <v>Defs</v>
      </c>
      <c r="J77" s="16" t="str">
        <f>IF(Table2[[#This Row],[!Type]]=J$1, J$1,"rg:None")</f>
        <v>rg:None</v>
      </c>
      <c r="K77" s="33" t="str">
        <f>IF(Table2[[#This Row],[!Type]]=K$1, K$1,"rg:None")</f>
        <v>rg:None</v>
      </c>
      <c r="L77" s="16" t="str">
        <f>IF(Table2[[#This Row],[!Type]]=L$1, L$1,"rg:None")</f>
        <v>rg:None</v>
      </c>
      <c r="M77" s="16" t="str">
        <f>IF(Table2[[#This Row],[!Type]]=M$1, M$1,"rg:None")</f>
        <v>rg:None</v>
      </c>
      <c r="N77" s="16" t="str">
        <f>IF(Table2[[#This Row],[!Type]]=N$1, N$1,"rg:None")</f>
        <v>rg:None</v>
      </c>
      <c r="O77" s="16" t="str">
        <f>IF(Table2[[#This Row],[!Type]]=O$1, O$1,"rg:None")</f>
        <v>rg:None</v>
      </c>
      <c r="P77" s="4" t="str">
        <f>IF(Table2[[#This Row],[!Type]]=P$1, P$1,"rg:None")</f>
        <v>rg:None</v>
      </c>
      <c r="Q77" s="4" t="str">
        <f>IF(Table2[[#This Row],[!Type]]=Q$1, Q$1,"rg:None")</f>
        <v>rg:None</v>
      </c>
      <c r="R77" s="4" t="str">
        <f>IF(Table2[[#This Row],[!Type]]=R$1, R$1,"rg:None")</f>
        <v>string</v>
      </c>
      <c r="S77" s="4" t="str">
        <f>IF(Table2[[#This Row],[!Type]]=S$1, S$1,"rg:None")</f>
        <v>rg:None</v>
      </c>
      <c r="T77" s="16">
        <f>IF(LEN(Table2[[#This Row],[!Length]]) &gt; 0, Table2[[#This Row],[!Length]], "rg:None")</f>
        <v>255</v>
      </c>
      <c r="U77" s="16" t="str">
        <f>IF(LEN(Table2[[#This Row],[!Name]]) &gt; 0, Table2[[#This Row],[!Name]], "rg:None")</f>
        <v>ICBCVehicleIdentificationNumber</v>
      </c>
      <c r="V77" s="16" t="str">
        <f>IF(LEN(Table2[[#This Row],[!Description]]) &gt; 0, Table2[[#This Row],[!Description]], "rg:None")</f>
        <v xml:space="preserve"> A code used by the automotive industry to uniquely identify individual motor vehicles. A vehicle identification number is frequently referred to using the acronym VIN and it is occasionally referred to as a chassis number.</v>
      </c>
      <c r="W77" s="16" t="str">
        <f>IF(LEN(Table2[[#This Row],[!FK]])&gt;0,Table2[[#This Row],[!FK]],"rg:None")</f>
        <v>rg:None</v>
      </c>
      <c r="X77" s="16" t="str">
        <f>IF(LEN(concatif2(A:A,Table2[[#This Row],[!Table]],G:G,"Y",D:D,",")) &gt; 0,"rg:[ { 'req' : '"&amp;concatif2(A:A,Table2[[#This Row],[!Table]],G:G,"Y",D:D,"' }, { 'req': '")&amp;"'} ]","rg:[]")</f>
        <v>rg:[ { 'req' : 'id'} ]</v>
      </c>
      <c r="Y77" s="16" t="str">
        <f>IF(LEN(Table2[[#This Row],[!Unique]])&gt;0,"rg:True","rg:None")</f>
        <v>rg:None</v>
      </c>
    </row>
    <row r="78" spans="1:25" x14ac:dyDescent="0.3">
      <c r="A78" s="3" t="s">
        <v>65</v>
      </c>
      <c r="B78" s="3" t="s">
        <v>8</v>
      </c>
      <c r="C78" s="3">
        <v>255</v>
      </c>
      <c r="D78" s="5" t="s">
        <v>164</v>
      </c>
      <c r="E78" s="27" t="s">
        <v>332</v>
      </c>
      <c r="F78" s="3" t="s">
        <v>6</v>
      </c>
      <c r="G78" s="4"/>
      <c r="H78" s="4"/>
      <c r="I78" s="5" t="str">
        <f t="shared" si="2"/>
        <v>Defs</v>
      </c>
      <c r="J78" t="str">
        <f>IF(Table2[[#This Row],[!Type]]=J$1, J$1,"rg:None")</f>
        <v>rg:None</v>
      </c>
      <c r="K78" t="str">
        <f>IF(Table2[[#This Row],[!Type]]=K$1, K$1,"rg:None")</f>
        <v>rg:None</v>
      </c>
      <c r="L78" t="str">
        <f>IF(Table2[[#This Row],[!Type]]=L$1, L$1,"rg:None")</f>
        <v>rg:None</v>
      </c>
      <c r="M78" t="str">
        <f>IF(Table2[[#This Row],[!Type]]=M$1, M$1,"rg:None")</f>
        <v>rg:None</v>
      </c>
      <c r="N78" s="10" t="str">
        <f>IF(Table2[[#This Row],[!Type]]=N$1, N$1,"rg:None")</f>
        <v>rg:None</v>
      </c>
      <c r="O78" s="10" t="str">
        <f>IF(Table2[[#This Row],[!Type]]=O$1, O$1,"rg:None")</f>
        <v>rg:None</v>
      </c>
      <c r="P78" s="5" t="str">
        <f>IF(Table2[[#This Row],[!Type]]=P$1, P$1,"rg:None")</f>
        <v>rg:None</v>
      </c>
      <c r="Q78" s="5" t="str">
        <f>IF(Table2[[#This Row],[!Type]]=Q$1, Q$1,"rg:None")</f>
        <v>rg:None</v>
      </c>
      <c r="R78" s="5" t="str">
        <f>IF(Table2[[#This Row],[!Type]]=R$1, R$1,"rg:None")</f>
        <v>string</v>
      </c>
      <c r="S78" s="5" t="str">
        <f>IF(Table2[[#This Row],[!Type]]=S$1, S$1,"rg:None")</f>
        <v>rg:None</v>
      </c>
      <c r="T78" s="10">
        <f>IF(LEN(Table2[[#This Row],[!Length]]) &gt; 0, Table2[[#This Row],[!Length]], "rg:None")</f>
        <v>255</v>
      </c>
      <c r="U78" s="10" t="str">
        <f>IF(LEN(Table2[[#This Row],[!Name]]) &gt; 0, Table2[[#This Row],[!Name]], "rg:None")</f>
        <v>NSCClientNum</v>
      </c>
      <c r="V78" s="10" t="str">
        <f>IF(LEN(Table2[[#This Row],[!Description]]) &gt; 0, Table2[[#This Row],[!Description]], "rg:None")</f>
        <v>National Safety Code Carrier Number on ICBC client system</v>
      </c>
      <c r="W78" s="10" t="str">
        <f>IF(LEN(Table2[[#This Row],[!FK]])&gt;0,Table2[[#This Row],[!FK]],"rg:None")</f>
        <v>rg:None</v>
      </c>
      <c r="X78" s="10" t="str">
        <f>IF(LEN(concatif2(A:A,Table2[[#This Row],[!Table]],G:G,"Y",D:D,",")) &gt; 0,"rg:[ { 'req' : '"&amp;concatif2(A:A,Table2[[#This Row],[!Table]],G:G,"Y",D:D,"' }, { 'req': '")&amp;"'} ]","rg:[]")</f>
        <v>rg:[ { 'req' : 'id'} ]</v>
      </c>
      <c r="Y78" s="10" t="str">
        <f>IF(LEN(Table2[[#This Row],[!Unique]])&gt;0,"rg:True","rg:None")</f>
        <v>rg:None</v>
      </c>
    </row>
    <row r="79" spans="1:25" x14ac:dyDescent="0.3">
      <c r="A79" s="3" t="s">
        <v>65</v>
      </c>
      <c r="B79" s="3" t="s">
        <v>8</v>
      </c>
      <c r="C79" s="3">
        <v>255</v>
      </c>
      <c r="D79" s="5" t="s">
        <v>165</v>
      </c>
      <c r="E79" s="27" t="s">
        <v>333</v>
      </c>
      <c r="F79" s="3" t="s">
        <v>6</v>
      </c>
      <c r="G79" s="4"/>
      <c r="H79" s="4"/>
      <c r="I79" s="5" t="str">
        <f t="shared" si="2"/>
        <v>Defs</v>
      </c>
      <c r="J79" t="str">
        <f>IF(Table2[[#This Row],[!Type]]=J$1, J$1,"rg:None")</f>
        <v>rg:None</v>
      </c>
      <c r="K79" t="str">
        <f>IF(Table2[[#This Row],[!Type]]=K$1, K$1,"rg:None")</f>
        <v>rg:None</v>
      </c>
      <c r="L79" t="str">
        <f>IF(Table2[[#This Row],[!Type]]=L$1, L$1,"rg:None")</f>
        <v>rg:None</v>
      </c>
      <c r="M79" t="str">
        <f>IF(Table2[[#This Row],[!Type]]=M$1, M$1,"rg:None")</f>
        <v>rg:None</v>
      </c>
      <c r="N79" s="10" t="str">
        <f>IF(Table2[[#This Row],[!Type]]=N$1, N$1,"rg:None")</f>
        <v>rg:None</v>
      </c>
      <c r="O79" s="10" t="str">
        <f>IF(Table2[[#This Row],[!Type]]=O$1, O$1,"rg:None")</f>
        <v>rg:None</v>
      </c>
      <c r="P79" s="5" t="str">
        <f>IF(Table2[[#This Row],[!Type]]=P$1, P$1,"rg:None")</f>
        <v>rg:None</v>
      </c>
      <c r="Q79" s="5" t="str">
        <f>IF(Table2[[#This Row],[!Type]]=Q$1, Q$1,"rg:None")</f>
        <v>rg:None</v>
      </c>
      <c r="R79" s="5" t="str">
        <f>IF(Table2[[#This Row],[!Type]]=R$1, R$1,"rg:None")</f>
        <v>string</v>
      </c>
      <c r="S79" s="5" t="str">
        <f>IF(Table2[[#This Row],[!Type]]=S$1, S$1,"rg:None")</f>
        <v>rg:None</v>
      </c>
      <c r="T79" s="10">
        <f>IF(LEN(Table2[[#This Row],[!Length]]) &gt; 0, Table2[[#This Row],[!Length]], "rg:None")</f>
        <v>255</v>
      </c>
      <c r="U79" s="10" t="str">
        <f>IF(LEN(Table2[[#This Row],[!Name]]) &gt; 0, Table2[[#This Row],[!Name]], "rg:None")</f>
        <v>NSCCarrierName</v>
      </c>
      <c r="V79" s="10" t="str">
        <f>IF(LEN(Table2[[#This Row],[!Description]]) &gt; 0, Table2[[#This Row],[!Description]], "rg:None")</f>
        <v>National Safety Code Carrier Name on ICBC client system</v>
      </c>
      <c r="W79" s="10" t="str">
        <f>IF(LEN(Table2[[#This Row],[!FK]])&gt;0,Table2[[#This Row],[!FK]],"rg:None")</f>
        <v>rg:None</v>
      </c>
      <c r="X79" s="10" t="str">
        <f>IF(LEN(concatif2(A:A,Table2[[#This Row],[!Table]],G:G,"Y",D:D,",")) &gt; 0,"rg:[ { 'req' : '"&amp;concatif2(A:A,Table2[[#This Row],[!Table]],G:G,"Y",D:D,"' }, { 'req': '")&amp;"'} ]","rg:[]")</f>
        <v>rg:[ { 'req' : 'id'} ]</v>
      </c>
      <c r="Y79" s="10" t="str">
        <f>IF(LEN(Table2[[#This Row],[!Unique]])&gt;0,"rg:True","rg:None")</f>
        <v>rg:None</v>
      </c>
    </row>
    <row r="80" spans="1:25" x14ac:dyDescent="0.3">
      <c r="A80" s="3" t="s">
        <v>65</v>
      </c>
      <c r="B80" s="3" t="s">
        <v>8</v>
      </c>
      <c r="C80" s="3">
        <v>255</v>
      </c>
      <c r="D80" s="5" t="s">
        <v>166</v>
      </c>
      <c r="E80" s="43" t="s">
        <v>361</v>
      </c>
      <c r="F80" s="3" t="s">
        <v>6</v>
      </c>
      <c r="G80" s="4"/>
      <c r="H80" s="4"/>
      <c r="I80" s="5" t="str">
        <f t="shared" si="2"/>
        <v>Defs</v>
      </c>
      <c r="J80" t="str">
        <f>IF(Table2[[#This Row],[!Type]]=J$1, J$1,"rg:None")</f>
        <v>rg:None</v>
      </c>
      <c r="K80" t="str">
        <f>IF(Table2[[#This Row],[!Type]]=K$1, K$1,"rg:None")</f>
        <v>rg:None</v>
      </c>
      <c r="L80" t="str">
        <f>IF(Table2[[#This Row],[!Type]]=L$1, L$1,"rg:None")</f>
        <v>rg:None</v>
      </c>
      <c r="M80" t="str">
        <f>IF(Table2[[#This Row],[!Type]]=M$1, M$1,"rg:None")</f>
        <v>rg:None</v>
      </c>
      <c r="N80" s="10" t="str">
        <f>IF(Table2[[#This Row],[!Type]]=N$1, N$1,"rg:None")</f>
        <v>rg:None</v>
      </c>
      <c r="O80" s="10" t="str">
        <f>IF(Table2[[#This Row],[!Type]]=O$1, O$1,"rg:None")</f>
        <v>rg:None</v>
      </c>
      <c r="P80" s="5" t="str">
        <f>IF(Table2[[#This Row],[!Type]]=P$1, P$1,"rg:None")</f>
        <v>rg:None</v>
      </c>
      <c r="Q80" s="5" t="str">
        <f>IF(Table2[[#This Row],[!Type]]=Q$1, Q$1,"rg:None")</f>
        <v>rg:None</v>
      </c>
      <c r="R80" s="5" t="str">
        <f>IF(Table2[[#This Row],[!Type]]=R$1, R$1,"rg:None")</f>
        <v>string</v>
      </c>
      <c r="S80" s="5" t="str">
        <f>IF(Table2[[#This Row],[!Type]]=S$1, S$1,"rg:None")</f>
        <v>rg:None</v>
      </c>
      <c r="T80" s="10">
        <f>IF(LEN(Table2[[#This Row],[!Length]]) &gt; 0, Table2[[#This Row],[!Length]], "rg:None")</f>
        <v>255</v>
      </c>
      <c r="U80" s="10" t="str">
        <f>IF(LEN(Table2[[#This Row],[!Name]]) &gt; 0, Table2[[#This Row],[!Name]], "rg:None")</f>
        <v>NSCCarrierConditions</v>
      </c>
      <c r="V80" s="10" t="str">
        <f>IF(LEN(Table2[[#This Row],[!Description]]) &gt; 0, Table2[[#This Row],[!Description]], "rg:None")</f>
        <v>Conditions imposed on the carrier (bus owner) within NSC</v>
      </c>
      <c r="W80" s="10" t="str">
        <f>IF(LEN(Table2[[#This Row],[!FK]])&gt;0,Table2[[#This Row],[!FK]],"rg:None")</f>
        <v>rg:None</v>
      </c>
      <c r="X80" s="10" t="str">
        <f>IF(LEN(concatif2(A:A,Table2[[#This Row],[!Table]],G:G,"Y",D:D,",")) &gt; 0,"rg:[ { 'req' : '"&amp;concatif2(A:A,Table2[[#This Row],[!Table]],G:G,"Y",D:D,"' }, { 'req': '")&amp;"'} ]","rg:[]")</f>
        <v>rg:[ { 'req' : 'id'} ]</v>
      </c>
      <c r="Y80" s="10" t="str">
        <f>IF(LEN(Table2[[#This Row],[!Unique]])&gt;0,"rg:True","rg:None")</f>
        <v>rg:None</v>
      </c>
    </row>
    <row r="81" spans="1:25" x14ac:dyDescent="0.3">
      <c r="A81" s="3" t="s">
        <v>65</v>
      </c>
      <c r="B81" s="3" t="s">
        <v>8</v>
      </c>
      <c r="C81" s="3">
        <v>255</v>
      </c>
      <c r="D81" s="5" t="s">
        <v>167</v>
      </c>
      <c r="E81" s="27" t="s">
        <v>334</v>
      </c>
      <c r="F81" s="3" t="s">
        <v>6</v>
      </c>
      <c r="G81" s="4"/>
      <c r="H81" s="4"/>
      <c r="I81" s="5" t="str">
        <f t="shared" si="2"/>
        <v>Defs</v>
      </c>
      <c r="J81" t="str">
        <f>IF(Table2[[#This Row],[!Type]]=J$1, J$1,"rg:None")</f>
        <v>rg:None</v>
      </c>
      <c r="K81" t="str">
        <f>IF(Table2[[#This Row],[!Type]]=K$1, K$1,"rg:None")</f>
        <v>rg:None</v>
      </c>
      <c r="L81" t="str">
        <f>IF(Table2[[#This Row],[!Type]]=L$1, L$1,"rg:None")</f>
        <v>rg:None</v>
      </c>
      <c r="M81" t="str">
        <f>IF(Table2[[#This Row],[!Type]]=M$1, M$1,"rg:None")</f>
        <v>rg:None</v>
      </c>
      <c r="N81" s="10" t="str">
        <f>IF(Table2[[#This Row],[!Type]]=N$1, N$1,"rg:None")</f>
        <v>rg:None</v>
      </c>
      <c r="O81" s="10" t="str">
        <f>IF(Table2[[#This Row],[!Type]]=O$1, O$1,"rg:None")</f>
        <v>rg:None</v>
      </c>
      <c r="P81" s="5" t="str">
        <f>IF(Table2[[#This Row],[!Type]]=P$1, P$1,"rg:None")</f>
        <v>rg:None</v>
      </c>
      <c r="Q81" s="5" t="str">
        <f>IF(Table2[[#This Row],[!Type]]=Q$1, Q$1,"rg:None")</f>
        <v>rg:None</v>
      </c>
      <c r="R81" s="5" t="str">
        <f>IF(Table2[[#This Row],[!Type]]=R$1, R$1,"rg:None")</f>
        <v>string</v>
      </c>
      <c r="S81" s="5" t="str">
        <f>IF(Table2[[#This Row],[!Type]]=S$1, S$1,"rg:None")</f>
        <v>rg:None</v>
      </c>
      <c r="T81" s="10">
        <f>IF(LEN(Table2[[#This Row],[!Length]]) &gt; 0, Table2[[#This Row],[!Length]], "rg:None")</f>
        <v>255</v>
      </c>
      <c r="U81" s="10" t="str">
        <f>IF(LEN(Table2[[#This Row],[!Name]]) &gt; 0, Table2[[#This Row],[!Name]], "rg:None")</f>
        <v>NSCCarrierSafetyRating</v>
      </c>
      <c r="V81" s="10" t="str">
        <f>IF(LEN(Table2[[#This Row],[!Description]]) &gt; 0, Table2[[#This Row],[!Description]], "rg:None")</f>
        <v>Carrier safety rating ex - satisfatory, SAT-unaudited etc..</v>
      </c>
      <c r="W81" s="10" t="str">
        <f>IF(LEN(Table2[[#This Row],[!FK]])&gt;0,Table2[[#This Row],[!FK]],"rg:None")</f>
        <v>rg:None</v>
      </c>
      <c r="X81" s="10" t="str">
        <f>IF(LEN(concatif2(A:A,Table2[[#This Row],[!Table]],G:G,"Y",D:D,",")) &gt; 0,"rg:[ { 'req' : '"&amp;concatif2(A:A,Table2[[#This Row],[!Table]],G:G,"Y",D:D,"' }, { 'req': '")&amp;"'} ]","rg:[]")</f>
        <v>rg:[ { 'req' : 'id'} ]</v>
      </c>
      <c r="Y81" s="10" t="str">
        <f>IF(LEN(Table2[[#This Row],[!Unique]])&gt;0,"rg:True","rg:None")</f>
        <v>rg:None</v>
      </c>
    </row>
    <row r="82" spans="1:25" x14ac:dyDescent="0.3">
      <c r="A82" s="3" t="s">
        <v>65</v>
      </c>
      <c r="B82" s="3" t="s">
        <v>8</v>
      </c>
      <c r="C82" s="3">
        <v>255</v>
      </c>
      <c r="D82" s="5" t="s">
        <v>168</v>
      </c>
      <c r="E82" s="52" t="s">
        <v>392</v>
      </c>
      <c r="F82" s="3" t="s">
        <v>6</v>
      </c>
      <c r="G82" s="4"/>
      <c r="H82" s="4"/>
      <c r="I82" s="5" t="str">
        <f t="shared" si="2"/>
        <v>Defs</v>
      </c>
      <c r="J82" t="str">
        <f>IF(Table2[[#This Row],[!Type]]=J$1, J$1,"rg:None")</f>
        <v>rg:None</v>
      </c>
      <c r="K82" t="str">
        <f>IF(Table2[[#This Row],[!Type]]=K$1, K$1,"rg:None")</f>
        <v>rg:None</v>
      </c>
      <c r="L82" t="str">
        <f>IF(Table2[[#This Row],[!Type]]=L$1, L$1,"rg:None")</f>
        <v>rg:None</v>
      </c>
      <c r="M82" t="str">
        <f>IF(Table2[[#This Row],[!Type]]=M$1, M$1,"rg:None")</f>
        <v>rg:None</v>
      </c>
      <c r="N82" s="10" t="str">
        <f>IF(Table2[[#This Row],[!Type]]=N$1, N$1,"rg:None")</f>
        <v>rg:None</v>
      </c>
      <c r="O82" s="10" t="str">
        <f>IF(Table2[[#This Row],[!Type]]=O$1, O$1,"rg:None")</f>
        <v>rg:None</v>
      </c>
      <c r="P82" s="5" t="str">
        <f>IF(Table2[[#This Row],[!Type]]=P$1, P$1,"rg:None")</f>
        <v>rg:None</v>
      </c>
      <c r="Q82" s="5" t="str">
        <f>IF(Table2[[#This Row],[!Type]]=Q$1, Q$1,"rg:None")</f>
        <v>rg:None</v>
      </c>
      <c r="R82" s="5" t="str">
        <f>IF(Table2[[#This Row],[!Type]]=R$1, R$1,"rg:None")</f>
        <v>string</v>
      </c>
      <c r="S82" s="5" t="str">
        <f>IF(Table2[[#This Row],[!Type]]=S$1, S$1,"rg:None")</f>
        <v>rg:None</v>
      </c>
      <c r="T82" s="10">
        <f>IF(LEN(Table2[[#This Row],[!Length]]) &gt; 0, Table2[[#This Row],[!Length]], "rg:None")</f>
        <v>255</v>
      </c>
      <c r="U82" s="10" t="str">
        <f>IF(LEN(Table2[[#This Row],[!Name]]) &gt; 0, Table2[[#This Row],[!Name]], "rg:None")</f>
        <v>NSCPolicyNumber</v>
      </c>
      <c r="V82" s="10" t="str">
        <f>IF(LEN(Table2[[#This Row],[!Description]]) &gt; 0, Table2[[#This Row],[!Description]], "rg:None")</f>
        <v>From NSC - The number of the carrier (NSC Clients) necessary insurance required to operate the vehicle.</v>
      </c>
      <c r="W82" s="10" t="str">
        <f>IF(LEN(Table2[[#This Row],[!FK]])&gt;0,Table2[[#This Row],[!FK]],"rg:None")</f>
        <v>rg:None</v>
      </c>
      <c r="X82" s="10" t="str">
        <f>IF(LEN(concatif2(A:A,Table2[[#This Row],[!Table]],G:G,"Y",D:D,",")) &gt; 0,"rg:[ { 'req' : '"&amp;concatif2(A:A,Table2[[#This Row],[!Table]],G:G,"Y",D:D,"' }, { 'req': '")&amp;"'} ]","rg:[]")</f>
        <v>rg:[ { 'req' : 'id'} ]</v>
      </c>
      <c r="Y82" s="10" t="str">
        <f>IF(LEN(Table2[[#This Row],[!Unique]])&gt;0,"rg:True","rg:None")</f>
        <v>rg:None</v>
      </c>
    </row>
    <row r="83" spans="1:25" x14ac:dyDescent="0.3">
      <c r="A83" s="3" t="s">
        <v>65</v>
      </c>
      <c r="B83" s="3" t="s">
        <v>25</v>
      </c>
      <c r="C83" s="3"/>
      <c r="D83" s="5" t="s">
        <v>169</v>
      </c>
      <c r="E83" s="52" t="s">
        <v>393</v>
      </c>
      <c r="F83" s="3" t="s">
        <v>6</v>
      </c>
      <c r="G83" s="4"/>
      <c r="H83" s="4"/>
      <c r="I83" s="5" t="str">
        <f t="shared" si="2"/>
        <v>Defs</v>
      </c>
      <c r="J83" t="str">
        <f>IF(Table2[[#This Row],[!Type]]=J$1, J$1,"rg:None")</f>
        <v>rg:None</v>
      </c>
      <c r="K83" t="str">
        <f>IF(Table2[[#This Row],[!Type]]=K$1, K$1,"rg:None")</f>
        <v>rg:None</v>
      </c>
      <c r="L83" t="str">
        <f>IF(Table2[[#This Row],[!Type]]=L$1, L$1,"rg:None")</f>
        <v>datetime</v>
      </c>
      <c r="M83" t="str">
        <f>IF(Table2[[#This Row],[!Type]]=M$1, M$1,"rg:None")</f>
        <v>rg:None</v>
      </c>
      <c r="N83" s="10" t="str">
        <f>IF(Table2[[#This Row],[!Type]]=N$1, N$1,"rg:None")</f>
        <v>rg:None</v>
      </c>
      <c r="O83" s="10" t="str">
        <f>IF(Table2[[#This Row],[!Type]]=O$1, O$1,"rg:None")</f>
        <v>rg:None</v>
      </c>
      <c r="P83" s="5" t="str">
        <f>IF(Table2[[#This Row],[!Type]]=P$1, P$1,"rg:None")</f>
        <v>rg:None</v>
      </c>
      <c r="Q83" s="5" t="str">
        <f>IF(Table2[[#This Row],[!Type]]=Q$1, Q$1,"rg:None")</f>
        <v>rg:None</v>
      </c>
      <c r="R83" s="5" t="str">
        <f>IF(Table2[[#This Row],[!Type]]=R$1, R$1,"rg:None")</f>
        <v>rg:None</v>
      </c>
      <c r="S83" s="5" t="str">
        <f>IF(Table2[[#This Row],[!Type]]=S$1, S$1,"rg:None")</f>
        <v>rg:None</v>
      </c>
      <c r="T83" s="10" t="str">
        <f>IF(LEN(Table2[[#This Row],[!Length]]) &gt; 0, Table2[[#This Row],[!Length]], "rg:None")</f>
        <v>rg:None</v>
      </c>
      <c r="U83" s="10" t="str">
        <f>IF(LEN(Table2[[#This Row],[!Name]]) &gt; 0, Table2[[#This Row],[!Name]], "rg:None")</f>
        <v>NSCPolicyEffectiveDate</v>
      </c>
      <c r="V83" s="10" t="str">
        <f>IF(LEN(Table2[[#This Row],[!Description]]) &gt; 0, Table2[[#This Row],[!Description]], "rg:None")</f>
        <v>From NSC - The effective data of the policy.</v>
      </c>
      <c r="W83" s="10" t="str">
        <f>IF(LEN(Table2[[#This Row],[!FK]])&gt;0,Table2[[#This Row],[!FK]],"rg:None")</f>
        <v>rg:None</v>
      </c>
      <c r="X83" s="10" t="str">
        <f>IF(LEN(concatif2(A:A,Table2[[#This Row],[!Table]],G:G,"Y",D:D,",")) &gt; 0,"rg:[ { 'req' : '"&amp;concatif2(A:A,Table2[[#This Row],[!Table]],G:G,"Y",D:D,"' }, { 'req': '")&amp;"'} ]","rg:[]")</f>
        <v>rg:[ { 'req' : 'id'} ]</v>
      </c>
      <c r="Y83" s="10" t="str">
        <f>IF(LEN(Table2[[#This Row],[!Unique]])&gt;0,"rg:True","rg:None")</f>
        <v>rg:None</v>
      </c>
    </row>
    <row r="84" spans="1:25" x14ac:dyDescent="0.3">
      <c r="A84" s="3" t="s">
        <v>65</v>
      </c>
      <c r="B84" s="3" t="s">
        <v>25</v>
      </c>
      <c r="C84" s="3"/>
      <c r="D84" s="5" t="s">
        <v>170</v>
      </c>
      <c r="E84" s="52" t="s">
        <v>394</v>
      </c>
      <c r="F84" s="3" t="s">
        <v>6</v>
      </c>
      <c r="G84" s="4"/>
      <c r="H84" s="4"/>
      <c r="I84" s="5" t="str">
        <f t="shared" si="2"/>
        <v>Defs</v>
      </c>
      <c r="J84" t="str">
        <f>IF(Table2[[#This Row],[!Type]]=J$1, J$1,"rg:None")</f>
        <v>rg:None</v>
      </c>
      <c r="K84" t="str">
        <f>IF(Table2[[#This Row],[!Type]]=K$1, K$1,"rg:None")</f>
        <v>rg:None</v>
      </c>
      <c r="L84" t="str">
        <f>IF(Table2[[#This Row],[!Type]]=L$1, L$1,"rg:None")</f>
        <v>datetime</v>
      </c>
      <c r="M84" t="str">
        <f>IF(Table2[[#This Row],[!Type]]=M$1, M$1,"rg:None")</f>
        <v>rg:None</v>
      </c>
      <c r="N84" s="10" t="str">
        <f>IF(Table2[[#This Row],[!Type]]=N$1, N$1,"rg:None")</f>
        <v>rg:None</v>
      </c>
      <c r="O84" s="10" t="str">
        <f>IF(Table2[[#This Row],[!Type]]=O$1, O$1,"rg:None")</f>
        <v>rg:None</v>
      </c>
      <c r="P84" s="5" t="str">
        <f>IF(Table2[[#This Row],[!Type]]=P$1, P$1,"rg:None")</f>
        <v>rg:None</v>
      </c>
      <c r="Q84" s="5" t="str">
        <f>IF(Table2[[#This Row],[!Type]]=Q$1, Q$1,"rg:None")</f>
        <v>rg:None</v>
      </c>
      <c r="R84" s="5" t="str">
        <f>IF(Table2[[#This Row],[!Type]]=R$1, R$1,"rg:None")</f>
        <v>rg:None</v>
      </c>
      <c r="S84" s="5" t="str">
        <f>IF(Table2[[#This Row],[!Type]]=S$1, S$1,"rg:None")</f>
        <v>rg:None</v>
      </c>
      <c r="T84" s="10" t="str">
        <f>IF(LEN(Table2[[#This Row],[!Length]]) &gt; 0, Table2[[#This Row],[!Length]], "rg:None")</f>
        <v>rg:None</v>
      </c>
      <c r="U84" s="10" t="str">
        <f>IF(LEN(Table2[[#This Row],[!Name]]) &gt; 0, Table2[[#This Row],[!Name]], "rg:None")</f>
        <v>NSCPolicyStatusDate</v>
      </c>
      <c r="V84" s="10" t="str">
        <f>IF(LEN(Table2[[#This Row],[!Description]]) &gt; 0, Table2[[#This Row],[!Description]], "rg:None")</f>
        <v>From NSC - The date the status of the policy was established.</v>
      </c>
      <c r="W84" s="10" t="str">
        <f>IF(LEN(Table2[[#This Row],[!FK]])&gt;0,Table2[[#This Row],[!FK]],"rg:None")</f>
        <v>rg:None</v>
      </c>
      <c r="X84" s="10" t="str">
        <f>IF(LEN(concatif2(A:A,Table2[[#This Row],[!Table]],G:G,"Y",D:D,",")) &gt; 0,"rg:[ { 'req' : '"&amp;concatif2(A:A,Table2[[#This Row],[!Table]],G:G,"Y",D:D,"' }, { 'req': '")&amp;"'} ]","rg:[]")</f>
        <v>rg:[ { 'req' : 'id'} ]</v>
      </c>
      <c r="Y84" s="10" t="str">
        <f>IF(LEN(Table2[[#This Row],[!Unique]])&gt;0,"rg:True","rg:None")</f>
        <v>rg:None</v>
      </c>
    </row>
    <row r="85" spans="1:25" x14ac:dyDescent="0.3">
      <c r="A85" s="3" t="s">
        <v>65</v>
      </c>
      <c r="B85" s="3" t="s">
        <v>25</v>
      </c>
      <c r="C85" s="3"/>
      <c r="D85" s="5" t="s">
        <v>171</v>
      </c>
      <c r="E85" s="52" t="s">
        <v>395</v>
      </c>
      <c r="F85" s="3" t="s">
        <v>6</v>
      </c>
      <c r="G85" s="4"/>
      <c r="H85" s="4"/>
      <c r="I85" s="5" t="str">
        <f t="shared" si="2"/>
        <v>Defs</v>
      </c>
      <c r="J85" t="str">
        <f>IF(Table2[[#This Row],[!Type]]=J$1, J$1,"rg:None")</f>
        <v>rg:None</v>
      </c>
      <c r="K85" t="str">
        <f>IF(Table2[[#This Row],[!Type]]=K$1, K$1,"rg:None")</f>
        <v>rg:None</v>
      </c>
      <c r="L85" t="str">
        <f>IF(Table2[[#This Row],[!Type]]=L$1, L$1,"rg:None")</f>
        <v>datetime</v>
      </c>
      <c r="M85" t="str">
        <f>IF(Table2[[#This Row],[!Type]]=M$1, M$1,"rg:None")</f>
        <v>rg:None</v>
      </c>
      <c r="N85" s="10" t="str">
        <f>IF(Table2[[#This Row],[!Type]]=N$1, N$1,"rg:None")</f>
        <v>rg:None</v>
      </c>
      <c r="O85" s="10" t="str">
        <f>IF(Table2[[#This Row],[!Type]]=O$1, O$1,"rg:None")</f>
        <v>rg:None</v>
      </c>
      <c r="P85" s="5" t="str">
        <f>IF(Table2[[#This Row],[!Type]]=P$1, P$1,"rg:None")</f>
        <v>rg:None</v>
      </c>
      <c r="Q85" s="5" t="str">
        <f>IF(Table2[[#This Row],[!Type]]=Q$1, Q$1,"rg:None")</f>
        <v>rg:None</v>
      </c>
      <c r="R85" s="5" t="str">
        <f>IF(Table2[[#This Row],[!Type]]=R$1, R$1,"rg:None")</f>
        <v>rg:None</v>
      </c>
      <c r="S85" s="5" t="str">
        <f>IF(Table2[[#This Row],[!Type]]=S$1, S$1,"rg:None")</f>
        <v>rg:None</v>
      </c>
      <c r="T85" s="10" t="str">
        <f>IF(LEN(Table2[[#This Row],[!Length]]) &gt; 0, Table2[[#This Row],[!Length]], "rg:None")</f>
        <v>rg:None</v>
      </c>
      <c r="U85" s="10" t="str">
        <f>IF(LEN(Table2[[#This Row],[!Name]]) &gt; 0, Table2[[#This Row],[!Name]], "rg:None")</f>
        <v>NSCPolicyExpiryDate</v>
      </c>
      <c r="V85" s="10" t="str">
        <f>IF(LEN(Table2[[#This Row],[!Description]]) &gt; 0, Table2[[#This Row],[!Description]], "rg:None")</f>
        <v>From NSC - The data of expiration of the policy.</v>
      </c>
      <c r="W85" s="10" t="str">
        <f>IF(LEN(Table2[[#This Row],[!FK]])&gt;0,Table2[[#This Row],[!FK]],"rg:None")</f>
        <v>rg:None</v>
      </c>
      <c r="X85" s="10" t="str">
        <f>IF(LEN(concatif2(A:A,Table2[[#This Row],[!Table]],G:G,"Y",D:D,",")) &gt; 0,"rg:[ { 'req' : '"&amp;concatif2(A:A,Table2[[#This Row],[!Table]],G:G,"Y",D:D,"' }, { 'req': '")&amp;"'} ]","rg:[]")</f>
        <v>rg:[ { 'req' : 'id'} ]</v>
      </c>
      <c r="Y85" s="10" t="str">
        <f>IF(LEN(Table2[[#This Row],[!Unique]])&gt;0,"rg:True","rg:None")</f>
        <v>rg:None</v>
      </c>
    </row>
    <row r="86" spans="1:25" x14ac:dyDescent="0.3">
      <c r="A86" s="3" t="s">
        <v>65</v>
      </c>
      <c r="B86" s="3" t="s">
        <v>8</v>
      </c>
      <c r="C86" s="3">
        <v>255</v>
      </c>
      <c r="D86" s="5" t="s">
        <v>172</v>
      </c>
      <c r="E86" s="52" t="s">
        <v>396</v>
      </c>
      <c r="F86" s="3" t="s">
        <v>6</v>
      </c>
      <c r="G86" s="4"/>
      <c r="H86" s="4"/>
      <c r="I86" s="5" t="str">
        <f t="shared" si="2"/>
        <v>Defs</v>
      </c>
      <c r="J86" t="str">
        <f>IF(Table2[[#This Row],[!Type]]=J$1, J$1,"rg:None")</f>
        <v>rg:None</v>
      </c>
      <c r="K86" t="str">
        <f>IF(Table2[[#This Row],[!Type]]=K$1, K$1,"rg:None")</f>
        <v>rg:None</v>
      </c>
      <c r="L86" t="str">
        <f>IF(Table2[[#This Row],[!Type]]=L$1, L$1,"rg:None")</f>
        <v>rg:None</v>
      </c>
      <c r="M86" t="str">
        <f>IF(Table2[[#This Row],[!Type]]=M$1, M$1,"rg:None")</f>
        <v>rg:None</v>
      </c>
      <c r="N86" s="10" t="str">
        <f>IF(Table2[[#This Row],[!Type]]=N$1, N$1,"rg:None")</f>
        <v>rg:None</v>
      </c>
      <c r="O86" s="10" t="str">
        <f>IF(Table2[[#This Row],[!Type]]=O$1, O$1,"rg:None")</f>
        <v>rg:None</v>
      </c>
      <c r="P86" s="5" t="str">
        <f>IF(Table2[[#This Row],[!Type]]=P$1, P$1,"rg:None")</f>
        <v>rg:None</v>
      </c>
      <c r="Q86" s="5" t="str">
        <f>IF(Table2[[#This Row],[!Type]]=Q$1, Q$1,"rg:None")</f>
        <v>rg:None</v>
      </c>
      <c r="R86" s="5" t="str">
        <f>IF(Table2[[#This Row],[!Type]]=R$1, R$1,"rg:None")</f>
        <v>string</v>
      </c>
      <c r="S86" s="5" t="str">
        <f>IF(Table2[[#This Row],[!Type]]=S$1, S$1,"rg:None")</f>
        <v>rg:None</v>
      </c>
      <c r="T86" s="10">
        <f>IF(LEN(Table2[[#This Row],[!Length]]) &gt; 0, Table2[[#This Row],[!Length]], "rg:None")</f>
        <v>255</v>
      </c>
      <c r="U86" s="10" t="str">
        <f>IF(LEN(Table2[[#This Row],[!Name]]) &gt; 0, Table2[[#This Row],[!Name]], "rg:None")</f>
        <v>NSCPolicyStatus</v>
      </c>
      <c r="V86" s="10" t="str">
        <f>IF(LEN(Table2[[#This Row],[!Description]]) &gt; 0, Table2[[#This Row],[!Description]], "rg:None")</f>
        <v>From NSC - The latest status of the policy.</v>
      </c>
      <c r="W86" s="10" t="str">
        <f>IF(LEN(Table2[[#This Row],[!FK]])&gt;0,Table2[[#This Row],[!FK]],"rg:None")</f>
        <v>rg:None</v>
      </c>
      <c r="X86" s="10" t="str">
        <f>IF(LEN(concatif2(A:A,Table2[[#This Row],[!Table]],G:G,"Y",D:D,",")) &gt; 0,"rg:[ { 'req' : '"&amp;concatif2(A:A,Table2[[#This Row],[!Table]],G:G,"Y",D:D,"' }, { 'req': '")&amp;"'} ]","rg:[]")</f>
        <v>rg:[ { 'req' : 'id'} ]</v>
      </c>
      <c r="Y86" s="10" t="str">
        <f>IF(LEN(Table2[[#This Row],[!Unique]])&gt;0,"rg:True","rg:None")</f>
        <v>rg:None</v>
      </c>
    </row>
    <row r="87" spans="1:25" x14ac:dyDescent="0.3">
      <c r="A87" s="3" t="s">
        <v>65</v>
      </c>
      <c r="B87" s="3" t="s">
        <v>8</v>
      </c>
      <c r="C87" s="3">
        <v>255</v>
      </c>
      <c r="D87" s="5" t="s">
        <v>138</v>
      </c>
      <c r="E87" s="52" t="s">
        <v>397</v>
      </c>
      <c r="F87" s="3" t="s">
        <v>6</v>
      </c>
      <c r="G87" s="4"/>
      <c r="H87" s="4"/>
      <c r="I87" s="5" t="str">
        <f t="shared" si="2"/>
        <v>Defs</v>
      </c>
      <c r="J87" t="str">
        <f>IF(Table2[[#This Row],[!Type]]=J$1, J$1,"rg:None")</f>
        <v>rg:None</v>
      </c>
      <c r="K87" t="str">
        <f>IF(Table2[[#This Row],[!Type]]=K$1, K$1,"rg:None")</f>
        <v>rg:None</v>
      </c>
      <c r="L87" t="str">
        <f>IF(Table2[[#This Row],[!Type]]=L$1, L$1,"rg:None")</f>
        <v>rg:None</v>
      </c>
      <c r="M87" t="str">
        <f>IF(Table2[[#This Row],[!Type]]=M$1, M$1,"rg:None")</f>
        <v>rg:None</v>
      </c>
      <c r="N87" s="10" t="str">
        <f>IF(Table2[[#This Row],[!Type]]=N$1, N$1,"rg:None")</f>
        <v>rg:None</v>
      </c>
      <c r="O87" s="10" t="str">
        <f>IF(Table2[[#This Row],[!Type]]=O$1, O$1,"rg:None")</f>
        <v>rg:None</v>
      </c>
      <c r="P87" s="5" t="str">
        <f>IF(Table2[[#This Row],[!Type]]=P$1, P$1,"rg:None")</f>
        <v>rg:None</v>
      </c>
      <c r="Q87" s="5" t="str">
        <f>IF(Table2[[#This Row],[!Type]]=Q$1, Q$1,"rg:None")</f>
        <v>rg:None</v>
      </c>
      <c r="R87" s="5" t="str">
        <f>IF(Table2[[#This Row],[!Type]]=R$1, R$1,"rg:None")</f>
        <v>string</v>
      </c>
      <c r="S87" s="5" t="str">
        <f>IF(Table2[[#This Row],[!Type]]=S$1, S$1,"rg:None")</f>
        <v>rg:None</v>
      </c>
      <c r="T87" s="10">
        <f>IF(LEN(Table2[[#This Row],[!Length]]) &gt; 0, Table2[[#This Row],[!Length]], "rg:None")</f>
        <v>255</v>
      </c>
      <c r="U87" s="10" t="str">
        <f>IF(LEN(Table2[[#This Row],[!Name]]) &gt; 0, Table2[[#This Row],[!Name]], "rg:None")</f>
        <v>NSCPlateDecal</v>
      </c>
      <c r="V87" s="10" t="str">
        <f>IF(LEN(Table2[[#This Row],[!Description]]) &gt; 0, Table2[[#This Row],[!Description]], "rg:None")</f>
        <v>From NSC - The plate decal as defined by NSC on the vehicle</v>
      </c>
      <c r="W87" s="10" t="str">
        <f>IF(LEN(Table2[[#This Row],[!FK]])&gt;0,Table2[[#This Row],[!FK]],"rg:None")</f>
        <v>rg:None</v>
      </c>
      <c r="X87" s="10" t="str">
        <f>IF(LEN(concatif2(A:A,Table2[[#This Row],[!Table]],G:G,"Y",D:D,",")) &gt; 0,"rg:[ { 'req' : '"&amp;concatif2(A:A,Table2[[#This Row],[!Table]],G:G,"Y",D:D,"' }, { 'req': '")&amp;"'} ]","rg:[]")</f>
        <v>rg:[ { 'req' : 'id'} ]</v>
      </c>
      <c r="Y87" s="10" t="str">
        <f>IF(LEN(Table2[[#This Row],[!Unique]])&gt;0,"rg:True","rg:None")</f>
        <v>rg:None</v>
      </c>
    </row>
    <row r="88" spans="1:25" x14ac:dyDescent="0.3">
      <c r="A88" s="3" t="s">
        <v>67</v>
      </c>
      <c r="B88" s="3" t="s">
        <v>5</v>
      </c>
      <c r="C88" s="3"/>
      <c r="D88" s="3" t="s">
        <v>67</v>
      </c>
      <c r="E88" s="27" t="s">
        <v>335</v>
      </c>
      <c r="F88" s="3" t="s">
        <v>6</v>
      </c>
      <c r="G88" s="4"/>
      <c r="H88" s="4"/>
      <c r="I88" s="5" t="str">
        <f t="shared" si="2"/>
        <v>Defs</v>
      </c>
      <c r="J88" t="str">
        <f>IF(Table2[[#This Row],[!Type]]=J$1, J$1,"rg:None")</f>
        <v>rg:None</v>
      </c>
      <c r="K88" t="str">
        <f>IF(Table2[[#This Row],[!Type]]=K$1, K$1,"rg:None")</f>
        <v>rg:None</v>
      </c>
      <c r="L88" t="str">
        <f>IF(Table2[[#This Row],[!Type]]=L$1, L$1,"rg:None")</f>
        <v>rg:None</v>
      </c>
      <c r="M88" t="str">
        <f>IF(Table2[[#This Row],[!Type]]=M$1, M$1,"rg:None")</f>
        <v>rg:None</v>
      </c>
      <c r="N88" s="10" t="str">
        <f>IF(Table2[[#This Row],[!Type]]=N$1, N$1,"rg:None")</f>
        <v>rg:None</v>
      </c>
      <c r="O88" s="10" t="str">
        <f>IF(Table2[[#This Row],[!Type]]=O$1, O$1,"rg:None")</f>
        <v>rg:None</v>
      </c>
      <c r="P88" s="5" t="str">
        <f>IF(Table2[[#This Row],[!Type]]=P$1, P$1,"rg:None")</f>
        <v>rg:None</v>
      </c>
      <c r="Q88" s="5" t="str">
        <f>IF(Table2[[#This Row],[!Type]]=Q$1, Q$1,"rg:None")</f>
        <v>rg:None</v>
      </c>
      <c r="R88" s="5" t="str">
        <f>IF(Table2[[#This Row],[!Type]]=R$1, R$1,"rg:None")</f>
        <v>rg:None</v>
      </c>
      <c r="S88" s="5" t="str">
        <f>IF(Table2[[#This Row],[!Type]]=S$1, S$1,"rg:None")</f>
        <v>table</v>
      </c>
      <c r="T88" s="10" t="str">
        <f>IF(LEN(Table2[[#This Row],[!Length]]) &gt; 0, Table2[[#This Row],[!Length]], "rg:None")</f>
        <v>rg:None</v>
      </c>
      <c r="U88" s="10" t="str">
        <f>IF(LEN(Table2[[#This Row],[!Name]]) &gt; 0, Table2[[#This Row],[!Name]], "rg:None")</f>
        <v>Inspection</v>
      </c>
      <c r="V88" s="10" t="str">
        <f>IF(LEN(Table2[[#This Row],[!Description]]) &gt; 0, Table2[[#This Row],[!Description]], "rg:None")</f>
        <v>School Bus inspection details supplementary to the RIP inspection</v>
      </c>
      <c r="W88" s="10" t="str">
        <f>IF(LEN(Table2[[#This Row],[!FK]])&gt;0,Table2[[#This Row],[!FK]],"rg:None")</f>
        <v>rg:None</v>
      </c>
      <c r="X88" s="10" t="str">
        <f>IF(LEN(concatif2(A:A,Table2[[#This Row],[!Table]],G:G,"Y",D:D,",")) &gt; 0,"rg:[ { 'req' : '"&amp;concatif2(A:A,Table2[[#This Row],[!Table]],G:G,"Y",D:D,"' }, { 'req': '")&amp;"'} ]","rg:[]")</f>
        <v>rg:[ { 'req' : 'id' }, { 'req': 'inspectionDate' }, { 'req': 'inspectionTypeCode' }, { 'req': 'inspectionResultCode' }, { 'req': 'createdDate'} ]</v>
      </c>
      <c r="Y88" s="10" t="str">
        <f>IF(LEN(Table2[[#This Row],[!Unique]])&gt;0,"rg:True","rg:None")</f>
        <v>rg:None</v>
      </c>
    </row>
    <row r="89" spans="1:25" x14ac:dyDescent="0.3">
      <c r="A89" s="3" t="s">
        <v>67</v>
      </c>
      <c r="B89" s="3" t="s">
        <v>7</v>
      </c>
      <c r="C89" s="3"/>
      <c r="D89" s="3" t="s">
        <v>7</v>
      </c>
      <c r="E89" s="42" t="s">
        <v>296</v>
      </c>
      <c r="F89" s="3" t="s">
        <v>6</v>
      </c>
      <c r="G89" s="4" t="s">
        <v>136</v>
      </c>
      <c r="H89" s="45" t="s">
        <v>136</v>
      </c>
      <c r="I89" s="5" t="str">
        <f t="shared" si="2"/>
        <v>Defs</v>
      </c>
      <c r="J89" t="str">
        <f>IF(Table2[[#This Row],[!Type]]=J$1, J$1,"rg:None")</f>
        <v>rg:None</v>
      </c>
      <c r="K89" t="str">
        <f>IF(Table2[[#This Row],[!Type]]=K$1, K$1,"rg:None")</f>
        <v>rg:None</v>
      </c>
      <c r="L89" t="str">
        <f>IF(Table2[[#This Row],[!Type]]=L$1, L$1,"rg:None")</f>
        <v>rg:None</v>
      </c>
      <c r="M89" t="str">
        <f>IF(Table2[[#This Row],[!Type]]=M$1, M$1,"rg:None")</f>
        <v>id</v>
      </c>
      <c r="N89" s="10" t="str">
        <f>IF(Table2[[#This Row],[!Type]]=N$1, N$1,"rg:None")</f>
        <v>rg:None</v>
      </c>
      <c r="O89" s="10" t="str">
        <f>IF(Table2[[#This Row],[!Type]]=O$1, O$1,"rg:None")</f>
        <v>rg:None</v>
      </c>
      <c r="P89" s="5" t="str">
        <f>IF(Table2[[#This Row],[!Type]]=P$1, P$1,"rg:None")</f>
        <v>rg:None</v>
      </c>
      <c r="Q89" s="5" t="str">
        <f>IF(Table2[[#This Row],[!Type]]=Q$1, Q$1,"rg:None")</f>
        <v>rg:None</v>
      </c>
      <c r="R89" s="5" t="str">
        <f>IF(Table2[[#This Row],[!Type]]=R$1, R$1,"rg:None")</f>
        <v>rg:None</v>
      </c>
      <c r="S89" s="5" t="str">
        <f>IF(Table2[[#This Row],[!Type]]=S$1, S$1,"rg:None")</f>
        <v>rg:None</v>
      </c>
      <c r="T89" s="10" t="str">
        <f>IF(LEN(Table2[[#This Row],[!Length]]) &gt; 0, Table2[[#This Row],[!Length]], "rg:None")</f>
        <v>rg:None</v>
      </c>
      <c r="U89" s="10" t="str">
        <f>IF(LEN(Table2[[#This Row],[!Name]]) &gt; 0, Table2[[#This Row],[!Name]], "rg:None")</f>
        <v>id</v>
      </c>
      <c r="V89" s="10" t="str">
        <f>IF(LEN(Table2[[#This Row],[!Description]]) &gt; 0, Table2[[#This Row],[!Description]], "rg:None")</f>
        <v>A system-generated unique identifier for an Inspection</v>
      </c>
      <c r="W89" s="10" t="str">
        <f>IF(LEN(Table2[[#This Row],[!FK]])&gt;0,Table2[[#This Row],[!FK]],"rg:None")</f>
        <v>rg:None</v>
      </c>
      <c r="X89" s="10" t="str">
        <f>IF(LEN(concatif2(A:A,Table2[[#This Row],[!Table]],G:G,"Y",D:D,",")) &gt; 0,"rg:[ { 'req' : '"&amp;concatif2(A:A,Table2[[#This Row],[!Table]],G:G,"Y",D:D,"' }, { 'req': '")&amp;"'} ]","rg:[]")</f>
        <v>rg:[ { 'req' : 'id' }, { 'req': 'inspectionDate' }, { 'req': 'inspectionTypeCode' }, { 'req': 'inspectionResultCode' }, { 'req': 'createdDate'} ]</v>
      </c>
      <c r="Y89" s="10" t="str">
        <f>IF(LEN(Table2[[#This Row],[!Unique]])&gt;0,"rg:True","rg:None")</f>
        <v>rg:True</v>
      </c>
    </row>
    <row r="90" spans="1:25" x14ac:dyDescent="0.3">
      <c r="A90" s="3" t="s">
        <v>67</v>
      </c>
      <c r="B90" s="3" t="s">
        <v>9</v>
      </c>
      <c r="C90" s="3"/>
      <c r="D90" s="3" t="s">
        <v>39</v>
      </c>
      <c r="E90" s="27"/>
      <c r="F90" s="3" t="s">
        <v>4</v>
      </c>
      <c r="G90" s="4"/>
      <c r="H90" s="4"/>
      <c r="I90" s="5" t="str">
        <f t="shared" si="2"/>
        <v>Defs</v>
      </c>
      <c r="J90" t="str">
        <f>IF(Table2[[#This Row],[!Type]]=J$1, J$1,"rg:None")</f>
        <v>rg:None</v>
      </c>
      <c r="K90" t="str">
        <f>IF(Table2[[#This Row],[!Type]]=K$1, K$1,"rg:None")</f>
        <v>rg:None</v>
      </c>
      <c r="L90" t="str">
        <f>IF(Table2[[#This Row],[!Type]]=L$1, L$1,"rg:None")</f>
        <v>rg:None</v>
      </c>
      <c r="M90" t="str">
        <f>IF(Table2[[#This Row],[!Type]]=M$1, M$1,"rg:None")</f>
        <v>rg:None</v>
      </c>
      <c r="N90" s="10" t="str">
        <f>IF(Table2[[#This Row],[!Type]]=N$1, N$1,"rg:None")</f>
        <v>rg:None</v>
      </c>
      <c r="O90" s="10" t="str">
        <f>IF(Table2[[#This Row],[!Type]]=O$1, O$1,"rg:None")</f>
        <v>rg:None</v>
      </c>
      <c r="P90" s="5" t="str">
        <f>IF(Table2[[#This Row],[!Type]]=P$1, P$1,"rg:None")</f>
        <v>rg:None</v>
      </c>
      <c r="Q90" s="5" t="str">
        <f>IF(Table2[[#This Row],[!Type]]=Q$1, Q$1,"rg:None")</f>
        <v>ref</v>
      </c>
      <c r="R90" s="5" t="str">
        <f>IF(Table2[[#This Row],[!Type]]=R$1, R$1,"rg:None")</f>
        <v>rg:None</v>
      </c>
      <c r="S90" s="5" t="str">
        <f>IF(Table2[[#This Row],[!Type]]=S$1, S$1,"rg:None")</f>
        <v>rg:None</v>
      </c>
      <c r="T90" s="10" t="str">
        <f>IF(LEN(Table2[[#This Row],[!Length]]) &gt; 0, Table2[[#This Row],[!Length]], "rg:None")</f>
        <v>rg:None</v>
      </c>
      <c r="U90" s="10" t="str">
        <f>IF(LEN(Table2[[#This Row],[!Name]]) &gt; 0, Table2[[#This Row],[!Name]], "rg:None")</f>
        <v>schoolBus</v>
      </c>
      <c r="V90" s="10" t="str">
        <f>IF(LEN(Table2[[#This Row],[!Description]]) &gt; 0, Table2[[#This Row],[!Description]], "rg:None")</f>
        <v>rg:None</v>
      </c>
      <c r="W90" s="10" t="str">
        <f>IF(LEN(Table2[[#This Row],[!FK]])&gt;0,Table2[[#This Row],[!FK]],"rg:None")</f>
        <v>SchoolBus</v>
      </c>
      <c r="X90" s="10" t="str">
        <f>IF(LEN(concatif2(A:A,Table2[[#This Row],[!Table]],G:G,"Y",D:D,",")) &gt; 0,"rg:[ { 'req' : '"&amp;concatif2(A:A,Table2[[#This Row],[!Table]],G:G,"Y",D:D,"' }, { 'req': '")&amp;"'} ]","rg:[]")</f>
        <v>rg:[ { 'req' : 'id' }, { 'req': 'inspectionDate' }, { 'req': 'inspectionTypeCode' }, { 'req': 'inspectionResultCode' }, { 'req': 'createdDate'} ]</v>
      </c>
      <c r="Y90" s="10" t="str">
        <f>IF(LEN(Table2[[#This Row],[!Unique]])&gt;0,"rg:True","rg:None")</f>
        <v>rg:None</v>
      </c>
    </row>
    <row r="91" spans="1:25" x14ac:dyDescent="0.3">
      <c r="A91" s="3" t="s">
        <v>67</v>
      </c>
      <c r="B91" s="3" t="s">
        <v>9</v>
      </c>
      <c r="C91" s="3"/>
      <c r="D91" s="3" t="s">
        <v>68</v>
      </c>
      <c r="E91" s="27" t="s">
        <v>69</v>
      </c>
      <c r="F91" s="3" t="s">
        <v>0</v>
      </c>
      <c r="G91" s="4"/>
      <c r="H91" s="4"/>
      <c r="I91" s="5" t="str">
        <f t="shared" ref="I91:I190" si="3">IF(LEN(A91) &gt; 0,"Defs","-")</f>
        <v>Defs</v>
      </c>
      <c r="J91" t="str">
        <f>IF(Table2[[#This Row],[!Type]]=J$1, J$1,"rg:None")</f>
        <v>rg:None</v>
      </c>
      <c r="K91" t="str">
        <f>IF(Table2[[#This Row],[!Type]]=K$1, K$1,"rg:None")</f>
        <v>rg:None</v>
      </c>
      <c r="L91" t="str">
        <f>IF(Table2[[#This Row],[!Type]]=L$1, L$1,"rg:None")</f>
        <v>rg:None</v>
      </c>
      <c r="M91" t="str">
        <f>IF(Table2[[#This Row],[!Type]]=M$1, M$1,"rg:None")</f>
        <v>rg:None</v>
      </c>
      <c r="N91" s="10" t="str">
        <f>IF(Table2[[#This Row],[!Type]]=N$1, N$1,"rg:None")</f>
        <v>rg:None</v>
      </c>
      <c r="O91" s="10" t="str">
        <f>IF(Table2[[#This Row],[!Type]]=O$1, O$1,"rg:None")</f>
        <v>rg:None</v>
      </c>
      <c r="P91" s="5" t="str">
        <f>IF(Table2[[#This Row],[!Type]]=P$1, P$1,"rg:None")</f>
        <v>rg:None</v>
      </c>
      <c r="Q91" s="5" t="str">
        <f>IF(Table2[[#This Row],[!Type]]=Q$1, Q$1,"rg:None")</f>
        <v>ref</v>
      </c>
      <c r="R91" s="5" t="str">
        <f>IF(Table2[[#This Row],[!Type]]=R$1, R$1,"rg:None")</f>
        <v>rg:None</v>
      </c>
      <c r="S91" s="5" t="str">
        <f>IF(Table2[[#This Row],[!Type]]=S$1, S$1,"rg:None")</f>
        <v>rg:None</v>
      </c>
      <c r="T91" s="10" t="str">
        <f>IF(LEN(Table2[[#This Row],[!Length]]) &gt; 0, Table2[[#This Row],[!Length]], "rg:None")</f>
        <v>rg:None</v>
      </c>
      <c r="U91" s="10" t="str">
        <f>IF(LEN(Table2[[#This Row],[!Name]]) &gt; 0, Table2[[#This Row],[!Name]], "rg:None")</f>
        <v>inspector</v>
      </c>
      <c r="V91" s="10" t="str">
        <f>IF(LEN(Table2[[#This Row],[!Description]]) &gt; 0, Table2[[#This Row],[!Description]], "rg:None")</f>
        <v>Defaults for a new inspection to the current user,  but can be changed as needed.</v>
      </c>
      <c r="W91" s="10" t="str">
        <f>IF(LEN(Table2[[#This Row],[!FK]])&gt;0,Table2[[#This Row],[!FK]],"rg:None")</f>
        <v>User</v>
      </c>
      <c r="X91" s="10" t="str">
        <f>IF(LEN(concatif2(A:A,Table2[[#This Row],[!Table]],G:G,"Y",D:D,",")) &gt; 0,"rg:[ { 'req' : '"&amp;concatif2(A:A,Table2[[#This Row],[!Table]],G:G,"Y",D:D,"' }, { 'req': '")&amp;"'} ]","rg:[]")</f>
        <v>rg:[ { 'req' : 'id' }, { 'req': 'inspectionDate' }, { 'req': 'inspectionTypeCode' }, { 'req': 'inspectionResultCode' }, { 'req': 'createdDate'} ]</v>
      </c>
      <c r="Y91" s="10" t="str">
        <f>IF(LEN(Table2[[#This Row],[!Unique]])&gt;0,"rg:True","rg:None")</f>
        <v>rg:None</v>
      </c>
    </row>
    <row r="92" spans="1:25" x14ac:dyDescent="0.3">
      <c r="A92" s="3" t="s">
        <v>67</v>
      </c>
      <c r="B92" s="3" t="s">
        <v>25</v>
      </c>
      <c r="C92" s="3"/>
      <c r="D92" s="3" t="s">
        <v>70</v>
      </c>
      <c r="E92" s="27" t="s">
        <v>336</v>
      </c>
      <c r="F92" s="3" t="s">
        <v>6</v>
      </c>
      <c r="G92" s="45" t="s">
        <v>136</v>
      </c>
      <c r="H92" s="4"/>
      <c r="I92" s="5" t="str">
        <f t="shared" si="3"/>
        <v>Defs</v>
      </c>
      <c r="J92" t="str">
        <f>IF(Table2[[#This Row],[!Type]]=J$1, J$1,"rg:None")</f>
        <v>rg:None</v>
      </c>
      <c r="K92" t="str">
        <f>IF(Table2[[#This Row],[!Type]]=K$1, K$1,"rg:None")</f>
        <v>rg:None</v>
      </c>
      <c r="L92" t="str">
        <f>IF(Table2[[#This Row],[!Type]]=L$1, L$1,"rg:None")</f>
        <v>datetime</v>
      </c>
      <c r="M92" t="str">
        <f>IF(Table2[[#This Row],[!Type]]=M$1, M$1,"rg:None")</f>
        <v>rg:None</v>
      </c>
      <c r="N92" s="10" t="str">
        <f>IF(Table2[[#This Row],[!Type]]=N$1, N$1,"rg:None")</f>
        <v>rg:None</v>
      </c>
      <c r="O92" s="10" t="str">
        <f>IF(Table2[[#This Row],[!Type]]=O$1, O$1,"rg:None")</f>
        <v>rg:None</v>
      </c>
      <c r="P92" s="5" t="str">
        <f>IF(Table2[[#This Row],[!Type]]=P$1, P$1,"rg:None")</f>
        <v>rg:None</v>
      </c>
      <c r="Q92" s="5" t="str">
        <f>IF(Table2[[#This Row],[!Type]]=Q$1, Q$1,"rg:None")</f>
        <v>rg:None</v>
      </c>
      <c r="R92" s="5" t="str">
        <f>IF(Table2[[#This Row],[!Type]]=R$1, R$1,"rg:None")</f>
        <v>rg:None</v>
      </c>
      <c r="S92" s="5" t="str">
        <f>IF(Table2[[#This Row],[!Type]]=S$1, S$1,"rg:None")</f>
        <v>rg:None</v>
      </c>
      <c r="T92" s="10" t="str">
        <f>IF(LEN(Table2[[#This Row],[!Length]]) &gt; 0, Table2[[#This Row],[!Length]], "rg:None")</f>
        <v>rg:None</v>
      </c>
      <c r="U92" s="10" t="str">
        <f>IF(LEN(Table2[[#This Row],[!Name]]) &gt; 0, Table2[[#This Row],[!Name]], "rg:None")</f>
        <v>inspectionDate</v>
      </c>
      <c r="V92" s="10" t="str">
        <f>IF(LEN(Table2[[#This Row],[!Description]]) &gt; 0, Table2[[#This Row],[!Description]], "rg:None")</f>
        <v>The date and time the inspection was conducted.</v>
      </c>
      <c r="W92" s="10" t="str">
        <f>IF(LEN(Table2[[#This Row],[!FK]])&gt;0,Table2[[#This Row],[!FK]],"rg:None")</f>
        <v>rg:None</v>
      </c>
      <c r="X92" s="10" t="str">
        <f>IF(LEN(concatif2(A:A,Table2[[#This Row],[!Table]],G:G,"Y",D:D,",")) &gt; 0,"rg:[ { 'req' : '"&amp;concatif2(A:A,Table2[[#This Row],[!Table]],G:G,"Y",D:D,"' }, { 'req': '")&amp;"'} ]","rg:[]")</f>
        <v>rg:[ { 'req' : 'id' }, { 'req': 'inspectionDate' }, { 'req': 'inspectionTypeCode' }, { 'req': 'inspectionResultCode' }, { 'req': 'createdDate'} ]</v>
      </c>
      <c r="Y92" s="10" t="str">
        <f>IF(LEN(Table2[[#This Row],[!Unique]])&gt;0,"rg:True","rg:None")</f>
        <v>rg:None</v>
      </c>
    </row>
    <row r="93" spans="1:25" x14ac:dyDescent="0.3">
      <c r="A93" s="3" t="s">
        <v>67</v>
      </c>
      <c r="B93" s="3" t="s">
        <v>8</v>
      </c>
      <c r="C93" s="3">
        <v>255</v>
      </c>
      <c r="D93" s="24" t="s">
        <v>261</v>
      </c>
      <c r="E93" s="27" t="s">
        <v>71</v>
      </c>
      <c r="F93" s="3" t="s">
        <v>6</v>
      </c>
      <c r="G93" s="45" t="s">
        <v>136</v>
      </c>
      <c r="H93" s="4"/>
      <c r="I93" s="5" t="str">
        <f t="shared" si="3"/>
        <v>Defs</v>
      </c>
      <c r="J93" t="str">
        <f>IF(Table2[[#This Row],[!Type]]=J$1, J$1,"rg:None")</f>
        <v>rg:None</v>
      </c>
      <c r="K93" t="str">
        <f>IF(Table2[[#This Row],[!Type]]=K$1, K$1,"rg:None")</f>
        <v>rg:None</v>
      </c>
      <c r="L93" t="str">
        <f>IF(Table2[[#This Row],[!Type]]=L$1, L$1,"rg:None")</f>
        <v>rg:None</v>
      </c>
      <c r="M93" t="str">
        <f>IF(Table2[[#This Row],[!Type]]=M$1, M$1,"rg:None")</f>
        <v>rg:None</v>
      </c>
      <c r="N93" s="10" t="str">
        <f>IF(Table2[[#This Row],[!Type]]=N$1, N$1,"rg:None")</f>
        <v>rg:None</v>
      </c>
      <c r="O93" s="10" t="str">
        <f>IF(Table2[[#This Row],[!Type]]=O$1, O$1,"rg:None")</f>
        <v>rg:None</v>
      </c>
      <c r="P93" s="5" t="str">
        <f>IF(Table2[[#This Row],[!Type]]=P$1, P$1,"rg:None")</f>
        <v>rg:None</v>
      </c>
      <c r="Q93" s="5" t="str">
        <f>IF(Table2[[#This Row],[!Type]]=Q$1, Q$1,"rg:None")</f>
        <v>rg:None</v>
      </c>
      <c r="R93" s="5" t="str">
        <f>IF(Table2[[#This Row],[!Type]]=R$1, R$1,"rg:None")</f>
        <v>string</v>
      </c>
      <c r="S93" s="5" t="str">
        <f>IF(Table2[[#This Row],[!Type]]=S$1, S$1,"rg:None")</f>
        <v>rg:None</v>
      </c>
      <c r="T93" s="10">
        <f>IF(LEN(Table2[[#This Row],[!Length]]) &gt; 0, Table2[[#This Row],[!Length]], "rg:None")</f>
        <v>255</v>
      </c>
      <c r="U93" s="10" t="str">
        <f>IF(LEN(Table2[[#This Row],[!Name]]) &gt; 0, Table2[[#This Row],[!Name]], "rg:None")</f>
        <v>inspectionTypeCode</v>
      </c>
      <c r="V93" s="10" t="str">
        <f>IF(LEN(Table2[[#This Row],[!Description]]) &gt; 0, Table2[[#This Row],[!Description]], "rg:None")</f>
        <v>The type of the inspection - enumerated type of Annual or Re-inspection,  pulled from the School Bus record at the time the inspection record is created</v>
      </c>
      <c r="W93" s="10" t="str">
        <f>IF(LEN(Table2[[#This Row],[!FK]])&gt;0,Table2[[#This Row],[!FK]],"rg:None")</f>
        <v>rg:None</v>
      </c>
      <c r="X93" s="10" t="str">
        <f>IF(LEN(concatif2(A:A,Table2[[#This Row],[!Table]],G:G,"Y",D:D,",")) &gt; 0,"rg:[ { 'req' : '"&amp;concatif2(A:A,Table2[[#This Row],[!Table]],G:G,"Y",D:D,"' }, { 'req': '")&amp;"'} ]","rg:[]")</f>
        <v>rg:[ { 'req' : 'id' }, { 'req': 'inspectionDate' }, { 'req': 'inspectionTypeCode' }, { 'req': 'inspectionResultCode' }, { 'req': 'createdDate'} ]</v>
      </c>
      <c r="Y93" s="10" t="str">
        <f>IF(LEN(Table2[[#This Row],[!Unique]])&gt;0,"rg:True","rg:None")</f>
        <v>rg:None</v>
      </c>
    </row>
    <row r="94" spans="1:25" x14ac:dyDescent="0.3">
      <c r="A94" s="3" t="s">
        <v>67</v>
      </c>
      <c r="B94" s="3" t="s">
        <v>8</v>
      </c>
      <c r="C94" s="3">
        <v>255</v>
      </c>
      <c r="D94" s="24" t="s">
        <v>262</v>
      </c>
      <c r="E94" s="27" t="s">
        <v>72</v>
      </c>
      <c r="F94" s="3" t="s">
        <v>6</v>
      </c>
      <c r="G94" s="45" t="s">
        <v>136</v>
      </c>
      <c r="H94" s="4"/>
      <c r="I94" s="5" t="str">
        <f t="shared" si="3"/>
        <v>Defs</v>
      </c>
      <c r="J94" t="str">
        <f>IF(Table2[[#This Row],[!Type]]=J$1, J$1,"rg:None")</f>
        <v>rg:None</v>
      </c>
      <c r="K94" t="str">
        <f>IF(Table2[[#This Row],[!Type]]=K$1, K$1,"rg:None")</f>
        <v>rg:None</v>
      </c>
      <c r="L94" t="str">
        <f>IF(Table2[[#This Row],[!Type]]=L$1, L$1,"rg:None")</f>
        <v>rg:None</v>
      </c>
      <c r="M94" t="str">
        <f>IF(Table2[[#This Row],[!Type]]=M$1, M$1,"rg:None")</f>
        <v>rg:None</v>
      </c>
      <c r="N94" s="10" t="str">
        <f>IF(Table2[[#This Row],[!Type]]=N$1, N$1,"rg:None")</f>
        <v>rg:None</v>
      </c>
      <c r="O94" s="10" t="str">
        <f>IF(Table2[[#This Row],[!Type]]=O$1, O$1,"rg:None")</f>
        <v>rg:None</v>
      </c>
      <c r="P94" s="5" t="str">
        <f>IF(Table2[[#This Row],[!Type]]=P$1, P$1,"rg:None")</f>
        <v>rg:None</v>
      </c>
      <c r="Q94" s="5" t="str">
        <f>IF(Table2[[#This Row],[!Type]]=Q$1, Q$1,"rg:None")</f>
        <v>rg:None</v>
      </c>
      <c r="R94" s="5" t="str">
        <f>IF(Table2[[#This Row],[!Type]]=R$1, R$1,"rg:None")</f>
        <v>string</v>
      </c>
      <c r="S94" s="5" t="str">
        <f>IF(Table2[[#This Row],[!Type]]=S$1, S$1,"rg:None")</f>
        <v>rg:None</v>
      </c>
      <c r="T94" s="10">
        <f>IF(LEN(Table2[[#This Row],[!Length]]) &gt; 0, Table2[[#This Row],[!Length]], "rg:None")</f>
        <v>255</v>
      </c>
      <c r="U94" s="10" t="str">
        <f>IF(LEN(Table2[[#This Row],[!Name]]) &gt; 0, Table2[[#This Row],[!Name]], "rg:None")</f>
        <v>inspectionResultCode</v>
      </c>
      <c r="V94" s="10" t="str">
        <f>IF(LEN(Table2[[#This Row],[!Description]]) &gt; 0, Table2[[#This Row],[!Description]], "rg:None")</f>
        <v>The result of the inspection - enumerated type of Passed or Failed. The detailed results of the inspection are in RIP and not duplicated here.</v>
      </c>
      <c r="W94" s="10" t="str">
        <f>IF(LEN(Table2[[#This Row],[!FK]])&gt;0,Table2[[#This Row],[!FK]],"rg:None")</f>
        <v>rg:None</v>
      </c>
      <c r="X94" s="10" t="str">
        <f>IF(LEN(concatif2(A:A,Table2[[#This Row],[!Table]],G:G,"Y",D:D,",")) &gt; 0,"rg:[ { 'req' : '"&amp;concatif2(A:A,Table2[[#This Row],[!Table]],G:G,"Y",D:D,"' }, { 'req': '")&amp;"'} ]","rg:[]")</f>
        <v>rg:[ { 'req' : 'id' }, { 'req': 'inspectionDate' }, { 'req': 'inspectionTypeCode' }, { 'req': 'inspectionResultCode' }, { 'req': 'createdDate'} ]</v>
      </c>
      <c r="Y94" s="10" t="str">
        <f>IF(LEN(Table2[[#This Row],[!Unique]])&gt;0,"rg:True","rg:None")</f>
        <v>rg:None</v>
      </c>
    </row>
    <row r="95" spans="1:25" x14ac:dyDescent="0.3">
      <c r="A95" s="3" t="s">
        <v>67</v>
      </c>
      <c r="B95" s="3" t="s">
        <v>8</v>
      </c>
      <c r="C95" s="3">
        <v>2048</v>
      </c>
      <c r="D95" s="3" t="s">
        <v>54</v>
      </c>
      <c r="E95" s="27" t="s">
        <v>73</v>
      </c>
      <c r="F95" s="3" t="s">
        <v>6</v>
      </c>
      <c r="G95" s="4"/>
      <c r="H95" s="4"/>
      <c r="I95" s="5" t="str">
        <f t="shared" si="3"/>
        <v>Defs</v>
      </c>
      <c r="J95" t="str">
        <f>IF(Table2[[#This Row],[!Type]]=J$1, J$1,"rg:None")</f>
        <v>rg:None</v>
      </c>
      <c r="K95" t="str">
        <f>IF(Table2[[#This Row],[!Type]]=K$1, K$1,"rg:None")</f>
        <v>rg:None</v>
      </c>
      <c r="L95" t="str">
        <f>IF(Table2[[#This Row],[!Type]]=L$1, L$1,"rg:None")</f>
        <v>rg:None</v>
      </c>
      <c r="M95" t="str">
        <f>IF(Table2[[#This Row],[!Type]]=M$1, M$1,"rg:None")</f>
        <v>rg:None</v>
      </c>
      <c r="N95" s="10" t="str">
        <f>IF(Table2[[#This Row],[!Type]]=N$1, N$1,"rg:None")</f>
        <v>rg:None</v>
      </c>
      <c r="O95" s="10" t="str">
        <f>IF(Table2[[#This Row],[!Type]]=O$1, O$1,"rg:None")</f>
        <v>rg:None</v>
      </c>
      <c r="P95" s="5" t="str">
        <f>IF(Table2[[#This Row],[!Type]]=P$1, P$1,"rg:None")</f>
        <v>rg:None</v>
      </c>
      <c r="Q95" s="5" t="str">
        <f>IF(Table2[[#This Row],[!Type]]=Q$1, Q$1,"rg:None")</f>
        <v>rg:None</v>
      </c>
      <c r="R95" s="5" t="str">
        <f>IF(Table2[[#This Row],[!Type]]=R$1, R$1,"rg:None")</f>
        <v>string</v>
      </c>
      <c r="S95" s="5" t="str">
        <f>IF(Table2[[#This Row],[!Type]]=S$1, S$1,"rg:None")</f>
        <v>rg:None</v>
      </c>
      <c r="T95" s="10">
        <f>IF(LEN(Table2[[#This Row],[!Length]]) &gt; 0, Table2[[#This Row],[!Length]], "rg:None")</f>
        <v>2048</v>
      </c>
      <c r="U95" s="10" t="str">
        <f>IF(LEN(Table2[[#This Row],[!Name]]) &gt; 0, Table2[[#This Row],[!Name]], "rg:None")</f>
        <v>notes</v>
      </c>
      <c r="V95" s="10" t="str">
        <f>IF(LEN(Table2[[#This Row],[!Description]]) &gt; 0, Table2[[#This Row],[!Description]], "rg:None")</f>
        <v>A note about the inspection independent of what goes into the RIP inspection - this is just for the School Bus application.</v>
      </c>
      <c r="W95" s="10" t="str">
        <f>IF(LEN(Table2[[#This Row],[!FK]])&gt;0,Table2[[#This Row],[!FK]],"rg:None")</f>
        <v>rg:None</v>
      </c>
      <c r="X95" s="10" t="str">
        <f>IF(LEN(concatif2(A:A,Table2[[#This Row],[!Table]],G:G,"Y",D:D,",")) &gt; 0,"rg:[ { 'req' : '"&amp;concatif2(A:A,Table2[[#This Row],[!Table]],G:G,"Y",D:D,"' }, { 'req': '")&amp;"'} ]","rg:[]")</f>
        <v>rg:[ { 'req' : 'id' }, { 'req': 'inspectionDate' }, { 'req': 'inspectionTypeCode' }, { 'req': 'inspectionResultCode' }, { 'req': 'createdDate'} ]</v>
      </c>
      <c r="Y95" s="10" t="str">
        <f>IF(LEN(Table2[[#This Row],[!Unique]])&gt;0,"rg:True","rg:None")</f>
        <v>rg:None</v>
      </c>
    </row>
    <row r="96" spans="1:25" x14ac:dyDescent="0.3">
      <c r="A96" s="3" t="s">
        <v>67</v>
      </c>
      <c r="B96" s="3" t="s">
        <v>8</v>
      </c>
      <c r="C96" s="3">
        <v>255</v>
      </c>
      <c r="D96" s="3" t="s">
        <v>137</v>
      </c>
      <c r="E96" s="27" t="s">
        <v>74</v>
      </c>
      <c r="F96" s="3" t="s">
        <v>6</v>
      </c>
      <c r="G96" s="4"/>
      <c r="H96" s="4"/>
      <c r="I96" s="5" t="str">
        <f t="shared" si="3"/>
        <v>Defs</v>
      </c>
      <c r="J96" t="str">
        <f>IF(Table2[[#This Row],[!Type]]=J$1, J$1,"rg:None")</f>
        <v>rg:None</v>
      </c>
      <c r="K96" t="str">
        <f>IF(Table2[[#This Row],[!Type]]=K$1, K$1,"rg:None")</f>
        <v>rg:None</v>
      </c>
      <c r="L96" t="str">
        <f>IF(Table2[[#This Row],[!Type]]=L$1, L$1,"rg:None")</f>
        <v>rg:None</v>
      </c>
      <c r="M96" t="str">
        <f>IF(Table2[[#This Row],[!Type]]=M$1, M$1,"rg:None")</f>
        <v>rg:None</v>
      </c>
      <c r="N96" s="10" t="str">
        <f>IF(Table2[[#This Row],[!Type]]=N$1, N$1,"rg:None")</f>
        <v>rg:None</v>
      </c>
      <c r="O96" s="10" t="str">
        <f>IF(Table2[[#This Row],[!Type]]=O$1, O$1,"rg:None")</f>
        <v>rg:None</v>
      </c>
      <c r="P96" s="5" t="str">
        <f>IF(Table2[[#This Row],[!Type]]=P$1, P$1,"rg:None")</f>
        <v>rg:None</v>
      </c>
      <c r="Q96" s="5" t="str">
        <f>IF(Table2[[#This Row],[!Type]]=Q$1, Q$1,"rg:None")</f>
        <v>rg:None</v>
      </c>
      <c r="R96" s="5" t="str">
        <f>IF(Table2[[#This Row],[!Type]]=R$1, R$1,"rg:None")</f>
        <v>string</v>
      </c>
      <c r="S96" s="5" t="str">
        <f>IF(Table2[[#This Row],[!Type]]=S$1, S$1,"rg:None")</f>
        <v>rg:None</v>
      </c>
      <c r="T96" s="10">
        <f>IF(LEN(Table2[[#This Row],[!Length]]) &gt; 0, Table2[[#This Row],[!Length]], "rg:None")</f>
        <v>255</v>
      </c>
      <c r="U96" s="10" t="str">
        <f>IF(LEN(Table2[[#This Row],[!Name]]) &gt; 0, Table2[[#This Row],[!Name]], "rg:None")</f>
        <v>RIPInspectionId</v>
      </c>
      <c r="V96" s="10" t="str">
        <f>IF(LEN(Table2[[#This Row],[!Description]]) &gt; 0, Table2[[#This Row],[!Description]], "rg:None")</f>
        <v>The ID of the RIP inspection. The expectation is that the user will manually enter a RIP ID such that an external URL can be formed to allow the user to open the RIP inspection and see the inspection details.</v>
      </c>
      <c r="W96" s="10" t="str">
        <f>IF(LEN(Table2[[#This Row],[!FK]])&gt;0,Table2[[#This Row],[!FK]],"rg:None")</f>
        <v>rg:None</v>
      </c>
      <c r="X96" s="10" t="str">
        <f>IF(LEN(concatif2(A:A,Table2[[#This Row],[!Table]],G:G,"Y",D:D,",")) &gt; 0,"rg:[ { 'req' : '"&amp;concatif2(A:A,Table2[[#This Row],[!Table]],G:G,"Y",D:D,"' }, { 'req': '")&amp;"'} ]","rg:[]")</f>
        <v>rg:[ { 'req' : 'id' }, { 'req': 'inspectionDate' }, { 'req': 'inspectionTypeCode' }, { 'req': 'inspectionResultCode' }, { 'req': 'createdDate'} ]</v>
      </c>
      <c r="Y96" s="10" t="str">
        <f>IF(LEN(Table2[[#This Row],[!Unique]])&gt;0,"rg:True","rg:None")</f>
        <v>rg:None</v>
      </c>
    </row>
    <row r="97" spans="1:25" x14ac:dyDescent="0.3">
      <c r="A97" s="22" t="s">
        <v>67</v>
      </c>
      <c r="B97" s="22" t="s">
        <v>25</v>
      </c>
      <c r="C97" s="3"/>
      <c r="D97" s="22" t="s">
        <v>229</v>
      </c>
      <c r="E97" s="22" t="s">
        <v>337</v>
      </c>
      <c r="F97" s="6"/>
      <c r="G97" s="46" t="s">
        <v>136</v>
      </c>
      <c r="H97" s="19"/>
      <c r="I97" s="4" t="str">
        <f t="shared" ref="I97:I126" si="4">IF(LEN(A97) &gt; 0,"Defs","-")</f>
        <v>Defs</v>
      </c>
      <c r="J97" s="16" t="str">
        <f>IF(Table2[[#This Row],[!Type]]=J$1, J$1,"rg:None")</f>
        <v>rg:None</v>
      </c>
      <c r="K97" s="16" t="str">
        <f>IF(Table2[[#This Row],[!Type]]=K$1, K$1,"rg:None")</f>
        <v>rg:None</v>
      </c>
      <c r="L97" s="16" t="str">
        <f>IF(Table2[[#This Row],[!Type]]=L$1, L$1,"rg:None")</f>
        <v>datetime</v>
      </c>
      <c r="M97" s="16" t="str">
        <f>IF(Table2[[#This Row],[!Type]]=M$1, M$1,"rg:None")</f>
        <v>rg:None</v>
      </c>
      <c r="N97" s="16" t="str">
        <f>IF(Table2[[#This Row],[!Type]]=N$1, N$1,"rg:None")</f>
        <v>rg:None</v>
      </c>
      <c r="O97" s="16" t="str">
        <f>IF(Table2[[#This Row],[!Type]]=O$1, O$1,"rg:None")</f>
        <v>rg:None</v>
      </c>
      <c r="P97" s="4" t="str">
        <f>IF(Table2[[#This Row],[!Type]]=P$1, P$1,"rg:None")</f>
        <v>rg:None</v>
      </c>
      <c r="Q97" s="4" t="str">
        <f>IF(Table2[[#This Row],[!Type]]=Q$1, Q$1,"rg:None")</f>
        <v>rg:None</v>
      </c>
      <c r="R97" s="4" t="str">
        <f>IF(Table2[[#This Row],[!Type]]=R$1, R$1,"rg:None")</f>
        <v>rg:None</v>
      </c>
      <c r="S97" s="4" t="str">
        <f>IF(Table2[[#This Row],[!Type]]=S$1, S$1,"rg:None")</f>
        <v>rg:None</v>
      </c>
      <c r="T97" s="16" t="str">
        <f>IF(LEN(Table2[[#This Row],[!Length]]) &gt; 0, Table2[[#This Row],[!Length]], "rg:None")</f>
        <v>rg:None</v>
      </c>
      <c r="U97" s="16" t="str">
        <f>IF(LEN(Table2[[#This Row],[!Name]]) &gt; 0, Table2[[#This Row],[!Name]], "rg:None")</f>
        <v>createdDate</v>
      </c>
      <c r="V97" s="16" t="str">
        <f>IF(LEN(Table2[[#This Row],[!Description]]) &gt; 0, Table2[[#This Row],[!Description]], "rg:None")</f>
        <v>Record creation date and time</v>
      </c>
      <c r="W97" s="16" t="str">
        <f>IF(LEN(Table2[[#This Row],[!FK]])&gt;0,Table2[[#This Row],[!FK]],"rg:None")</f>
        <v>rg:None</v>
      </c>
      <c r="X97" s="16" t="str">
        <f>IF(LEN(concatif2(A:A,Table2[[#This Row],[!Table]],G:G,"Y",D:D,",")) &gt; 0,"rg:[ { 'req' : '"&amp;concatif2(A:A,Table2[[#This Row],[!Table]],G:G,"Y",D:D,"' }, { 'req': '")&amp;"'} ]","rg:[]")</f>
        <v>rg:[ { 'req' : 'id' }, { 'req': 'inspectionDate' }, { 'req': 'inspectionTypeCode' }, { 'req': 'inspectionResultCode' }, { 'req': 'createdDate'} ]</v>
      </c>
      <c r="Y97" s="16" t="str">
        <f>IF(LEN(Table2[[#This Row],[!Unique]])&gt;0,"rg:True","rg:None")</f>
        <v>rg:None</v>
      </c>
    </row>
    <row r="98" spans="1:25" x14ac:dyDescent="0.3">
      <c r="A98" s="24" t="s">
        <v>234</v>
      </c>
      <c r="B98" s="3" t="s">
        <v>5</v>
      </c>
      <c r="C98" s="3"/>
      <c r="D98" s="24" t="s">
        <v>234</v>
      </c>
      <c r="E98" s="28" t="s">
        <v>239</v>
      </c>
      <c r="F98" s="3" t="s">
        <v>6</v>
      </c>
      <c r="G98" s="4"/>
      <c r="H98" s="4"/>
      <c r="I98" s="5" t="str">
        <f t="shared" si="4"/>
        <v>Defs</v>
      </c>
      <c r="J98" t="str">
        <f>IF(Table2[[#This Row],[!Type]]=J$1, J$1,"rg:None")</f>
        <v>rg:None</v>
      </c>
      <c r="K98" t="str">
        <f>IF(Table2[[#This Row],[!Type]]=K$1, K$1,"rg:None")</f>
        <v>rg:None</v>
      </c>
      <c r="L98" t="str">
        <f>IF(Table2[[#This Row],[!Type]]=L$1, L$1,"rg:None")</f>
        <v>rg:None</v>
      </c>
      <c r="M98" t="str">
        <f>IF(Table2[[#This Row],[!Type]]=M$1, M$1,"rg:None")</f>
        <v>rg:None</v>
      </c>
      <c r="N98" s="10" t="str">
        <f>IF(Table2[[#This Row],[!Type]]=N$1, N$1,"rg:None")</f>
        <v>rg:None</v>
      </c>
      <c r="O98" s="10" t="str">
        <f>IF(Table2[[#This Row],[!Type]]=O$1, O$1,"rg:None")</f>
        <v>rg:None</v>
      </c>
      <c r="P98" s="5" t="str">
        <f>IF(Table2[[#This Row],[!Type]]=P$1, P$1,"rg:None")</f>
        <v>rg:None</v>
      </c>
      <c r="Q98" s="5" t="str">
        <f>IF(Table2[[#This Row],[!Type]]=Q$1, Q$1,"rg:None")</f>
        <v>rg:None</v>
      </c>
      <c r="R98" s="5" t="str">
        <f>IF(Table2[[#This Row],[!Type]]=R$1, R$1,"rg:None")</f>
        <v>rg:None</v>
      </c>
      <c r="S98" s="5" t="str">
        <f>IF(Table2[[#This Row],[!Type]]=S$1, S$1,"rg:None")</f>
        <v>table</v>
      </c>
      <c r="T98" s="10" t="str">
        <f>IF(LEN(Table2[[#This Row],[!Length]]) &gt; 0, Table2[[#This Row],[!Length]], "rg:None")</f>
        <v>rg:None</v>
      </c>
      <c r="U98" s="10" t="str">
        <f>IF(LEN(Table2[[#This Row],[!Name]]) &gt; 0, Table2[[#This Row],[!Name]], "rg:None")</f>
        <v>Note</v>
      </c>
      <c r="V98" s="10" t="str">
        <f>IF(LEN(Table2[[#This Row],[!Description]]) &gt; 0, Table2[[#This Row],[!Description]], "rg:None")</f>
        <v>Notes entered by users about instance of entities - e.g. School Buses and School Bus Owners</v>
      </c>
      <c r="W98" s="10" t="str">
        <f>IF(LEN(Table2[[#This Row],[!FK]])&gt;0,Table2[[#This Row],[!FK]],"rg:None")</f>
        <v>rg:None</v>
      </c>
      <c r="X98" s="10" t="str">
        <f>IF(LEN(concatif2(A:A,Table2[[#This Row],[!Table]],G:G,"Y",D:D,",")) &gt; 0,"rg:[ { 'req' : '"&amp;concatif2(A:A,Table2[[#This Row],[!Table]],G:G,"Y",D:D,"' }, { 'req': '")&amp;"'} ]","rg:[]")</f>
        <v>rg:[ { 'req' : 'id' }, { 'req': 'noteText'} ]</v>
      </c>
      <c r="Y98" s="10" t="str">
        <f>IF(LEN(Table2[[#This Row],[!Unique]])&gt;0,"rg:True","rg:None")</f>
        <v>rg:None</v>
      </c>
    </row>
    <row r="99" spans="1:25" x14ac:dyDescent="0.3">
      <c r="A99" s="24" t="s">
        <v>234</v>
      </c>
      <c r="B99" s="3" t="s">
        <v>7</v>
      </c>
      <c r="C99" s="3"/>
      <c r="D99" s="3" t="s">
        <v>7</v>
      </c>
      <c r="E99" s="27" t="s">
        <v>277</v>
      </c>
      <c r="F99" s="3" t="s">
        <v>6</v>
      </c>
      <c r="G99" s="4" t="s">
        <v>136</v>
      </c>
      <c r="H99" s="45" t="s">
        <v>136</v>
      </c>
      <c r="I99" s="5" t="str">
        <f t="shared" si="4"/>
        <v>Defs</v>
      </c>
      <c r="J99" t="str">
        <f>IF(Table2[[#This Row],[!Type]]=J$1, J$1,"rg:None")</f>
        <v>rg:None</v>
      </c>
      <c r="K99" t="str">
        <f>IF(Table2[[#This Row],[!Type]]=K$1, K$1,"rg:None")</f>
        <v>rg:None</v>
      </c>
      <c r="L99" t="str">
        <f>IF(Table2[[#This Row],[!Type]]=L$1, L$1,"rg:None")</f>
        <v>rg:None</v>
      </c>
      <c r="M99" t="str">
        <f>IF(Table2[[#This Row],[!Type]]=M$1, M$1,"rg:None")</f>
        <v>id</v>
      </c>
      <c r="N99" s="10" t="str">
        <f>IF(Table2[[#This Row],[!Type]]=N$1, N$1,"rg:None")</f>
        <v>rg:None</v>
      </c>
      <c r="O99" s="10" t="str">
        <f>IF(Table2[[#This Row],[!Type]]=O$1, O$1,"rg:None")</f>
        <v>rg:None</v>
      </c>
      <c r="P99" s="5" t="str">
        <f>IF(Table2[[#This Row],[!Type]]=P$1, P$1,"rg:None")</f>
        <v>rg:None</v>
      </c>
      <c r="Q99" s="5" t="str">
        <f>IF(Table2[[#This Row],[!Type]]=Q$1, Q$1,"rg:None")</f>
        <v>rg:None</v>
      </c>
      <c r="R99" s="5" t="str">
        <f>IF(Table2[[#This Row],[!Type]]=R$1, R$1,"rg:None")</f>
        <v>rg:None</v>
      </c>
      <c r="S99" s="5" t="str">
        <f>IF(Table2[[#This Row],[!Type]]=S$1, S$1,"rg:None")</f>
        <v>rg:None</v>
      </c>
      <c r="T99" s="10" t="str">
        <f>IF(LEN(Table2[[#This Row],[!Length]]) &gt; 0, Table2[[#This Row],[!Length]], "rg:None")</f>
        <v>rg:None</v>
      </c>
      <c r="U99" s="10" t="str">
        <f>IF(LEN(Table2[[#This Row],[!Name]]) &gt; 0, Table2[[#This Row],[!Name]], "rg:None")</f>
        <v>id</v>
      </c>
      <c r="V99" s="10" t="str">
        <f>IF(LEN(Table2[[#This Row],[!Description]]) &gt; 0, Table2[[#This Row],[!Description]], "rg:None")</f>
        <v>A system-generated unique identifier for a Note</v>
      </c>
      <c r="W99" s="10" t="str">
        <f>IF(LEN(Table2[[#This Row],[!FK]])&gt;0,Table2[[#This Row],[!FK]],"rg:None")</f>
        <v>rg:None</v>
      </c>
      <c r="X99" s="10" t="str">
        <f>IF(LEN(concatif2(A:A,Table2[[#This Row],[!Table]],G:G,"Y",D:D,",")) &gt; 0,"rg:[ { 'req' : '"&amp;concatif2(A:A,Table2[[#This Row],[!Table]],G:G,"Y",D:D,"' }, { 'req': '")&amp;"'} ]","rg:[]")</f>
        <v>rg:[ { 'req' : 'id' }, { 'req': 'noteText'} ]</v>
      </c>
      <c r="Y99" s="10" t="str">
        <f>IF(LEN(Table2[[#This Row],[!Unique]])&gt;0,"rg:True","rg:None")</f>
        <v>rg:True</v>
      </c>
    </row>
    <row r="100" spans="1:25" x14ac:dyDescent="0.3">
      <c r="A100" s="24" t="s">
        <v>234</v>
      </c>
      <c r="B100" s="3" t="s">
        <v>8</v>
      </c>
      <c r="C100" s="3">
        <v>2048</v>
      </c>
      <c r="D100" s="24" t="s">
        <v>263</v>
      </c>
      <c r="E100" s="27" t="s">
        <v>37</v>
      </c>
      <c r="F100" s="3" t="s">
        <v>6</v>
      </c>
      <c r="G100" s="45" t="s">
        <v>136</v>
      </c>
      <c r="H100" s="4"/>
      <c r="I100" s="5" t="str">
        <f t="shared" si="4"/>
        <v>Defs</v>
      </c>
      <c r="J100" t="str">
        <f>IF(Table2[[#This Row],[!Type]]=J$1, J$1,"rg:None")</f>
        <v>rg:None</v>
      </c>
      <c r="K100" t="str">
        <f>IF(Table2[[#This Row],[!Type]]=K$1, K$1,"rg:None")</f>
        <v>rg:None</v>
      </c>
      <c r="L100" t="str">
        <f>IF(Table2[[#This Row],[!Type]]=L$1, L$1,"rg:None")</f>
        <v>rg:None</v>
      </c>
      <c r="M100" t="str">
        <f>IF(Table2[[#This Row],[!Type]]=M$1, M$1,"rg:None")</f>
        <v>rg:None</v>
      </c>
      <c r="N100" s="10" t="str">
        <f>IF(Table2[[#This Row],[!Type]]=N$1, N$1,"rg:None")</f>
        <v>rg:None</v>
      </c>
      <c r="O100" s="10" t="str">
        <f>IF(Table2[[#This Row],[!Type]]=O$1, O$1,"rg:None")</f>
        <v>rg:None</v>
      </c>
      <c r="P100" s="5" t="str">
        <f>IF(Table2[[#This Row],[!Type]]=P$1, P$1,"rg:None")</f>
        <v>rg:None</v>
      </c>
      <c r="Q100" s="5" t="str">
        <f>IF(Table2[[#This Row],[!Type]]=Q$1, Q$1,"rg:None")</f>
        <v>rg:None</v>
      </c>
      <c r="R100" s="5" t="str">
        <f>IF(Table2[[#This Row],[!Type]]=R$1, R$1,"rg:None")</f>
        <v>string</v>
      </c>
      <c r="S100" s="5" t="str">
        <f>IF(Table2[[#This Row],[!Type]]=S$1, S$1,"rg:None")</f>
        <v>rg:None</v>
      </c>
      <c r="T100" s="10">
        <f>IF(LEN(Table2[[#This Row],[!Length]]) &gt; 0, Table2[[#This Row],[!Length]], "rg:None")</f>
        <v>2048</v>
      </c>
      <c r="U100" s="10" t="str">
        <f>IF(LEN(Table2[[#This Row],[!Name]]) &gt; 0, Table2[[#This Row],[!Name]], "rg:None")</f>
        <v>noteText</v>
      </c>
      <c r="V100" s="10" t="str">
        <f>IF(LEN(Table2[[#This Row],[!Description]]) &gt; 0, Table2[[#This Row],[!Description]], "rg:None")</f>
        <v>The contents of the note.</v>
      </c>
      <c r="W100" s="10" t="str">
        <f>IF(LEN(Table2[[#This Row],[!FK]])&gt;0,Table2[[#This Row],[!FK]],"rg:None")</f>
        <v>rg:None</v>
      </c>
      <c r="X100" s="10" t="str">
        <f>IF(LEN(concatif2(A:A,Table2[[#This Row],[!Table]],G:G,"Y",D:D,",")) &gt; 0,"rg:[ { 'req' : '"&amp;concatif2(A:A,Table2[[#This Row],[!Table]],G:G,"Y",D:D,"' }, { 'req': '")&amp;"'} ]","rg:[]")</f>
        <v>rg:[ { 'req' : 'id' }, { 'req': 'noteText'} ]</v>
      </c>
      <c r="Y100" s="10" t="str">
        <f>IF(LEN(Table2[[#This Row],[!Unique]])&gt;0,"rg:True","rg:None")</f>
        <v>rg:None</v>
      </c>
    </row>
    <row r="101" spans="1:25" x14ac:dyDescent="0.3">
      <c r="A101" s="24" t="s">
        <v>234</v>
      </c>
      <c r="B101" s="3" t="s">
        <v>14</v>
      </c>
      <c r="C101" s="3"/>
      <c r="D101" s="3" t="s">
        <v>38</v>
      </c>
      <c r="E101" s="28" t="s">
        <v>240</v>
      </c>
      <c r="F101" s="3" t="s">
        <v>6</v>
      </c>
      <c r="G101" s="4"/>
      <c r="H101" s="4"/>
      <c r="I101" s="5" t="str">
        <f t="shared" si="4"/>
        <v>Defs</v>
      </c>
      <c r="J101" t="str">
        <f>IF(Table2[[#This Row],[!Type]]=J$1, J$1,"rg:None")</f>
        <v>boolean</v>
      </c>
      <c r="K101" t="str">
        <f>IF(Table2[[#This Row],[!Type]]=K$1, K$1,"rg:None")</f>
        <v>rg:None</v>
      </c>
      <c r="L101" t="str">
        <f>IF(Table2[[#This Row],[!Type]]=L$1, L$1,"rg:None")</f>
        <v>rg:None</v>
      </c>
      <c r="M101" t="str">
        <f>IF(Table2[[#This Row],[!Type]]=M$1, M$1,"rg:None")</f>
        <v>rg:None</v>
      </c>
      <c r="N101" s="10" t="str">
        <f>IF(Table2[[#This Row],[!Type]]=N$1, N$1,"rg:None")</f>
        <v>rg:None</v>
      </c>
      <c r="O101" s="10" t="str">
        <f>IF(Table2[[#This Row],[!Type]]=O$1, O$1,"rg:None")</f>
        <v>rg:None</v>
      </c>
      <c r="P101" s="5" t="str">
        <f>IF(Table2[[#This Row],[!Type]]=P$1, P$1,"rg:None")</f>
        <v>rg:None</v>
      </c>
      <c r="Q101" s="5" t="str">
        <f>IF(Table2[[#This Row],[!Type]]=Q$1, Q$1,"rg:None")</f>
        <v>rg:None</v>
      </c>
      <c r="R101" s="5" t="str">
        <f>IF(Table2[[#This Row],[!Type]]=R$1, R$1,"rg:None")</f>
        <v>rg:None</v>
      </c>
      <c r="S101" s="5" t="str">
        <f>IF(Table2[[#This Row],[!Type]]=S$1, S$1,"rg:None")</f>
        <v>rg:None</v>
      </c>
      <c r="T101" s="10" t="str">
        <f>IF(LEN(Table2[[#This Row],[!Length]]) &gt; 0, Table2[[#This Row],[!Length]], "rg:None")</f>
        <v>rg:None</v>
      </c>
      <c r="U101" s="10" t="str">
        <f>IF(LEN(Table2[[#This Row],[!Name]]) &gt; 0, Table2[[#This Row],[!Name]], "rg:None")</f>
        <v>isNoLongerRelevant</v>
      </c>
      <c r="V101" s="10" t="str">
        <f>IF(LEN(Table2[[#This Row],[!Description]]) &gt; 0, Table2[[#This Row],[!Description]], "rg:None")</f>
        <v>A user set flag that the note is no longer relevant. Allows the note to be retained for historical reasons,  but identified to other users as no longer applicable.</v>
      </c>
      <c r="W101" s="10" t="str">
        <f>IF(LEN(Table2[[#This Row],[!FK]])&gt;0,Table2[[#This Row],[!FK]],"rg:None")</f>
        <v>rg:None</v>
      </c>
      <c r="X101" s="10" t="str">
        <f>IF(LEN(concatif2(A:A,Table2[[#This Row],[!Table]],G:G,"Y",D:D,",")) &gt; 0,"rg:[ { 'req' : '"&amp;concatif2(A:A,Table2[[#This Row],[!Table]],G:G,"Y",D:D,"' }, { 'req': '")&amp;"'} ]","rg:[]")</f>
        <v>rg:[ { 'req' : 'id' }, { 'req': 'noteText'} ]</v>
      </c>
      <c r="Y101" s="10" t="str">
        <f>IF(LEN(Table2[[#This Row],[!Unique]])&gt;0,"rg:True","rg:None")</f>
        <v>rg:None</v>
      </c>
    </row>
    <row r="102" spans="1:25" x14ac:dyDescent="0.3">
      <c r="A102" s="24" t="s">
        <v>236</v>
      </c>
      <c r="B102" s="3" t="s">
        <v>5</v>
      </c>
      <c r="C102" s="3"/>
      <c r="D102" s="24" t="s">
        <v>236</v>
      </c>
      <c r="E102" s="28" t="s">
        <v>241</v>
      </c>
      <c r="F102" s="3" t="s">
        <v>6</v>
      </c>
      <c r="G102" s="4"/>
      <c r="H102" s="4"/>
      <c r="I102" s="5" t="str">
        <f t="shared" si="4"/>
        <v>Defs</v>
      </c>
      <c r="J102" t="str">
        <f>IF(Table2[[#This Row],[!Type]]=J$1, J$1,"rg:None")</f>
        <v>rg:None</v>
      </c>
      <c r="K102" t="str">
        <f>IF(Table2[[#This Row],[!Type]]=K$1, K$1,"rg:None")</f>
        <v>rg:None</v>
      </c>
      <c r="L102" t="str">
        <f>IF(Table2[[#This Row],[!Type]]=L$1, L$1,"rg:None")</f>
        <v>rg:None</v>
      </c>
      <c r="M102" t="str">
        <f>IF(Table2[[#This Row],[!Type]]=M$1, M$1,"rg:None")</f>
        <v>rg:None</v>
      </c>
      <c r="N102" s="10" t="str">
        <f>IF(Table2[[#This Row],[!Type]]=N$1, N$1,"rg:None")</f>
        <v>rg:None</v>
      </c>
      <c r="O102" s="10" t="str">
        <f>IF(Table2[[#This Row],[!Type]]=O$1, O$1,"rg:None")</f>
        <v>rg:None</v>
      </c>
      <c r="P102" s="5" t="str">
        <f>IF(Table2[[#This Row],[!Type]]=P$1, P$1,"rg:None")</f>
        <v>rg:None</v>
      </c>
      <c r="Q102" s="5" t="str">
        <f>IF(Table2[[#This Row],[!Type]]=Q$1, Q$1,"rg:None")</f>
        <v>rg:None</v>
      </c>
      <c r="R102" s="5" t="str">
        <f>IF(Table2[[#This Row],[!Type]]=R$1, R$1,"rg:None")</f>
        <v>rg:None</v>
      </c>
      <c r="S102" s="5" t="str">
        <f>IF(Table2[[#This Row],[!Type]]=S$1, S$1,"rg:None")</f>
        <v>table</v>
      </c>
      <c r="T102" s="10" t="str">
        <f>IF(LEN(Table2[[#This Row],[!Length]]) &gt; 0, Table2[[#This Row],[!Length]], "rg:None")</f>
        <v>rg:None</v>
      </c>
      <c r="U102" s="10" t="str">
        <f>IF(LEN(Table2[[#This Row],[!Name]]) &gt; 0, Table2[[#This Row],[!Name]], "rg:None")</f>
        <v>Attachment</v>
      </c>
      <c r="V102" s="10" t="str">
        <f>IF(LEN(Table2[[#This Row],[!Description]]) &gt; 0, Table2[[#This Row],[!Description]], "rg:None")</f>
        <v>Attachments uploaded by users about instance of entities - e.g. School Buses and School Bus Owners</v>
      </c>
      <c r="W102" s="10" t="str">
        <f>IF(LEN(Table2[[#This Row],[!FK]])&gt;0,Table2[[#This Row],[!FK]],"rg:None")</f>
        <v>rg:None</v>
      </c>
      <c r="X102" s="10" t="str">
        <f>IF(LEN(concatif2(A:A,Table2[[#This Row],[!Table]],G:G,"Y",D:D,",")) &gt; 0,"rg:[ { 'req' : '"&amp;concatif2(A:A,Table2[[#This Row],[!Table]],G:G,"Y",D:D,"' }, { 'req': '")&amp;"'} ]","rg:[]")</f>
        <v>rg:[ { 'req' : 'id'} ]</v>
      </c>
      <c r="Y102" s="10" t="str">
        <f>IF(LEN(Table2[[#This Row],[!Unique]])&gt;0,"rg:True","rg:None")</f>
        <v>rg:None</v>
      </c>
    </row>
    <row r="103" spans="1:25" x14ac:dyDescent="0.3">
      <c r="A103" s="24" t="s">
        <v>236</v>
      </c>
      <c r="B103" s="3" t="s">
        <v>7</v>
      </c>
      <c r="C103" s="3"/>
      <c r="D103" s="3" t="s">
        <v>7</v>
      </c>
      <c r="E103" s="42" t="s">
        <v>297</v>
      </c>
      <c r="F103" s="3" t="s">
        <v>6</v>
      </c>
      <c r="G103" s="4" t="s">
        <v>136</v>
      </c>
      <c r="H103" s="45" t="s">
        <v>136</v>
      </c>
      <c r="I103" s="5" t="str">
        <f t="shared" si="4"/>
        <v>Defs</v>
      </c>
      <c r="J103" t="str">
        <f>IF(Table2[[#This Row],[!Type]]=J$1, J$1,"rg:None")</f>
        <v>rg:None</v>
      </c>
      <c r="K103" t="str">
        <f>IF(Table2[[#This Row],[!Type]]=K$1, K$1,"rg:None")</f>
        <v>rg:None</v>
      </c>
      <c r="L103" t="str">
        <f>IF(Table2[[#This Row],[!Type]]=L$1, L$1,"rg:None")</f>
        <v>rg:None</v>
      </c>
      <c r="M103" t="str">
        <f>IF(Table2[[#This Row],[!Type]]=M$1, M$1,"rg:None")</f>
        <v>id</v>
      </c>
      <c r="N103" s="10" t="str">
        <f>IF(Table2[[#This Row],[!Type]]=N$1, N$1,"rg:None")</f>
        <v>rg:None</v>
      </c>
      <c r="O103" s="10" t="str">
        <f>IF(Table2[[#This Row],[!Type]]=O$1, O$1,"rg:None")</f>
        <v>rg:None</v>
      </c>
      <c r="P103" s="5" t="str">
        <f>IF(Table2[[#This Row],[!Type]]=P$1, P$1,"rg:None")</f>
        <v>rg:None</v>
      </c>
      <c r="Q103" s="5" t="str">
        <f>IF(Table2[[#This Row],[!Type]]=Q$1, Q$1,"rg:None")</f>
        <v>rg:None</v>
      </c>
      <c r="R103" s="5" t="str">
        <f>IF(Table2[[#This Row],[!Type]]=R$1, R$1,"rg:None")</f>
        <v>rg:None</v>
      </c>
      <c r="S103" s="5" t="str">
        <f>IF(Table2[[#This Row],[!Type]]=S$1, S$1,"rg:None")</f>
        <v>rg:None</v>
      </c>
      <c r="T103" s="10" t="str">
        <f>IF(LEN(Table2[[#This Row],[!Length]]) &gt; 0, Table2[[#This Row],[!Length]], "rg:None")</f>
        <v>rg:None</v>
      </c>
      <c r="U103" s="10" t="str">
        <f>IF(LEN(Table2[[#This Row],[!Name]]) &gt; 0, Table2[[#This Row],[!Name]], "rg:None")</f>
        <v>id</v>
      </c>
      <c r="V103" s="10" t="str">
        <f>IF(LEN(Table2[[#This Row],[!Description]]) &gt; 0, Table2[[#This Row],[!Description]], "rg:None")</f>
        <v>A system-generated unique identifier for an Attachment</v>
      </c>
      <c r="W103" s="10" t="str">
        <f>IF(LEN(Table2[[#This Row],[!FK]])&gt;0,Table2[[#This Row],[!FK]],"rg:None")</f>
        <v>rg:None</v>
      </c>
      <c r="X103" s="10" t="str">
        <f>IF(LEN(concatif2(A:A,Table2[[#This Row],[!Table]],G:G,"Y",D:D,",")) &gt; 0,"rg:[ { 'req' : '"&amp;concatif2(A:A,Table2[[#This Row],[!Table]],G:G,"Y",D:D,"' }, { 'req': '")&amp;"'} ]","rg:[]")</f>
        <v>rg:[ { 'req' : 'id'} ]</v>
      </c>
      <c r="Y103" s="10" t="str">
        <f>IF(LEN(Table2[[#This Row],[!Unique]])&gt;0,"rg:True","rg:None")</f>
        <v>rg:True</v>
      </c>
    </row>
    <row r="104" spans="1:25" x14ac:dyDescent="0.3">
      <c r="A104" s="24" t="s">
        <v>236</v>
      </c>
      <c r="B104" s="3" t="s">
        <v>8</v>
      </c>
      <c r="C104" s="3">
        <v>2048</v>
      </c>
      <c r="D104" s="65" t="s">
        <v>420</v>
      </c>
      <c r="E104" s="67" t="s">
        <v>421</v>
      </c>
      <c r="F104" s="3" t="s">
        <v>6</v>
      </c>
      <c r="G104" s="45"/>
      <c r="H104" s="45"/>
      <c r="I104" s="5" t="str">
        <f t="shared" si="4"/>
        <v>Defs</v>
      </c>
      <c r="J104" t="str">
        <f>IF(Table2[[#This Row],[!Type]]=J$1, J$1,"rg:None")</f>
        <v>rg:None</v>
      </c>
      <c r="K104" t="str">
        <f>IF(Table2[[#This Row],[!Type]]=K$1, K$1,"rg:None")</f>
        <v>rg:None</v>
      </c>
      <c r="L104" t="str">
        <f>IF(Table2[[#This Row],[!Type]]=L$1, L$1,"rg:None")</f>
        <v>rg:None</v>
      </c>
      <c r="M104" t="str">
        <f>IF(Table2[[#This Row],[!Type]]=M$1, M$1,"rg:None")</f>
        <v>rg:None</v>
      </c>
      <c r="N104" s="10" t="str">
        <f>IF(Table2[[#This Row],[!Type]]=N$1, N$1,"rg:None")</f>
        <v>rg:None</v>
      </c>
      <c r="O104" s="10" t="str">
        <f>IF(Table2[[#This Row],[!Type]]=O$1, O$1,"rg:None")</f>
        <v>rg:None</v>
      </c>
      <c r="P104" s="5" t="str">
        <f>IF(Table2[[#This Row],[!Type]]=P$1, P$1,"rg:None")</f>
        <v>rg:None</v>
      </c>
      <c r="Q104" s="5" t="str">
        <f>IF(Table2[[#This Row],[!Type]]=Q$1, Q$1,"rg:None")</f>
        <v>rg:None</v>
      </c>
      <c r="R104" s="5" t="str">
        <f>IF(Table2[[#This Row],[!Type]]=R$1, R$1,"rg:None")</f>
        <v>string</v>
      </c>
      <c r="S104" s="5" t="str">
        <f>IF(Table2[[#This Row],[!Type]]=S$1, S$1,"rg:None")</f>
        <v>rg:None</v>
      </c>
      <c r="T104" s="10">
        <f>IF(LEN(Table2[[#This Row],[!Length]]) &gt; 0, Table2[[#This Row],[!Length]], "rg:None")</f>
        <v>2048</v>
      </c>
      <c r="U104" s="10" t="str">
        <f>IF(LEN(Table2[[#This Row],[!Name]]) &gt; 0, Table2[[#This Row],[!Name]], "rg:None")</f>
        <v>fileName</v>
      </c>
      <c r="V104" s="10" t="str">
        <f>IF(LEN(Table2[[#This Row],[!Description]]) &gt; 0, Table2[[#This Row],[!Description]], "rg:None")</f>
        <v>Filename as passed by the user uploading the file</v>
      </c>
      <c r="W104" s="10" t="str">
        <f>IF(LEN(Table2[[#This Row],[!FK]])&gt;0,Table2[[#This Row],[!FK]],"rg:None")</f>
        <v>rg:None</v>
      </c>
      <c r="X104" s="10" t="str">
        <f>IF(LEN(concatif2(A:A,Table2[[#This Row],[!Table]],G:G,"Y",D:D,",")) &gt; 0,"rg:[ { 'req' : '"&amp;concatif2(A:A,Table2[[#This Row],[!Table]],G:G,"Y",D:D,"' }, { 'req': '")&amp;"'} ]","rg:[]")</f>
        <v>rg:[ { 'req' : 'id'} ]</v>
      </c>
      <c r="Y104" s="10" t="str">
        <f>IF(LEN(Table2[[#This Row],[!Unique]])&gt;0,"rg:True","rg:None")</f>
        <v>rg:None</v>
      </c>
    </row>
    <row r="105" spans="1:25" x14ac:dyDescent="0.3">
      <c r="A105" s="24" t="s">
        <v>236</v>
      </c>
      <c r="B105" s="65" t="s">
        <v>270</v>
      </c>
      <c r="C105" s="3"/>
      <c r="D105" s="65" t="s">
        <v>423</v>
      </c>
      <c r="E105" s="67" t="s">
        <v>422</v>
      </c>
      <c r="F105" s="3" t="s">
        <v>6</v>
      </c>
      <c r="G105" s="45"/>
      <c r="H105" s="45"/>
      <c r="I105" s="5" t="str">
        <f t="shared" si="4"/>
        <v>Defs</v>
      </c>
      <c r="J105" t="str">
        <f>IF(Table2[[#This Row],[!Type]]=J$1, J$1,"rg:None")</f>
        <v>rg:None</v>
      </c>
      <c r="K105" t="str">
        <f>IF(Table2[[#This Row],[!Type]]=K$1, K$1,"rg:None")</f>
        <v>binary</v>
      </c>
      <c r="L105" t="str">
        <f>IF(Table2[[#This Row],[!Type]]=L$1, L$1,"rg:None")</f>
        <v>rg:None</v>
      </c>
      <c r="M105" t="str">
        <f>IF(Table2[[#This Row],[!Type]]=M$1, M$1,"rg:None")</f>
        <v>rg:None</v>
      </c>
      <c r="N105" s="10" t="str">
        <f>IF(Table2[[#This Row],[!Type]]=N$1, N$1,"rg:None")</f>
        <v>rg:None</v>
      </c>
      <c r="O105" s="10" t="str">
        <f>IF(Table2[[#This Row],[!Type]]=O$1, O$1,"rg:None")</f>
        <v>rg:None</v>
      </c>
      <c r="P105" s="5" t="str">
        <f>IF(Table2[[#This Row],[!Type]]=P$1, P$1,"rg:None")</f>
        <v>rg:None</v>
      </c>
      <c r="Q105" s="5" t="str">
        <f>IF(Table2[[#This Row],[!Type]]=Q$1, Q$1,"rg:None")</f>
        <v>rg:None</v>
      </c>
      <c r="R105" s="5" t="str">
        <f>IF(Table2[[#This Row],[!Type]]=R$1, R$1,"rg:None")</f>
        <v>rg:None</v>
      </c>
      <c r="S105" s="5" t="str">
        <f>IF(Table2[[#This Row],[!Type]]=S$1, S$1,"rg:None")</f>
        <v>rg:None</v>
      </c>
      <c r="T105" s="10" t="str">
        <f>IF(LEN(Table2[[#This Row],[!Length]]) &gt; 0, Table2[[#This Row],[!Length]], "rg:None")</f>
        <v>rg:None</v>
      </c>
      <c r="U105" s="10" t="str">
        <f>IF(LEN(Table2[[#This Row],[!Name]]) &gt; 0, Table2[[#This Row],[!Name]], "rg:None")</f>
        <v>fileContents</v>
      </c>
      <c r="V105" s="10" t="str">
        <f>IF(LEN(Table2[[#This Row],[!Description]]) &gt; 0, Table2[[#This Row],[!Description]], "rg:None")</f>
        <v>Binary contents of the file</v>
      </c>
      <c r="W105" s="10" t="str">
        <f>IF(LEN(Table2[[#This Row],[!FK]])&gt;0,Table2[[#This Row],[!FK]],"rg:None")</f>
        <v>rg:None</v>
      </c>
      <c r="X105" s="10" t="str">
        <f>IF(LEN(concatif2(A:A,Table2[[#This Row],[!Table]],G:G,"Y",D:D,",")) &gt; 0,"rg:[ { 'req' : '"&amp;concatif2(A:A,Table2[[#This Row],[!Table]],G:G,"Y",D:D,"' }, { 'req': '")&amp;"'} ]","rg:[]")</f>
        <v>rg:[ { 'req' : 'id'} ]</v>
      </c>
      <c r="Y105" s="10" t="str">
        <f>IF(LEN(Table2[[#This Row],[!Unique]])&gt;0,"rg:True","rg:None")</f>
        <v>rg:None</v>
      </c>
    </row>
    <row r="106" spans="1:25" x14ac:dyDescent="0.3">
      <c r="A106" s="24" t="s">
        <v>236</v>
      </c>
      <c r="B106" s="3" t="s">
        <v>8</v>
      </c>
      <c r="C106" s="3">
        <v>2048</v>
      </c>
      <c r="D106" s="3" t="s">
        <v>40</v>
      </c>
      <c r="E106" s="27" t="s">
        <v>41</v>
      </c>
      <c r="F106" s="3" t="s">
        <v>6</v>
      </c>
      <c r="G106" s="4"/>
      <c r="H106" s="4"/>
      <c r="I106" s="5" t="str">
        <f t="shared" si="4"/>
        <v>Defs</v>
      </c>
      <c r="J106" t="str">
        <f>IF(Table2[[#This Row],[!Type]]=J$1, J$1,"rg:None")</f>
        <v>rg:None</v>
      </c>
      <c r="K106" t="str">
        <f>IF(Table2[[#This Row],[!Type]]=K$1, K$1,"rg:None")</f>
        <v>rg:None</v>
      </c>
      <c r="L106" t="str">
        <f>IF(Table2[[#This Row],[!Type]]=L$1, L$1,"rg:None")</f>
        <v>rg:None</v>
      </c>
      <c r="M106" t="str">
        <f>IF(Table2[[#This Row],[!Type]]=M$1, M$1,"rg:None")</f>
        <v>rg:None</v>
      </c>
      <c r="N106" s="10" t="str">
        <f>IF(Table2[[#This Row],[!Type]]=N$1, N$1,"rg:None")</f>
        <v>rg:None</v>
      </c>
      <c r="O106" s="10" t="str">
        <f>IF(Table2[[#This Row],[!Type]]=O$1, O$1,"rg:None")</f>
        <v>rg:None</v>
      </c>
      <c r="P106" s="5" t="str">
        <f>IF(Table2[[#This Row],[!Type]]=P$1, P$1,"rg:None")</f>
        <v>rg:None</v>
      </c>
      <c r="Q106" s="5" t="str">
        <f>IF(Table2[[#This Row],[!Type]]=Q$1, Q$1,"rg:None")</f>
        <v>rg:None</v>
      </c>
      <c r="R106" s="5" t="str">
        <f>IF(Table2[[#This Row],[!Type]]=R$1, R$1,"rg:None")</f>
        <v>string</v>
      </c>
      <c r="S106" s="5" t="str">
        <f>IF(Table2[[#This Row],[!Type]]=S$1, S$1,"rg:None")</f>
        <v>rg:None</v>
      </c>
      <c r="T106" s="10">
        <f>IF(LEN(Table2[[#This Row],[!Length]]) &gt; 0, Table2[[#This Row],[!Length]], "rg:None")</f>
        <v>2048</v>
      </c>
      <c r="U106" s="10" t="str">
        <f>IF(LEN(Table2[[#This Row],[!Name]]) &gt; 0, Table2[[#This Row],[!Name]], "rg:None")</f>
        <v>description</v>
      </c>
      <c r="V106" s="10" t="str">
        <f>IF(LEN(Table2[[#This Row],[!Description]]) &gt; 0, Table2[[#This Row],[!Description]], "rg:None")</f>
        <v>A note about the attachment,  optionally maintained by the user.</v>
      </c>
      <c r="W106" s="10" t="str">
        <f>IF(LEN(Table2[[#This Row],[!FK]])&gt;0,Table2[[#This Row],[!FK]],"rg:None")</f>
        <v>rg:None</v>
      </c>
      <c r="X106" s="10" t="str">
        <f>IF(LEN(concatif2(A:A,Table2[[#This Row],[!Table]],G:G,"Y",D:D,",")) &gt; 0,"rg:[ { 'req' : '"&amp;concatif2(A:A,Table2[[#This Row],[!Table]],G:G,"Y",D:D,"' }, { 'req': '")&amp;"'} ]","rg:[]")</f>
        <v>rg:[ { 'req' : 'id'} ]</v>
      </c>
      <c r="Y106" s="10" t="str">
        <f>IF(LEN(Table2[[#This Row],[!Unique]])&gt;0,"rg:True","rg:None")</f>
        <v>rg:None</v>
      </c>
    </row>
    <row r="107" spans="1:25" x14ac:dyDescent="0.3">
      <c r="A107" s="66" t="s">
        <v>236</v>
      </c>
      <c r="B107" s="66" t="s">
        <v>8</v>
      </c>
      <c r="C107" s="3">
        <v>255</v>
      </c>
      <c r="D107" s="66" t="s">
        <v>56</v>
      </c>
      <c r="E107" s="66" t="s">
        <v>419</v>
      </c>
      <c r="F107" s="6"/>
      <c r="G107" s="19"/>
      <c r="H107" s="19"/>
      <c r="I107" s="4" t="str">
        <f>IF(LEN(A107) &gt; 0,"Defs","-")</f>
        <v>Defs</v>
      </c>
      <c r="J107" s="16" t="str">
        <f>IF(Table2[[#This Row],[!Type]]=J$1, J$1,"rg:None")</f>
        <v>rg:None</v>
      </c>
      <c r="K107" s="33" t="str">
        <f>IF(Table2[[#This Row],[!Type]]=K$1, K$1,"rg:None")</f>
        <v>rg:None</v>
      </c>
      <c r="L107" s="16" t="str">
        <f>IF(Table2[[#This Row],[!Type]]=L$1, L$1,"rg:None")</f>
        <v>rg:None</v>
      </c>
      <c r="M107" s="16" t="str">
        <f>IF(Table2[[#This Row],[!Type]]=M$1, M$1,"rg:None")</f>
        <v>rg:None</v>
      </c>
      <c r="N107" s="16" t="str">
        <f>IF(Table2[[#This Row],[!Type]]=N$1, N$1,"rg:None")</f>
        <v>rg:None</v>
      </c>
      <c r="O107" s="16" t="str">
        <f>IF(Table2[[#This Row],[!Type]]=O$1, O$1,"rg:None")</f>
        <v>rg:None</v>
      </c>
      <c r="P107" s="4" t="str">
        <f>IF(Table2[[#This Row],[!Type]]=P$1, P$1,"rg:None")</f>
        <v>rg:None</v>
      </c>
      <c r="Q107" s="4" t="str">
        <f>IF(Table2[[#This Row],[!Type]]=Q$1, Q$1,"rg:None")</f>
        <v>rg:None</v>
      </c>
      <c r="R107" s="4" t="str">
        <f>IF(Table2[[#This Row],[!Type]]=R$1, R$1,"rg:None")</f>
        <v>string</v>
      </c>
      <c r="S107" s="4" t="str">
        <f>IF(Table2[[#This Row],[!Type]]=S$1, S$1,"rg:None")</f>
        <v>rg:None</v>
      </c>
      <c r="T107" s="16">
        <f>IF(LEN(Table2[[#This Row],[!Length]]) &gt; 0, Table2[[#This Row],[!Length]], "rg:None")</f>
        <v>255</v>
      </c>
      <c r="U107" s="16" t="str">
        <f>IF(LEN(Table2[[#This Row],[!Name]]) &gt; 0, Table2[[#This Row],[!Name]], "rg:None")</f>
        <v>type</v>
      </c>
      <c r="V107" s="16" t="str">
        <f>IF(LEN(Table2[[#This Row],[!Description]]) &gt; 0, Table2[[#This Row],[!Description]], "rg:None")</f>
        <v>Type of attachment</v>
      </c>
      <c r="W107" s="16" t="str">
        <f>IF(LEN(Table2[[#This Row],[!FK]])&gt;0,Table2[[#This Row],[!FK]],"rg:None")</f>
        <v>rg:None</v>
      </c>
      <c r="X107" s="16" t="str">
        <f>IF(LEN(concatif2(A:A,Table2[[#This Row],[!Table]],G:G,"Y",D:D,",")) &gt; 0,"rg:[ { 'req' : '"&amp;concatif2(A:A,Table2[[#This Row],[!Table]],G:G,"Y",D:D,"' }, { 'req': '")&amp;"'} ]","rg:[]")</f>
        <v>rg:[ { 'req' : 'id'} ]</v>
      </c>
      <c r="Y107" s="16" t="str">
        <f>IF(LEN(Table2[[#This Row],[!Unique]])&gt;0,"rg:True","rg:None")</f>
        <v>rg:None</v>
      </c>
    </row>
    <row r="108" spans="1:25" x14ac:dyDescent="0.3">
      <c r="A108" s="24" t="s">
        <v>238</v>
      </c>
      <c r="B108" s="3" t="s">
        <v>5</v>
      </c>
      <c r="C108" s="3"/>
      <c r="D108" s="24" t="s">
        <v>238</v>
      </c>
      <c r="E108" s="28" t="s">
        <v>242</v>
      </c>
      <c r="F108" s="3" t="s">
        <v>6</v>
      </c>
      <c r="G108" s="4"/>
      <c r="H108" s="4"/>
      <c r="I108" s="5" t="str">
        <f t="shared" si="4"/>
        <v>Defs</v>
      </c>
      <c r="J108" t="str">
        <f>IF(Table2[[#This Row],[!Type]]=J$1, J$1,"rg:None")</f>
        <v>rg:None</v>
      </c>
      <c r="K108" t="str">
        <f>IF(Table2[[#This Row],[!Type]]=K$1, K$1,"rg:None")</f>
        <v>rg:None</v>
      </c>
      <c r="L108" t="str">
        <f>IF(Table2[[#This Row],[!Type]]=L$1, L$1,"rg:None")</f>
        <v>rg:None</v>
      </c>
      <c r="M108" t="str">
        <f>IF(Table2[[#This Row],[!Type]]=M$1, M$1,"rg:None")</f>
        <v>rg:None</v>
      </c>
      <c r="N108" s="10" t="str">
        <f>IF(Table2[[#This Row],[!Type]]=N$1, N$1,"rg:None")</f>
        <v>rg:None</v>
      </c>
      <c r="O108" s="10" t="str">
        <f>IF(Table2[[#This Row],[!Type]]=O$1, O$1,"rg:None")</f>
        <v>rg:None</v>
      </c>
      <c r="P108" s="5" t="str">
        <f>IF(Table2[[#This Row],[!Type]]=P$1, P$1,"rg:None")</f>
        <v>rg:None</v>
      </c>
      <c r="Q108" s="5" t="str">
        <f>IF(Table2[[#This Row],[!Type]]=Q$1, Q$1,"rg:None")</f>
        <v>rg:None</v>
      </c>
      <c r="R108" s="5" t="str">
        <f>IF(Table2[[#This Row],[!Type]]=R$1, R$1,"rg:None")</f>
        <v>rg:None</v>
      </c>
      <c r="S108" s="5" t="str">
        <f>IF(Table2[[#This Row],[!Type]]=S$1, S$1,"rg:None")</f>
        <v>table</v>
      </c>
      <c r="T108" s="10" t="str">
        <f>IF(LEN(Table2[[#This Row],[!Length]]) &gt; 0, Table2[[#This Row],[!Length]], "rg:None")</f>
        <v>rg:None</v>
      </c>
      <c r="U108" s="10" t="str">
        <f>IF(LEN(Table2[[#This Row],[!Name]]) &gt; 0, Table2[[#This Row],[!Name]], "rg:None")</f>
        <v>History</v>
      </c>
      <c r="V108" s="10" t="str">
        <f>IF(LEN(Table2[[#This Row],[!Description]]) &gt; 0, Table2[[#This Row],[!Description]], "rg:None")</f>
        <v>The history of updates made to an entity - e.g. a School Bus or a School Bus Owner</v>
      </c>
      <c r="W108" s="10" t="str">
        <f>IF(LEN(Table2[[#This Row],[!FK]])&gt;0,Table2[[#This Row],[!FK]],"rg:None")</f>
        <v>rg:None</v>
      </c>
      <c r="X108" s="10" t="str">
        <f>IF(LEN(concatif2(A:A,Table2[[#This Row],[!Table]],G:G,"Y",D:D,",")) &gt; 0,"rg:[ { 'req' : '"&amp;concatif2(A:A,Table2[[#This Row],[!Table]],G:G,"Y",D:D,"' }, { 'req': '")&amp;"'} ]","rg:[]")</f>
        <v>rg:[ { 'req' : 'id' }, { 'req': 'historyText'} ]</v>
      </c>
      <c r="Y108" s="10" t="str">
        <f>IF(LEN(Table2[[#This Row],[!Unique]])&gt;0,"rg:True","rg:None")</f>
        <v>rg:None</v>
      </c>
    </row>
    <row r="109" spans="1:25" x14ac:dyDescent="0.3">
      <c r="A109" s="24" t="s">
        <v>238</v>
      </c>
      <c r="B109" s="3" t="s">
        <v>7</v>
      </c>
      <c r="C109" s="3"/>
      <c r="D109" s="3" t="s">
        <v>7</v>
      </c>
      <c r="E109" s="27" t="s">
        <v>278</v>
      </c>
      <c r="F109" s="3" t="s">
        <v>6</v>
      </c>
      <c r="G109" s="4" t="s">
        <v>136</v>
      </c>
      <c r="H109" s="45" t="s">
        <v>136</v>
      </c>
      <c r="I109" s="5" t="str">
        <f t="shared" si="4"/>
        <v>Defs</v>
      </c>
      <c r="J109" t="str">
        <f>IF(Table2[[#This Row],[!Type]]=J$1, J$1,"rg:None")</f>
        <v>rg:None</v>
      </c>
      <c r="K109" t="str">
        <f>IF(Table2[[#This Row],[!Type]]=K$1, K$1,"rg:None")</f>
        <v>rg:None</v>
      </c>
      <c r="L109" t="str">
        <f>IF(Table2[[#This Row],[!Type]]=L$1, L$1,"rg:None")</f>
        <v>rg:None</v>
      </c>
      <c r="M109" t="str">
        <f>IF(Table2[[#This Row],[!Type]]=M$1, M$1,"rg:None")</f>
        <v>id</v>
      </c>
      <c r="N109" s="10" t="str">
        <f>IF(Table2[[#This Row],[!Type]]=N$1, N$1,"rg:None")</f>
        <v>rg:None</v>
      </c>
      <c r="O109" s="10" t="str">
        <f>IF(Table2[[#This Row],[!Type]]=O$1, O$1,"rg:None")</f>
        <v>rg:None</v>
      </c>
      <c r="P109" s="5" t="str">
        <f>IF(Table2[[#This Row],[!Type]]=P$1, P$1,"rg:None")</f>
        <v>rg:None</v>
      </c>
      <c r="Q109" s="5" t="str">
        <f>IF(Table2[[#This Row],[!Type]]=Q$1, Q$1,"rg:None")</f>
        <v>rg:None</v>
      </c>
      <c r="R109" s="5" t="str">
        <f>IF(Table2[[#This Row],[!Type]]=R$1, R$1,"rg:None")</f>
        <v>rg:None</v>
      </c>
      <c r="S109" s="5" t="str">
        <f>IF(Table2[[#This Row],[!Type]]=S$1, S$1,"rg:None")</f>
        <v>rg:None</v>
      </c>
      <c r="T109" s="10" t="str">
        <f>IF(LEN(Table2[[#This Row],[!Length]]) &gt; 0, Table2[[#This Row],[!Length]], "rg:None")</f>
        <v>rg:None</v>
      </c>
      <c r="U109" s="10" t="str">
        <f>IF(LEN(Table2[[#This Row],[!Name]]) &gt; 0, Table2[[#This Row],[!Name]], "rg:None")</f>
        <v>id</v>
      </c>
      <c r="V109" s="10" t="str">
        <f>IF(LEN(Table2[[#This Row],[!Description]]) &gt; 0, Table2[[#This Row],[!Description]], "rg:None")</f>
        <v>A system-generated unique identifier for a History</v>
      </c>
      <c r="W109" s="10" t="str">
        <f>IF(LEN(Table2[[#This Row],[!FK]])&gt;0,Table2[[#This Row],[!FK]],"rg:None")</f>
        <v>rg:None</v>
      </c>
      <c r="X109" s="10" t="str">
        <f>IF(LEN(concatif2(A:A,Table2[[#This Row],[!Table]],G:G,"Y",D:D,",")) &gt; 0,"rg:[ { 'req' : '"&amp;concatif2(A:A,Table2[[#This Row],[!Table]],G:G,"Y",D:D,"' }, { 'req': '")&amp;"'} ]","rg:[]")</f>
        <v>rg:[ { 'req' : 'id' }, { 'req': 'historyText'} ]</v>
      </c>
      <c r="Y109" s="10" t="str">
        <f>IF(LEN(Table2[[#This Row],[!Unique]])&gt;0,"rg:True","rg:None")</f>
        <v>rg:True</v>
      </c>
    </row>
    <row r="110" spans="1:25" x14ac:dyDescent="0.3">
      <c r="A110" s="24" t="s">
        <v>238</v>
      </c>
      <c r="B110" s="24" t="s">
        <v>8</v>
      </c>
      <c r="C110" s="3">
        <v>2048</v>
      </c>
      <c r="D110" s="24" t="s">
        <v>264</v>
      </c>
      <c r="E110" s="28" t="s">
        <v>243</v>
      </c>
      <c r="F110" s="3"/>
      <c r="G110" s="45" t="s">
        <v>136</v>
      </c>
      <c r="H110" s="4"/>
      <c r="I110" s="5" t="str">
        <f t="shared" si="4"/>
        <v>Defs</v>
      </c>
      <c r="J110" t="str">
        <f>IF(Table2[[#This Row],[!Type]]=J$1, J$1,"rg:None")</f>
        <v>rg:None</v>
      </c>
      <c r="K110" t="str">
        <f>IF(Table2[[#This Row],[!Type]]=K$1, K$1,"rg:None")</f>
        <v>rg:None</v>
      </c>
      <c r="L110" t="str">
        <f>IF(Table2[[#This Row],[!Type]]=L$1, L$1,"rg:None")</f>
        <v>rg:None</v>
      </c>
      <c r="M110" t="str">
        <f>IF(Table2[[#This Row],[!Type]]=M$1, M$1,"rg:None")</f>
        <v>rg:None</v>
      </c>
      <c r="N110" s="10" t="str">
        <f>IF(Table2[[#This Row],[!Type]]=N$1, N$1,"rg:None")</f>
        <v>rg:None</v>
      </c>
      <c r="O110" s="10" t="str">
        <f>IF(Table2[[#This Row],[!Type]]=O$1, O$1,"rg:None")</f>
        <v>rg:None</v>
      </c>
      <c r="P110" s="5" t="str">
        <f>IF(Table2[[#This Row],[!Type]]=P$1, P$1,"rg:None")</f>
        <v>rg:None</v>
      </c>
      <c r="Q110" s="5" t="str">
        <f>IF(Table2[[#This Row],[!Type]]=Q$1, Q$1,"rg:None")</f>
        <v>rg:None</v>
      </c>
      <c r="R110" s="5" t="str">
        <f>IF(Table2[[#This Row],[!Type]]=R$1, R$1,"rg:None")</f>
        <v>string</v>
      </c>
      <c r="S110" s="5" t="str">
        <f>IF(Table2[[#This Row],[!Type]]=S$1, S$1,"rg:None")</f>
        <v>rg:None</v>
      </c>
      <c r="T110" s="10">
        <f>IF(LEN(Table2[[#This Row],[!Length]]) &gt; 0, Table2[[#This Row],[!Length]], "rg:None")</f>
        <v>2048</v>
      </c>
      <c r="U110" s="10" t="str">
        <f>IF(LEN(Table2[[#This Row],[!Name]]) &gt; 0, Table2[[#This Row],[!Name]], "rg:None")</f>
        <v>historyText</v>
      </c>
      <c r="V110" s="10" t="str">
        <f>IF(LEN(Table2[[#This Row],[!Description]]) &gt; 0, Table2[[#This Row],[!Description]], "rg:None")</f>
        <v>The text of the history entry tracked against the related entity.</v>
      </c>
      <c r="W110" s="10" t="str">
        <f>IF(LEN(Table2[[#This Row],[!FK]])&gt;0,Table2[[#This Row],[!FK]],"rg:None")</f>
        <v>rg:None</v>
      </c>
      <c r="X110" s="10" t="str">
        <f>IF(LEN(concatif2(A:A,Table2[[#This Row],[!Table]],G:G,"Y",D:D,",")) &gt; 0,"rg:[ { 'req' : '"&amp;concatif2(A:A,Table2[[#This Row],[!Table]],G:G,"Y",D:D,"' }, { 'req': '")&amp;"'} ]","rg:[]")</f>
        <v>rg:[ { 'req' : 'id' }, { 'req': 'historyText'} ]</v>
      </c>
      <c r="Y110" s="10" t="str">
        <f>IF(LEN(Table2[[#This Row],[!Unique]])&gt;0,"rg:True","rg:None")</f>
        <v>rg:None</v>
      </c>
    </row>
    <row r="111" spans="1:25" x14ac:dyDescent="0.3">
      <c r="A111" s="24" t="s">
        <v>244</v>
      </c>
      <c r="B111" s="3" t="s">
        <v>5</v>
      </c>
      <c r="C111" s="3"/>
      <c r="D111" s="24" t="s">
        <v>244</v>
      </c>
      <c r="E111" s="43" t="s">
        <v>387</v>
      </c>
      <c r="F111" s="3" t="s">
        <v>6</v>
      </c>
      <c r="G111" s="4"/>
      <c r="H111" s="4"/>
      <c r="I111" s="5" t="str">
        <f t="shared" si="4"/>
        <v>Defs</v>
      </c>
      <c r="J111" t="str">
        <f>IF(Table2[[#This Row],[!Type]]=J$1, J$1,"rg:None")</f>
        <v>rg:None</v>
      </c>
      <c r="K111" t="str">
        <f>IF(Table2[[#This Row],[!Type]]=K$1, K$1,"rg:None")</f>
        <v>rg:None</v>
      </c>
      <c r="L111" t="str">
        <f>IF(Table2[[#This Row],[!Type]]=L$1, L$1,"rg:None")</f>
        <v>rg:None</v>
      </c>
      <c r="M111" t="str">
        <f>IF(Table2[[#This Row],[!Type]]=M$1, M$1,"rg:None")</f>
        <v>rg:None</v>
      </c>
      <c r="N111" s="10" t="str">
        <f>IF(Table2[[#This Row],[!Type]]=N$1, N$1,"rg:None")</f>
        <v>rg:None</v>
      </c>
      <c r="O111" s="10" t="str">
        <f>IF(Table2[[#This Row],[!Type]]=O$1, O$1,"rg:None")</f>
        <v>rg:None</v>
      </c>
      <c r="P111" s="5" t="str">
        <f>IF(Table2[[#This Row],[!Type]]=P$1, P$1,"rg:None")</f>
        <v>rg:None</v>
      </c>
      <c r="Q111" s="5" t="str">
        <f>IF(Table2[[#This Row],[!Type]]=Q$1, Q$1,"rg:None")</f>
        <v>rg:None</v>
      </c>
      <c r="R111" s="5" t="str">
        <f>IF(Table2[[#This Row],[!Type]]=R$1, R$1,"rg:None")</f>
        <v>rg:None</v>
      </c>
      <c r="S111" s="5" t="str">
        <f>IF(Table2[[#This Row],[!Type]]=S$1, S$1,"rg:None")</f>
        <v>table</v>
      </c>
      <c r="T111" s="10" t="str">
        <f>IF(LEN(Table2[[#This Row],[!Length]]) &gt; 0, Table2[[#This Row],[!Length]], "rg:None")</f>
        <v>rg:None</v>
      </c>
      <c r="U111" s="10" t="str">
        <f>IF(LEN(Table2[[#This Row],[!Name]]) &gt; 0, Table2[[#This Row],[!Name]], "rg:None")</f>
        <v>Contact</v>
      </c>
      <c r="V111" s="10" t="str">
        <f>IF(LEN(Table2[[#This Row],[!Description]]) &gt; 0, Table2[[#This Row],[!Description]], "rg:None")</f>
        <v>A table of contacts related to various entities in the system. FK fields are used to link contacts to records in the system.</v>
      </c>
      <c r="W111" s="10" t="str">
        <f>IF(LEN(Table2[[#This Row],[!FK]])&gt;0,Table2[[#This Row],[!FK]],"rg:None")</f>
        <v>rg:None</v>
      </c>
      <c r="X111" s="10" t="str">
        <f>IF(LEN(concatif2(A:A,Table2[[#This Row],[!Table]],G:G,"Y",D:D,",")) &gt; 0,"rg:[ { 'req' : '"&amp;concatif2(A:A,Table2[[#This Row],[!Table]],G:G,"Y",D:D,"' }, { 'req': '")&amp;"'} ]","rg:[]")</f>
        <v>rg:[ { 'req' : 'id'} ]</v>
      </c>
      <c r="Y111" s="10" t="str">
        <f>IF(LEN(Table2[[#This Row],[!Unique]])&gt;0,"rg:True","rg:None")</f>
        <v>rg:None</v>
      </c>
    </row>
    <row r="112" spans="1:25" x14ac:dyDescent="0.3">
      <c r="A112" s="24" t="s">
        <v>244</v>
      </c>
      <c r="B112" s="3" t="s">
        <v>7</v>
      </c>
      <c r="C112" s="3"/>
      <c r="D112" s="3" t="s">
        <v>7</v>
      </c>
      <c r="E112" s="27" t="s">
        <v>279</v>
      </c>
      <c r="F112" s="3" t="s">
        <v>6</v>
      </c>
      <c r="G112" s="4" t="s">
        <v>136</v>
      </c>
      <c r="H112" s="45" t="s">
        <v>136</v>
      </c>
      <c r="I112" s="5" t="str">
        <f t="shared" si="4"/>
        <v>Defs</v>
      </c>
      <c r="J112" t="str">
        <f>IF(Table2[[#This Row],[!Type]]=J$1, J$1,"rg:None")</f>
        <v>rg:None</v>
      </c>
      <c r="K112" t="str">
        <f>IF(Table2[[#This Row],[!Type]]=K$1, K$1,"rg:None")</f>
        <v>rg:None</v>
      </c>
      <c r="L112" t="str">
        <f>IF(Table2[[#This Row],[!Type]]=L$1, L$1,"rg:None")</f>
        <v>rg:None</v>
      </c>
      <c r="M112" t="str">
        <f>IF(Table2[[#This Row],[!Type]]=M$1, M$1,"rg:None")</f>
        <v>id</v>
      </c>
      <c r="N112" s="10" t="str">
        <f>IF(Table2[[#This Row],[!Type]]=N$1, N$1,"rg:None")</f>
        <v>rg:None</v>
      </c>
      <c r="O112" s="10" t="str">
        <f>IF(Table2[[#This Row],[!Type]]=O$1, O$1,"rg:None")</f>
        <v>rg:None</v>
      </c>
      <c r="P112" s="5" t="str">
        <f>IF(Table2[[#This Row],[!Type]]=P$1, P$1,"rg:None")</f>
        <v>rg:None</v>
      </c>
      <c r="Q112" s="5" t="str">
        <f>IF(Table2[[#This Row],[!Type]]=Q$1, Q$1,"rg:None")</f>
        <v>rg:None</v>
      </c>
      <c r="R112" s="5" t="str">
        <f>IF(Table2[[#This Row],[!Type]]=R$1, R$1,"rg:None")</f>
        <v>rg:None</v>
      </c>
      <c r="S112" s="5" t="str">
        <f>IF(Table2[[#This Row],[!Type]]=S$1, S$1,"rg:None")</f>
        <v>rg:None</v>
      </c>
      <c r="T112" s="10" t="str">
        <f>IF(LEN(Table2[[#This Row],[!Length]]) &gt; 0, Table2[[#This Row],[!Length]], "rg:None")</f>
        <v>rg:None</v>
      </c>
      <c r="U112" s="10" t="str">
        <f>IF(LEN(Table2[[#This Row],[!Name]]) &gt; 0, Table2[[#This Row],[!Name]], "rg:None")</f>
        <v>id</v>
      </c>
      <c r="V112" s="10" t="str">
        <f>IF(LEN(Table2[[#This Row],[!Description]]) &gt; 0, Table2[[#This Row],[!Description]], "rg:None")</f>
        <v>A system-generated unique identifier for a Contact</v>
      </c>
      <c r="W112" s="10" t="str">
        <f>IF(LEN(Table2[[#This Row],[!FK]])&gt;0,Table2[[#This Row],[!FK]],"rg:None")</f>
        <v>rg:None</v>
      </c>
      <c r="X112" s="10" t="str">
        <f>IF(LEN(concatif2(A:A,Table2[[#This Row],[!Table]],G:G,"Y",D:D,",")) &gt; 0,"rg:[ { 'req' : '"&amp;concatif2(A:A,Table2[[#This Row],[!Table]],G:G,"Y",D:D,"' }, { 'req': '")&amp;"'} ]","rg:[]")</f>
        <v>rg:[ { 'req' : 'id'} ]</v>
      </c>
      <c r="Y112" s="10" t="str">
        <f>IF(LEN(Table2[[#This Row],[!Unique]])&gt;0,"rg:True","rg:None")</f>
        <v>rg:True</v>
      </c>
    </row>
    <row r="113" spans="1:25" x14ac:dyDescent="0.3">
      <c r="A113" s="24" t="s">
        <v>244</v>
      </c>
      <c r="B113" s="3" t="s">
        <v>8</v>
      </c>
      <c r="C113" s="3">
        <v>50</v>
      </c>
      <c r="D113" s="3" t="s">
        <v>49</v>
      </c>
      <c r="E113" s="27" t="s">
        <v>50</v>
      </c>
      <c r="F113" s="3" t="s">
        <v>6</v>
      </c>
      <c r="G113" s="45"/>
      <c r="H113" s="4"/>
      <c r="I113" s="5" t="str">
        <f t="shared" si="4"/>
        <v>Defs</v>
      </c>
      <c r="J113" t="str">
        <f>IF(Table2[[#This Row],[!Type]]=J$1, J$1,"rg:None")</f>
        <v>rg:None</v>
      </c>
      <c r="K113" t="str">
        <f>IF(Table2[[#This Row],[!Type]]=K$1, K$1,"rg:None")</f>
        <v>rg:None</v>
      </c>
      <c r="L113" t="str">
        <f>IF(Table2[[#This Row],[!Type]]=L$1, L$1,"rg:None")</f>
        <v>rg:None</v>
      </c>
      <c r="M113" t="str">
        <f>IF(Table2[[#This Row],[!Type]]=M$1, M$1,"rg:None")</f>
        <v>rg:None</v>
      </c>
      <c r="N113" s="10" t="str">
        <f>IF(Table2[[#This Row],[!Type]]=N$1, N$1,"rg:None")</f>
        <v>rg:None</v>
      </c>
      <c r="O113" s="10" t="str">
        <f>IF(Table2[[#This Row],[!Type]]=O$1, O$1,"rg:None")</f>
        <v>rg:None</v>
      </c>
      <c r="P113" s="5" t="str">
        <f>IF(Table2[[#This Row],[!Type]]=P$1, P$1,"rg:None")</f>
        <v>rg:None</v>
      </c>
      <c r="Q113" s="5" t="str">
        <f>IF(Table2[[#This Row],[!Type]]=Q$1, Q$1,"rg:None")</f>
        <v>rg:None</v>
      </c>
      <c r="R113" s="5" t="str">
        <f>IF(Table2[[#This Row],[!Type]]=R$1, R$1,"rg:None")</f>
        <v>string</v>
      </c>
      <c r="S113" s="5" t="str">
        <f>IF(Table2[[#This Row],[!Type]]=S$1, S$1,"rg:None")</f>
        <v>rg:None</v>
      </c>
      <c r="T113" s="10">
        <f>IF(LEN(Table2[[#This Row],[!Length]]) &gt; 0, Table2[[#This Row],[!Length]], "rg:None")</f>
        <v>50</v>
      </c>
      <c r="U113" s="10" t="str">
        <f>IF(LEN(Table2[[#This Row],[!Name]]) &gt; 0, Table2[[#This Row],[!Name]], "rg:None")</f>
        <v>givenName</v>
      </c>
      <c r="V113" s="10" t="str">
        <f>IF(LEN(Table2[[#This Row],[!Description]]) &gt; 0, Table2[[#This Row],[!Description]], "rg:None")</f>
        <v>The given name of the contact.</v>
      </c>
      <c r="W113" s="10" t="str">
        <f>IF(LEN(Table2[[#This Row],[!FK]])&gt;0,Table2[[#This Row],[!FK]],"rg:None")</f>
        <v>rg:None</v>
      </c>
      <c r="X113" s="10" t="str">
        <f>IF(LEN(concatif2(A:A,Table2[[#This Row],[!Table]],G:G,"Y",D:D,",")) &gt; 0,"rg:[ { 'req' : '"&amp;concatif2(A:A,Table2[[#This Row],[!Table]],G:G,"Y",D:D,"' }, { 'req': '")&amp;"'} ]","rg:[]")</f>
        <v>rg:[ { 'req' : 'id'} ]</v>
      </c>
      <c r="Y113" s="10" t="str">
        <f>IF(LEN(Table2[[#This Row],[!Unique]])&gt;0,"rg:True","rg:None")</f>
        <v>rg:None</v>
      </c>
    </row>
    <row r="114" spans="1:25" x14ac:dyDescent="0.3">
      <c r="A114" s="24" t="s">
        <v>244</v>
      </c>
      <c r="B114" s="3" t="s">
        <v>8</v>
      </c>
      <c r="C114" s="3">
        <v>50</v>
      </c>
      <c r="D114" s="3" t="s">
        <v>51</v>
      </c>
      <c r="E114" s="27" t="s">
        <v>52</v>
      </c>
      <c r="F114" s="3" t="s">
        <v>6</v>
      </c>
      <c r="G114" s="45"/>
      <c r="H114" s="4"/>
      <c r="I114" s="5" t="str">
        <f t="shared" si="4"/>
        <v>Defs</v>
      </c>
      <c r="J114" t="str">
        <f>IF(Table2[[#This Row],[!Type]]=J$1, J$1,"rg:None")</f>
        <v>rg:None</v>
      </c>
      <c r="K114" t="str">
        <f>IF(Table2[[#This Row],[!Type]]=K$1, K$1,"rg:None")</f>
        <v>rg:None</v>
      </c>
      <c r="L114" t="str">
        <f>IF(Table2[[#This Row],[!Type]]=L$1, L$1,"rg:None")</f>
        <v>rg:None</v>
      </c>
      <c r="M114" t="str">
        <f>IF(Table2[[#This Row],[!Type]]=M$1, M$1,"rg:None")</f>
        <v>rg:None</v>
      </c>
      <c r="N114" s="10" t="str">
        <f>IF(Table2[[#This Row],[!Type]]=N$1, N$1,"rg:None")</f>
        <v>rg:None</v>
      </c>
      <c r="O114" s="10" t="str">
        <f>IF(Table2[[#This Row],[!Type]]=O$1, O$1,"rg:None")</f>
        <v>rg:None</v>
      </c>
      <c r="P114" s="5" t="str">
        <f>IF(Table2[[#This Row],[!Type]]=P$1, P$1,"rg:None")</f>
        <v>rg:None</v>
      </c>
      <c r="Q114" s="5" t="str">
        <f>IF(Table2[[#This Row],[!Type]]=Q$1, Q$1,"rg:None")</f>
        <v>rg:None</v>
      </c>
      <c r="R114" s="5" t="str">
        <f>IF(Table2[[#This Row],[!Type]]=R$1, R$1,"rg:None")</f>
        <v>string</v>
      </c>
      <c r="S114" s="5" t="str">
        <f>IF(Table2[[#This Row],[!Type]]=S$1, S$1,"rg:None")</f>
        <v>rg:None</v>
      </c>
      <c r="T114" s="10">
        <f>IF(LEN(Table2[[#This Row],[!Length]]) &gt; 0, Table2[[#This Row],[!Length]], "rg:None")</f>
        <v>50</v>
      </c>
      <c r="U114" s="10" t="str">
        <f>IF(LEN(Table2[[#This Row],[!Name]]) &gt; 0, Table2[[#This Row],[!Name]], "rg:None")</f>
        <v>surname</v>
      </c>
      <c r="V114" s="10" t="str">
        <f>IF(LEN(Table2[[#This Row],[!Description]]) &gt; 0, Table2[[#This Row],[!Description]], "rg:None")</f>
        <v>The surname of the contact.</v>
      </c>
      <c r="W114" s="10" t="str">
        <f>IF(LEN(Table2[[#This Row],[!FK]])&gt;0,Table2[[#This Row],[!FK]],"rg:None")</f>
        <v>rg:None</v>
      </c>
      <c r="X114" s="10" t="str">
        <f>IF(LEN(concatif2(A:A,Table2[[#This Row],[!Table]],G:G,"Y",D:D,",")) &gt; 0,"rg:[ { 'req' : '"&amp;concatif2(A:A,Table2[[#This Row],[!Table]],G:G,"Y",D:D,"' }, { 'req': '")&amp;"'} ]","rg:[]")</f>
        <v>rg:[ { 'req' : 'id'} ]</v>
      </c>
      <c r="Y114" s="10" t="str">
        <f>IF(LEN(Table2[[#This Row],[!Unique]])&gt;0,"rg:True","rg:None")</f>
        <v>rg:None</v>
      </c>
    </row>
    <row r="115" spans="1:25" x14ac:dyDescent="0.3">
      <c r="A115" s="69" t="s">
        <v>244</v>
      </c>
      <c r="B115" s="69" t="s">
        <v>8</v>
      </c>
      <c r="C115" s="3">
        <v>150</v>
      </c>
      <c r="D115" s="69" t="s">
        <v>432</v>
      </c>
      <c r="E115" s="69" t="s">
        <v>433</v>
      </c>
      <c r="F115" s="6"/>
      <c r="G115" s="19"/>
      <c r="H115" s="19"/>
      <c r="I115" s="4" t="str">
        <f>IF(LEN(A115) &gt; 0,"Defs","-")</f>
        <v>Defs</v>
      </c>
      <c r="J115" s="16" t="str">
        <f>IF(Table2[[#This Row],[!Type]]=J$1, J$1,"rg:None")</f>
        <v>rg:None</v>
      </c>
      <c r="K115" s="33" t="str">
        <f>IF(Table2[[#This Row],[!Type]]=K$1, K$1,"rg:None")</f>
        <v>rg:None</v>
      </c>
      <c r="L115" s="16" t="str">
        <f>IF(Table2[[#This Row],[!Type]]=L$1, L$1,"rg:None")</f>
        <v>rg:None</v>
      </c>
      <c r="M115" s="16" t="str">
        <f>IF(Table2[[#This Row],[!Type]]=M$1, M$1,"rg:None")</f>
        <v>rg:None</v>
      </c>
      <c r="N115" s="16" t="str">
        <f>IF(Table2[[#This Row],[!Type]]=N$1, N$1,"rg:None")</f>
        <v>rg:None</v>
      </c>
      <c r="O115" s="16" t="str">
        <f>IF(Table2[[#This Row],[!Type]]=O$1, O$1,"rg:None")</f>
        <v>rg:None</v>
      </c>
      <c r="P115" s="4" t="str">
        <f>IF(Table2[[#This Row],[!Type]]=P$1, P$1,"rg:None")</f>
        <v>rg:None</v>
      </c>
      <c r="Q115" s="4" t="str">
        <f>IF(Table2[[#This Row],[!Type]]=Q$1, Q$1,"rg:None")</f>
        <v>rg:None</v>
      </c>
      <c r="R115" s="4" t="str">
        <f>IF(Table2[[#This Row],[!Type]]=R$1, R$1,"rg:None")</f>
        <v>string</v>
      </c>
      <c r="S115" s="4" t="str">
        <f>IF(Table2[[#This Row],[!Type]]=S$1, S$1,"rg:None")</f>
        <v>rg:None</v>
      </c>
      <c r="T115" s="16">
        <f>IF(LEN(Table2[[#This Row],[!Length]]) &gt; 0, Table2[[#This Row],[!Length]], "rg:None")</f>
        <v>150</v>
      </c>
      <c r="U115" s="16" t="str">
        <f>IF(LEN(Table2[[#This Row],[!Name]]) &gt; 0, Table2[[#This Row],[!Name]], "rg:None")</f>
        <v>organizationName</v>
      </c>
      <c r="V115" s="16" t="str">
        <f>IF(LEN(Table2[[#This Row],[!Description]]) &gt; 0, Table2[[#This Row],[!Description]], "rg:None")</f>
        <v>The organization name of the contact.</v>
      </c>
      <c r="W115" s="16" t="str">
        <f>IF(LEN(Table2[[#This Row],[!FK]])&gt;0,Table2[[#This Row],[!FK]],"rg:None")</f>
        <v>rg:None</v>
      </c>
      <c r="X115" s="16" t="str">
        <f>IF(LEN(concatif2(A:A,Table2[[#This Row],[!Table]],G:G,"Y",D:D,",")) &gt; 0,"rg:[ { 'req' : '"&amp;concatif2(A:A,Table2[[#This Row],[!Table]],G:G,"Y",D:D,"' }, { 'req': '")&amp;"'} ]","rg:[]")</f>
        <v>rg:[ { 'req' : 'id'} ]</v>
      </c>
      <c r="Y115" s="16" t="str">
        <f>IF(LEN(Table2[[#This Row],[!Unique]])&gt;0,"rg:True","rg:None")</f>
        <v>rg:None</v>
      </c>
    </row>
    <row r="116" spans="1:25" x14ac:dyDescent="0.3">
      <c r="A116" s="24" t="s">
        <v>244</v>
      </c>
      <c r="B116" s="3" t="s">
        <v>8</v>
      </c>
      <c r="C116" s="3">
        <v>100</v>
      </c>
      <c r="D116" s="3" t="s">
        <v>53</v>
      </c>
      <c r="E116" s="43" t="s">
        <v>388</v>
      </c>
      <c r="F116" s="3" t="s">
        <v>6</v>
      </c>
      <c r="G116" s="45"/>
      <c r="H116" s="4"/>
      <c r="I116" s="5" t="str">
        <f t="shared" si="4"/>
        <v>Defs</v>
      </c>
      <c r="J116" t="str">
        <f>IF(Table2[[#This Row],[!Type]]=J$1, J$1,"rg:None")</f>
        <v>rg:None</v>
      </c>
      <c r="K116" t="str">
        <f>IF(Table2[[#This Row],[!Type]]=K$1, K$1,"rg:None")</f>
        <v>rg:None</v>
      </c>
      <c r="L116" t="str">
        <f>IF(Table2[[#This Row],[!Type]]=L$1, L$1,"rg:None")</f>
        <v>rg:None</v>
      </c>
      <c r="M116" t="str">
        <f>IF(Table2[[#This Row],[!Type]]=M$1, M$1,"rg:None")</f>
        <v>rg:None</v>
      </c>
      <c r="N116" s="10" t="str">
        <f>IF(Table2[[#This Row],[!Type]]=N$1, N$1,"rg:None")</f>
        <v>rg:None</v>
      </c>
      <c r="O116" s="10" t="str">
        <f>IF(Table2[[#This Row],[!Type]]=O$1, O$1,"rg:None")</f>
        <v>rg:None</v>
      </c>
      <c r="P116" s="5" t="str">
        <f>IF(Table2[[#This Row],[!Type]]=P$1, P$1,"rg:None")</f>
        <v>rg:None</v>
      </c>
      <c r="Q116" s="5" t="str">
        <f>IF(Table2[[#This Row],[!Type]]=Q$1, Q$1,"rg:None")</f>
        <v>rg:None</v>
      </c>
      <c r="R116" s="5" t="str">
        <f>IF(Table2[[#This Row],[!Type]]=R$1, R$1,"rg:None")</f>
        <v>string</v>
      </c>
      <c r="S116" s="5" t="str">
        <f>IF(Table2[[#This Row],[!Type]]=S$1, S$1,"rg:None")</f>
        <v>rg:None</v>
      </c>
      <c r="T116" s="10">
        <f>IF(LEN(Table2[[#This Row],[!Length]]) &gt; 0, Table2[[#This Row],[!Length]], "rg:None")</f>
        <v>100</v>
      </c>
      <c r="U116" s="10" t="str">
        <f>IF(LEN(Table2[[#This Row],[!Name]]) &gt; 0, Table2[[#This Row],[!Name]], "rg:None")</f>
        <v>role</v>
      </c>
      <c r="V116" s="10" t="str">
        <f>IF(LEN(Table2[[#This Row],[!Description]]) &gt; 0, Table2[[#This Row],[!Description]], "rg:None")</f>
        <v>The role of the contact. UI controlled as to whether it is free form or selected from an enumerated list - for initial implementation, the field is freeform.</v>
      </c>
      <c r="W116" s="10" t="str">
        <f>IF(LEN(Table2[[#This Row],[!FK]])&gt;0,Table2[[#This Row],[!FK]],"rg:None")</f>
        <v>rg:None</v>
      </c>
      <c r="X116" s="10" t="str">
        <f>IF(LEN(concatif2(A:A,Table2[[#This Row],[!Table]],G:G,"Y",D:D,",")) &gt; 0,"rg:[ { 'req' : '"&amp;concatif2(A:A,Table2[[#This Row],[!Table]],G:G,"Y",D:D,"' }, { 'req': '")&amp;"'} ]","rg:[]")</f>
        <v>rg:[ { 'req' : 'id'} ]</v>
      </c>
      <c r="Y116" s="10" t="str">
        <f>IF(LEN(Table2[[#This Row],[!Unique]])&gt;0,"rg:True","rg:None")</f>
        <v>rg:None</v>
      </c>
    </row>
    <row r="117" spans="1:25" x14ac:dyDescent="0.3">
      <c r="A117" s="24" t="s">
        <v>244</v>
      </c>
      <c r="B117" s="3" t="s">
        <v>8</v>
      </c>
      <c r="C117" s="3">
        <v>150</v>
      </c>
      <c r="D117" s="3" t="s">
        <v>54</v>
      </c>
      <c r="E117" s="28" t="s">
        <v>265</v>
      </c>
      <c r="F117" s="3" t="s">
        <v>6</v>
      </c>
      <c r="G117" s="4"/>
      <c r="H117" s="4"/>
      <c r="I117" s="5" t="str">
        <f t="shared" si="4"/>
        <v>Defs</v>
      </c>
      <c r="J117" t="str">
        <f>IF(Table2[[#This Row],[!Type]]=J$1, J$1,"rg:None")</f>
        <v>rg:None</v>
      </c>
      <c r="K117" t="str">
        <f>IF(Table2[[#This Row],[!Type]]=K$1, K$1,"rg:None")</f>
        <v>rg:None</v>
      </c>
      <c r="L117" t="str">
        <f>IF(Table2[[#This Row],[!Type]]=L$1, L$1,"rg:None")</f>
        <v>rg:None</v>
      </c>
      <c r="M117" t="str">
        <f>IF(Table2[[#This Row],[!Type]]=M$1, M$1,"rg:None")</f>
        <v>rg:None</v>
      </c>
      <c r="N117" s="10" t="str">
        <f>IF(Table2[[#This Row],[!Type]]=N$1, N$1,"rg:None")</f>
        <v>rg:None</v>
      </c>
      <c r="O117" s="10" t="str">
        <f>IF(Table2[[#This Row],[!Type]]=O$1, O$1,"rg:None")</f>
        <v>rg:None</v>
      </c>
      <c r="P117" s="5" t="str">
        <f>IF(Table2[[#This Row],[!Type]]=P$1, P$1,"rg:None")</f>
        <v>rg:None</v>
      </c>
      <c r="Q117" s="5" t="str">
        <f>IF(Table2[[#This Row],[!Type]]=Q$1, Q$1,"rg:None")</f>
        <v>rg:None</v>
      </c>
      <c r="R117" s="5" t="str">
        <f>IF(Table2[[#This Row],[!Type]]=R$1, R$1,"rg:None")</f>
        <v>string</v>
      </c>
      <c r="S117" s="5" t="str">
        <f>IF(Table2[[#This Row],[!Type]]=S$1, S$1,"rg:None")</f>
        <v>rg:None</v>
      </c>
      <c r="T117" s="10">
        <f>IF(LEN(Table2[[#This Row],[!Length]]) &gt; 0, Table2[[#This Row],[!Length]], "rg:None")</f>
        <v>150</v>
      </c>
      <c r="U117" s="10" t="str">
        <f>IF(LEN(Table2[[#This Row],[!Name]]) &gt; 0, Table2[[#This Row],[!Name]], "rg:None")</f>
        <v>notes</v>
      </c>
      <c r="V117" s="10" t="str">
        <f>IF(LEN(Table2[[#This Row],[!Description]]) &gt; 0, Table2[[#This Row],[!Description]], "rg:None")</f>
        <v>A note about the contact maintained by the users.</v>
      </c>
      <c r="W117" s="10" t="str">
        <f>IF(LEN(Table2[[#This Row],[!FK]])&gt;0,Table2[[#This Row],[!FK]],"rg:None")</f>
        <v>rg:None</v>
      </c>
      <c r="X117" s="10" t="str">
        <f>IF(LEN(concatif2(A:A,Table2[[#This Row],[!Table]],G:G,"Y",D:D,",")) &gt; 0,"rg:[ { 'req' : '"&amp;concatif2(A:A,Table2[[#This Row],[!Table]],G:G,"Y",D:D,"' }, { 'req': '")&amp;"'} ]","rg:[]")</f>
        <v>rg:[ { 'req' : 'id'} ]</v>
      </c>
      <c r="Y117" s="10" t="str">
        <f>IF(LEN(Table2[[#This Row],[!Unique]])&gt;0,"rg:True","rg:None")</f>
        <v>rg:None</v>
      </c>
    </row>
    <row r="118" spans="1:25" x14ac:dyDescent="0.3">
      <c r="A118" s="69" t="s">
        <v>244</v>
      </c>
      <c r="B118" s="69" t="s">
        <v>8</v>
      </c>
      <c r="C118" s="3">
        <v>255</v>
      </c>
      <c r="D118" s="69" t="s">
        <v>427</v>
      </c>
      <c r="E118" s="69" t="s">
        <v>428</v>
      </c>
      <c r="F118" s="6"/>
      <c r="G118" s="19"/>
      <c r="H118" s="19"/>
      <c r="I118" s="4" t="str">
        <f>IF(LEN(A118) &gt; 0,"Defs","-")</f>
        <v>Defs</v>
      </c>
      <c r="J118" s="16" t="str">
        <f>IF(Table2[[#This Row],[!Type]]=J$1, J$1,"rg:None")</f>
        <v>rg:None</v>
      </c>
      <c r="K118" s="33" t="str">
        <f>IF(Table2[[#This Row],[!Type]]=K$1, K$1,"rg:None")</f>
        <v>rg:None</v>
      </c>
      <c r="L118" s="16" t="str">
        <f>IF(Table2[[#This Row],[!Type]]=L$1, L$1,"rg:None")</f>
        <v>rg:None</v>
      </c>
      <c r="M118" s="16" t="str">
        <f>IF(Table2[[#This Row],[!Type]]=M$1, M$1,"rg:None")</f>
        <v>rg:None</v>
      </c>
      <c r="N118" s="16" t="str">
        <f>IF(Table2[[#This Row],[!Type]]=N$1, N$1,"rg:None")</f>
        <v>rg:None</v>
      </c>
      <c r="O118" s="16" t="str">
        <f>IF(Table2[[#This Row],[!Type]]=O$1, O$1,"rg:None")</f>
        <v>rg:None</v>
      </c>
      <c r="P118" s="4" t="str">
        <f>IF(Table2[[#This Row],[!Type]]=P$1, P$1,"rg:None")</f>
        <v>rg:None</v>
      </c>
      <c r="Q118" s="4" t="str">
        <f>IF(Table2[[#This Row],[!Type]]=Q$1, Q$1,"rg:None")</f>
        <v>rg:None</v>
      </c>
      <c r="R118" s="4" t="str">
        <f>IF(Table2[[#This Row],[!Type]]=R$1, R$1,"rg:None")</f>
        <v>string</v>
      </c>
      <c r="S118" s="4" t="str">
        <f>IF(Table2[[#This Row],[!Type]]=S$1, S$1,"rg:None")</f>
        <v>rg:None</v>
      </c>
      <c r="T118" s="16">
        <f>IF(LEN(Table2[[#This Row],[!Length]]) &gt; 0, Table2[[#This Row],[!Length]], "rg:None")</f>
        <v>255</v>
      </c>
      <c r="U118" s="16" t="str">
        <f>IF(LEN(Table2[[#This Row],[!Name]]) &gt; 0, Table2[[#This Row],[!Name]], "rg:None")</f>
        <v>emailAddress</v>
      </c>
      <c r="V118" s="16" t="str">
        <f>IF(LEN(Table2[[#This Row],[!Description]]) &gt; 0, Table2[[#This Row],[!Description]], "rg:None")</f>
        <v>The email address for the contact.</v>
      </c>
      <c r="W118" s="16" t="str">
        <f>IF(LEN(Table2[[#This Row],[!FK]])&gt;0,Table2[[#This Row],[!FK]],"rg:None")</f>
        <v>rg:None</v>
      </c>
      <c r="X118" s="16" t="str">
        <f>IF(LEN(concatif2(A:A,Table2[[#This Row],[!Table]],G:G,"Y",D:D,",")) &gt; 0,"rg:[ { 'req' : '"&amp;concatif2(A:A,Table2[[#This Row],[!Table]],G:G,"Y",D:D,"' }, { 'req': '")&amp;"'} ]","rg:[]")</f>
        <v>rg:[ { 'req' : 'id'} ]</v>
      </c>
      <c r="Y118" s="16" t="str">
        <f>IF(LEN(Table2[[#This Row],[!Unique]])&gt;0,"rg:True","rg:None")</f>
        <v>rg:None</v>
      </c>
    </row>
    <row r="119" spans="1:25" x14ac:dyDescent="0.3">
      <c r="A119" s="24" t="s">
        <v>244</v>
      </c>
      <c r="B119" s="3" t="s">
        <v>8</v>
      </c>
      <c r="C119" s="3">
        <v>20</v>
      </c>
      <c r="D119" s="68" t="s">
        <v>424</v>
      </c>
      <c r="E119" s="70" t="s">
        <v>429</v>
      </c>
      <c r="F119" s="3" t="s">
        <v>6</v>
      </c>
      <c r="G119" s="45"/>
      <c r="H119" s="4"/>
      <c r="I119" s="5" t="str">
        <f t="shared" si="4"/>
        <v>Defs</v>
      </c>
      <c r="J119" t="str">
        <f>IF(Table2[[#This Row],[!Type]]=J$1, J$1,"rg:None")</f>
        <v>rg:None</v>
      </c>
      <c r="K119" t="str">
        <f>IF(Table2[[#This Row],[!Type]]=K$1, K$1,"rg:None")</f>
        <v>rg:None</v>
      </c>
      <c r="L119" t="str">
        <f>IF(Table2[[#This Row],[!Type]]=L$1, L$1,"rg:None")</f>
        <v>rg:None</v>
      </c>
      <c r="M119" t="str">
        <f>IF(Table2[[#This Row],[!Type]]=M$1, M$1,"rg:None")</f>
        <v>rg:None</v>
      </c>
      <c r="N119" s="10" t="str">
        <f>IF(Table2[[#This Row],[!Type]]=N$1, N$1,"rg:None")</f>
        <v>rg:None</v>
      </c>
      <c r="O119" s="10" t="str">
        <f>IF(Table2[[#This Row],[!Type]]=O$1, O$1,"rg:None")</f>
        <v>rg:None</v>
      </c>
      <c r="P119" s="5" t="str">
        <f>IF(Table2[[#This Row],[!Type]]=P$1, P$1,"rg:None")</f>
        <v>rg:None</v>
      </c>
      <c r="Q119" s="5" t="str">
        <f>IF(Table2[[#This Row],[!Type]]=Q$1, Q$1,"rg:None")</f>
        <v>rg:None</v>
      </c>
      <c r="R119" s="5" t="str">
        <f>IF(Table2[[#This Row],[!Type]]=R$1, R$1,"rg:None")</f>
        <v>string</v>
      </c>
      <c r="S119" s="5" t="str">
        <f>IF(Table2[[#This Row],[!Type]]=S$1, S$1,"rg:None")</f>
        <v>rg:None</v>
      </c>
      <c r="T119" s="10">
        <f>IF(LEN(Table2[[#This Row],[!Length]]) &gt; 0, Table2[[#This Row],[!Length]], "rg:None")</f>
        <v>20</v>
      </c>
      <c r="U119" s="10" t="str">
        <f>IF(LEN(Table2[[#This Row],[!Name]]) &gt; 0, Table2[[#This Row],[!Name]], "rg:None")</f>
        <v>workPhoneNumber</v>
      </c>
      <c r="V119" s="10" t="str">
        <f>IF(LEN(Table2[[#This Row],[!Description]]) &gt; 0, Table2[[#This Row],[!Description]], "rg:None")</f>
        <v>The work phone number for the contact.</v>
      </c>
      <c r="W119" s="10" t="str">
        <f>IF(LEN(Table2[[#This Row],[!FK]])&gt;0,Table2[[#This Row],[!FK]],"rg:None")</f>
        <v>rg:None</v>
      </c>
      <c r="X119" s="10" t="str">
        <f>IF(LEN(concatif2(A:A,Table2[[#This Row],[!Table]],G:G,"Y",D:D,",")) &gt; 0,"rg:[ { 'req' : '"&amp;concatif2(A:A,Table2[[#This Row],[!Table]],G:G,"Y",D:D,"' }, { 'req': '")&amp;"'} ]","rg:[]")</f>
        <v>rg:[ { 'req' : 'id'} ]</v>
      </c>
      <c r="Y119" s="10" t="str">
        <f>IF(LEN(Table2[[#This Row],[!Unique]])&gt;0,"rg:True","rg:None")</f>
        <v>rg:None</v>
      </c>
    </row>
    <row r="120" spans="1:25" x14ac:dyDescent="0.3">
      <c r="A120" s="24" t="s">
        <v>244</v>
      </c>
      <c r="B120" s="3" t="s">
        <v>8</v>
      </c>
      <c r="C120" s="3">
        <v>20</v>
      </c>
      <c r="D120" s="68" t="s">
        <v>425</v>
      </c>
      <c r="E120" s="70" t="s">
        <v>430</v>
      </c>
      <c r="F120" s="3" t="s">
        <v>6</v>
      </c>
      <c r="G120" s="45"/>
      <c r="H120" s="4"/>
      <c r="I120" s="5" t="str">
        <f t="shared" si="4"/>
        <v>Defs</v>
      </c>
      <c r="J120" t="str">
        <f>IF(Table2[[#This Row],[!Type]]=J$1, J$1,"rg:None")</f>
        <v>rg:None</v>
      </c>
      <c r="K120" t="str">
        <f>IF(Table2[[#This Row],[!Type]]=K$1, K$1,"rg:None")</f>
        <v>rg:None</v>
      </c>
      <c r="L120" t="str">
        <f>IF(Table2[[#This Row],[!Type]]=L$1, L$1,"rg:None")</f>
        <v>rg:None</v>
      </c>
      <c r="M120" t="str">
        <f>IF(Table2[[#This Row],[!Type]]=M$1, M$1,"rg:None")</f>
        <v>rg:None</v>
      </c>
      <c r="N120" s="10" t="str">
        <f>IF(Table2[[#This Row],[!Type]]=N$1, N$1,"rg:None")</f>
        <v>rg:None</v>
      </c>
      <c r="O120" s="10" t="str">
        <f>IF(Table2[[#This Row],[!Type]]=O$1, O$1,"rg:None")</f>
        <v>rg:None</v>
      </c>
      <c r="P120" s="5" t="str">
        <f>IF(Table2[[#This Row],[!Type]]=P$1, P$1,"rg:None")</f>
        <v>rg:None</v>
      </c>
      <c r="Q120" s="5" t="str">
        <f>IF(Table2[[#This Row],[!Type]]=Q$1, Q$1,"rg:None")</f>
        <v>rg:None</v>
      </c>
      <c r="R120" s="5" t="str">
        <f>IF(Table2[[#This Row],[!Type]]=R$1, R$1,"rg:None")</f>
        <v>string</v>
      </c>
      <c r="S120" s="5" t="str">
        <f>IF(Table2[[#This Row],[!Type]]=S$1, S$1,"rg:None")</f>
        <v>rg:None</v>
      </c>
      <c r="T120" s="10">
        <f>IF(LEN(Table2[[#This Row],[!Length]]) &gt; 0, Table2[[#This Row],[!Length]], "rg:None")</f>
        <v>20</v>
      </c>
      <c r="U120" s="10" t="str">
        <f>IF(LEN(Table2[[#This Row],[!Name]]) &gt; 0, Table2[[#This Row],[!Name]], "rg:None")</f>
        <v>mobilePhoneNumber</v>
      </c>
      <c r="V120" s="10" t="str">
        <f>IF(LEN(Table2[[#This Row],[!Description]]) &gt; 0, Table2[[#This Row],[!Description]], "rg:None")</f>
        <v>The mobile phone number for the contact.</v>
      </c>
      <c r="W120" s="10" t="str">
        <f>IF(LEN(Table2[[#This Row],[!FK]])&gt;0,Table2[[#This Row],[!FK]],"rg:None")</f>
        <v>rg:None</v>
      </c>
      <c r="X120" s="10" t="str">
        <f>IF(LEN(concatif2(A:A,Table2[[#This Row],[!Table]],G:G,"Y",D:D,",")) &gt; 0,"rg:[ { 'req' : '"&amp;concatif2(A:A,Table2[[#This Row],[!Table]],G:G,"Y",D:D,"' }, { 'req': '")&amp;"'} ]","rg:[]")</f>
        <v>rg:[ { 'req' : 'id'} ]</v>
      </c>
      <c r="Y120" s="10" t="str">
        <f>IF(LEN(Table2[[#This Row],[!Unique]])&gt;0,"rg:True","rg:None")</f>
        <v>rg:None</v>
      </c>
    </row>
    <row r="121" spans="1:25" x14ac:dyDescent="0.3">
      <c r="A121" s="68" t="s">
        <v>244</v>
      </c>
      <c r="B121" s="68" t="s">
        <v>8</v>
      </c>
      <c r="C121" s="3">
        <v>20</v>
      </c>
      <c r="D121" s="68" t="s">
        <v>426</v>
      </c>
      <c r="E121" s="70" t="s">
        <v>431</v>
      </c>
      <c r="F121" s="3" t="s">
        <v>6</v>
      </c>
      <c r="G121" s="4"/>
      <c r="H121" s="4"/>
      <c r="I121" s="5" t="str">
        <f t="shared" si="4"/>
        <v>Defs</v>
      </c>
      <c r="J121" t="str">
        <f>IF(Table2[[#This Row],[!Type]]=J$1, J$1,"rg:None")</f>
        <v>rg:None</v>
      </c>
      <c r="K121" t="str">
        <f>IF(Table2[[#This Row],[!Type]]=K$1, K$1,"rg:None")</f>
        <v>rg:None</v>
      </c>
      <c r="L121" t="str">
        <f>IF(Table2[[#This Row],[!Type]]=L$1, L$1,"rg:None")</f>
        <v>rg:None</v>
      </c>
      <c r="M121" t="str">
        <f>IF(Table2[[#This Row],[!Type]]=M$1, M$1,"rg:None")</f>
        <v>rg:None</v>
      </c>
      <c r="N121" s="10" t="str">
        <f>IF(Table2[[#This Row],[!Type]]=N$1, N$1,"rg:None")</f>
        <v>rg:None</v>
      </c>
      <c r="O121" s="10" t="str">
        <f>IF(Table2[[#This Row],[!Type]]=O$1, O$1,"rg:None")</f>
        <v>rg:None</v>
      </c>
      <c r="P121" s="5" t="str">
        <f>IF(Table2[[#This Row],[!Type]]=P$1, P$1,"rg:None")</f>
        <v>rg:None</v>
      </c>
      <c r="Q121" s="5" t="str">
        <f>IF(Table2[[#This Row],[!Type]]=Q$1, Q$1,"rg:None")</f>
        <v>rg:None</v>
      </c>
      <c r="R121" s="5" t="str">
        <f>IF(Table2[[#This Row],[!Type]]=R$1, R$1,"rg:None")</f>
        <v>string</v>
      </c>
      <c r="S121" s="5" t="str">
        <f>IF(Table2[[#This Row],[!Type]]=S$1, S$1,"rg:None")</f>
        <v>rg:None</v>
      </c>
      <c r="T121" s="10">
        <f>IF(LEN(Table2[[#This Row],[!Length]]) &gt; 0, Table2[[#This Row],[!Length]], "rg:None")</f>
        <v>20</v>
      </c>
      <c r="U121" s="10" t="str">
        <f>IF(LEN(Table2[[#This Row],[!Name]]) &gt; 0, Table2[[#This Row],[!Name]], "rg:None")</f>
        <v>faxPhoneNumber</v>
      </c>
      <c r="V121" s="10" t="str">
        <f>IF(LEN(Table2[[#This Row],[!Description]]) &gt; 0, Table2[[#This Row],[!Description]], "rg:None")</f>
        <v>The fax phone number for the contact.</v>
      </c>
      <c r="W121" s="10" t="str">
        <f>IF(LEN(Table2[[#This Row],[!FK]])&gt;0,Table2[[#This Row],[!FK]],"rg:None")</f>
        <v>rg:None</v>
      </c>
      <c r="X121" s="10" t="str">
        <f>IF(LEN(concatif2(A:A,Table2[[#This Row],[!Table]],G:G,"Y",D:D,",")) &gt; 0,"rg:[ { 'req' : '"&amp;concatif2(A:A,Table2[[#This Row],[!Table]],G:G,"Y",D:D,"' }, { 'req': '")&amp;"'} ]","rg:[]")</f>
        <v>rg:[ { 'req' : 'id'} ]</v>
      </c>
      <c r="Y121" s="10" t="str">
        <f>IF(LEN(Table2[[#This Row],[!Unique]])&gt;0,"rg:True","rg:None")</f>
        <v>rg:None</v>
      </c>
    </row>
    <row r="122" spans="1:25" x14ac:dyDescent="0.3">
      <c r="A122" s="68" t="s">
        <v>244</v>
      </c>
      <c r="B122" s="3" t="s">
        <v>8</v>
      </c>
      <c r="C122" s="3">
        <v>80</v>
      </c>
      <c r="D122" s="68" t="s">
        <v>266</v>
      </c>
      <c r="E122" s="70" t="s">
        <v>57</v>
      </c>
      <c r="F122" s="3" t="s">
        <v>6</v>
      </c>
      <c r="G122" s="4"/>
      <c r="H122" s="4"/>
      <c r="I122" s="5" t="str">
        <f t="shared" si="4"/>
        <v>Defs</v>
      </c>
      <c r="J122" t="str">
        <f>IF(Table2[[#This Row],[!Type]]=J$1, J$1,"rg:None")</f>
        <v>rg:None</v>
      </c>
      <c r="K122" t="str">
        <f>IF(Table2[[#This Row],[!Type]]=K$1, K$1,"rg:None")</f>
        <v>rg:None</v>
      </c>
      <c r="L122" t="str">
        <f>IF(Table2[[#This Row],[!Type]]=L$1, L$1,"rg:None")</f>
        <v>rg:None</v>
      </c>
      <c r="M122" t="str">
        <f>IF(Table2[[#This Row],[!Type]]=M$1, M$1,"rg:None")</f>
        <v>rg:None</v>
      </c>
      <c r="N122" s="10" t="str">
        <f>IF(Table2[[#This Row],[!Type]]=N$1, N$1,"rg:None")</f>
        <v>rg:None</v>
      </c>
      <c r="O122" s="10" t="str">
        <f>IF(Table2[[#This Row],[!Type]]=O$1, O$1,"rg:None")</f>
        <v>rg:None</v>
      </c>
      <c r="P122" s="5" t="str">
        <f>IF(Table2[[#This Row],[!Type]]=P$1, P$1,"rg:None")</f>
        <v>rg:None</v>
      </c>
      <c r="Q122" s="5" t="str">
        <f>IF(Table2[[#This Row],[!Type]]=Q$1, Q$1,"rg:None")</f>
        <v>rg:None</v>
      </c>
      <c r="R122" s="5" t="str">
        <f>IF(Table2[[#This Row],[!Type]]=R$1, R$1,"rg:None")</f>
        <v>string</v>
      </c>
      <c r="S122" s="5" t="str">
        <f>IF(Table2[[#This Row],[!Type]]=S$1, S$1,"rg:None")</f>
        <v>rg:None</v>
      </c>
      <c r="T122" s="10">
        <f>IF(LEN(Table2[[#This Row],[!Length]]) &gt; 0, Table2[[#This Row],[!Length]], "rg:None")</f>
        <v>80</v>
      </c>
      <c r="U122" s="10" t="str">
        <f>IF(LEN(Table2[[#This Row],[!Name]]) &gt; 0, Table2[[#This Row],[!Name]], "rg:None")</f>
        <v>address1</v>
      </c>
      <c r="V122" s="10" t="str">
        <f>IF(LEN(Table2[[#This Row],[!Description]]) &gt; 0, Table2[[#This Row],[!Description]], "rg:None")</f>
        <v>Address 1 line of the address.</v>
      </c>
      <c r="W122" s="10" t="str">
        <f>IF(LEN(Table2[[#This Row],[!FK]])&gt;0,Table2[[#This Row],[!FK]],"rg:None")</f>
        <v>rg:None</v>
      </c>
      <c r="X122" s="10" t="str">
        <f>IF(LEN(concatif2(A:A,Table2[[#This Row],[!Table]],G:G,"Y",D:D,",")) &gt; 0,"rg:[ { 'req' : '"&amp;concatif2(A:A,Table2[[#This Row],[!Table]],G:G,"Y",D:D,"' }, { 'req': '")&amp;"'} ]","rg:[]")</f>
        <v>rg:[ { 'req' : 'id'} ]</v>
      </c>
      <c r="Y122" s="10" t="str">
        <f>IF(LEN(Table2[[#This Row],[!Unique]])&gt;0,"rg:True","rg:None")</f>
        <v>rg:None</v>
      </c>
    </row>
    <row r="123" spans="1:25" x14ac:dyDescent="0.3">
      <c r="A123" s="68" t="s">
        <v>244</v>
      </c>
      <c r="B123" s="3" t="s">
        <v>8</v>
      </c>
      <c r="C123" s="3">
        <v>80</v>
      </c>
      <c r="D123" s="68" t="s">
        <v>267</v>
      </c>
      <c r="E123" s="27" t="s">
        <v>58</v>
      </c>
      <c r="F123" s="3" t="s">
        <v>6</v>
      </c>
      <c r="G123" s="4"/>
      <c r="H123" s="4"/>
      <c r="I123" s="5" t="str">
        <f t="shared" si="4"/>
        <v>Defs</v>
      </c>
      <c r="J123" t="str">
        <f>IF(Table2[[#This Row],[!Type]]=J$1, J$1,"rg:None")</f>
        <v>rg:None</v>
      </c>
      <c r="K123" t="str">
        <f>IF(Table2[[#This Row],[!Type]]=K$1, K$1,"rg:None")</f>
        <v>rg:None</v>
      </c>
      <c r="L123" t="str">
        <f>IF(Table2[[#This Row],[!Type]]=L$1, L$1,"rg:None")</f>
        <v>rg:None</v>
      </c>
      <c r="M123" t="str">
        <f>IF(Table2[[#This Row],[!Type]]=M$1, M$1,"rg:None")</f>
        <v>rg:None</v>
      </c>
      <c r="N123" s="10" t="str">
        <f>IF(Table2[[#This Row],[!Type]]=N$1, N$1,"rg:None")</f>
        <v>rg:None</v>
      </c>
      <c r="O123" s="10" t="str">
        <f>IF(Table2[[#This Row],[!Type]]=O$1, O$1,"rg:None")</f>
        <v>rg:None</v>
      </c>
      <c r="P123" s="5" t="str">
        <f>IF(Table2[[#This Row],[!Type]]=P$1, P$1,"rg:None")</f>
        <v>rg:None</v>
      </c>
      <c r="Q123" s="5" t="str">
        <f>IF(Table2[[#This Row],[!Type]]=Q$1, Q$1,"rg:None")</f>
        <v>rg:None</v>
      </c>
      <c r="R123" s="5" t="str">
        <f>IF(Table2[[#This Row],[!Type]]=R$1, R$1,"rg:None")</f>
        <v>string</v>
      </c>
      <c r="S123" s="5" t="str">
        <f>IF(Table2[[#This Row],[!Type]]=S$1, S$1,"rg:None")</f>
        <v>rg:None</v>
      </c>
      <c r="T123" s="10">
        <f>IF(LEN(Table2[[#This Row],[!Length]]) &gt; 0, Table2[[#This Row],[!Length]], "rg:None")</f>
        <v>80</v>
      </c>
      <c r="U123" s="10" t="str">
        <f>IF(LEN(Table2[[#This Row],[!Name]]) &gt; 0, Table2[[#This Row],[!Name]], "rg:None")</f>
        <v>address2</v>
      </c>
      <c r="V123" s="10" t="str">
        <f>IF(LEN(Table2[[#This Row],[!Description]]) &gt; 0, Table2[[#This Row],[!Description]], "rg:None")</f>
        <v>Address 2 line of the address.</v>
      </c>
      <c r="W123" s="10" t="str">
        <f>IF(LEN(Table2[[#This Row],[!FK]])&gt;0,Table2[[#This Row],[!FK]],"rg:None")</f>
        <v>rg:None</v>
      </c>
      <c r="X123" s="10" t="str">
        <f>IF(LEN(concatif2(A:A,Table2[[#This Row],[!Table]],G:G,"Y",D:D,",")) &gt; 0,"rg:[ { 'req' : '"&amp;concatif2(A:A,Table2[[#This Row],[!Table]],G:G,"Y",D:D,"' }, { 'req': '")&amp;"'} ]","rg:[]")</f>
        <v>rg:[ { 'req' : 'id'} ]</v>
      </c>
      <c r="Y123" s="10" t="str">
        <f>IF(LEN(Table2[[#This Row],[!Unique]])&gt;0,"rg:True","rg:None")</f>
        <v>rg:None</v>
      </c>
    </row>
    <row r="124" spans="1:25" x14ac:dyDescent="0.3">
      <c r="A124" s="68" t="s">
        <v>244</v>
      </c>
      <c r="B124" s="3" t="s">
        <v>8</v>
      </c>
      <c r="C124" s="3">
        <v>100</v>
      </c>
      <c r="D124" s="68" t="s">
        <v>59</v>
      </c>
      <c r="E124" s="27" t="s">
        <v>60</v>
      </c>
      <c r="F124" s="3" t="s">
        <v>6</v>
      </c>
      <c r="G124" s="4"/>
      <c r="H124" s="4"/>
      <c r="I124" s="5" t="str">
        <f t="shared" si="4"/>
        <v>Defs</v>
      </c>
      <c r="J124" t="str">
        <f>IF(Table2[[#This Row],[!Type]]=J$1, J$1,"rg:None")</f>
        <v>rg:None</v>
      </c>
      <c r="K124" t="str">
        <f>IF(Table2[[#This Row],[!Type]]=K$1, K$1,"rg:None")</f>
        <v>rg:None</v>
      </c>
      <c r="L124" t="str">
        <f>IF(Table2[[#This Row],[!Type]]=L$1, L$1,"rg:None")</f>
        <v>rg:None</v>
      </c>
      <c r="M124" t="str">
        <f>IF(Table2[[#This Row],[!Type]]=M$1, M$1,"rg:None")</f>
        <v>rg:None</v>
      </c>
      <c r="N124" s="10" t="str">
        <f>IF(Table2[[#This Row],[!Type]]=N$1, N$1,"rg:None")</f>
        <v>rg:None</v>
      </c>
      <c r="O124" s="10" t="str">
        <f>IF(Table2[[#This Row],[!Type]]=O$1, O$1,"rg:None")</f>
        <v>rg:None</v>
      </c>
      <c r="P124" s="5" t="str">
        <f>IF(Table2[[#This Row],[!Type]]=P$1, P$1,"rg:None")</f>
        <v>rg:None</v>
      </c>
      <c r="Q124" s="5" t="str">
        <f>IF(Table2[[#This Row],[!Type]]=Q$1, Q$1,"rg:None")</f>
        <v>rg:None</v>
      </c>
      <c r="R124" s="5" t="str">
        <f>IF(Table2[[#This Row],[!Type]]=R$1, R$1,"rg:None")</f>
        <v>string</v>
      </c>
      <c r="S124" s="5" t="str">
        <f>IF(Table2[[#This Row],[!Type]]=S$1, S$1,"rg:None")</f>
        <v>rg:None</v>
      </c>
      <c r="T124" s="10">
        <f>IF(LEN(Table2[[#This Row],[!Length]]) &gt; 0, Table2[[#This Row],[!Length]], "rg:None")</f>
        <v>100</v>
      </c>
      <c r="U124" s="10" t="str">
        <f>IF(LEN(Table2[[#This Row],[!Name]]) &gt; 0, Table2[[#This Row],[!Name]], "rg:None")</f>
        <v>city</v>
      </c>
      <c r="V124" s="10" t="str">
        <f>IF(LEN(Table2[[#This Row],[!Description]]) &gt; 0, Table2[[#This Row],[!Description]], "rg:None")</f>
        <v>The City of the address.</v>
      </c>
      <c r="W124" s="10" t="str">
        <f>IF(LEN(Table2[[#This Row],[!FK]])&gt;0,Table2[[#This Row],[!FK]],"rg:None")</f>
        <v>rg:None</v>
      </c>
      <c r="X124" s="10" t="str">
        <f>IF(LEN(concatif2(A:A,Table2[[#This Row],[!Table]],G:G,"Y",D:D,",")) &gt; 0,"rg:[ { 'req' : '"&amp;concatif2(A:A,Table2[[#This Row],[!Table]],G:G,"Y",D:D,"' }, { 'req': '")&amp;"'} ]","rg:[]")</f>
        <v>rg:[ { 'req' : 'id'} ]</v>
      </c>
      <c r="Y124" s="10" t="str">
        <f>IF(LEN(Table2[[#This Row],[!Unique]])&gt;0,"rg:True","rg:None")</f>
        <v>rg:None</v>
      </c>
    </row>
    <row r="125" spans="1:25" x14ac:dyDescent="0.3">
      <c r="A125" s="68" t="s">
        <v>244</v>
      </c>
      <c r="B125" s="3" t="s">
        <v>8</v>
      </c>
      <c r="C125" s="3">
        <v>50</v>
      </c>
      <c r="D125" s="68" t="s">
        <v>61</v>
      </c>
      <c r="E125" s="27" t="s">
        <v>62</v>
      </c>
      <c r="F125" s="3" t="s">
        <v>6</v>
      </c>
      <c r="G125" s="4"/>
      <c r="H125" s="4"/>
      <c r="I125" s="5" t="str">
        <f t="shared" si="4"/>
        <v>Defs</v>
      </c>
      <c r="J125" t="str">
        <f>IF(Table2[[#This Row],[!Type]]=J$1, J$1,"rg:None")</f>
        <v>rg:None</v>
      </c>
      <c r="K125" t="str">
        <f>IF(Table2[[#This Row],[!Type]]=K$1, K$1,"rg:None")</f>
        <v>rg:None</v>
      </c>
      <c r="L125" t="str">
        <f>IF(Table2[[#This Row],[!Type]]=L$1, L$1,"rg:None")</f>
        <v>rg:None</v>
      </c>
      <c r="M125" t="str">
        <f>IF(Table2[[#This Row],[!Type]]=M$1, M$1,"rg:None")</f>
        <v>rg:None</v>
      </c>
      <c r="N125" s="10" t="str">
        <f>IF(Table2[[#This Row],[!Type]]=N$1, N$1,"rg:None")</f>
        <v>rg:None</v>
      </c>
      <c r="O125" s="10" t="str">
        <f>IF(Table2[[#This Row],[!Type]]=O$1, O$1,"rg:None")</f>
        <v>rg:None</v>
      </c>
      <c r="P125" s="5" t="str">
        <f>IF(Table2[[#This Row],[!Type]]=P$1, P$1,"rg:None")</f>
        <v>rg:None</v>
      </c>
      <c r="Q125" s="5" t="str">
        <f>IF(Table2[[#This Row],[!Type]]=Q$1, Q$1,"rg:None")</f>
        <v>rg:None</v>
      </c>
      <c r="R125" s="5" t="str">
        <f>IF(Table2[[#This Row],[!Type]]=R$1, R$1,"rg:None")</f>
        <v>string</v>
      </c>
      <c r="S125" s="5" t="str">
        <f>IF(Table2[[#This Row],[!Type]]=S$1, S$1,"rg:None")</f>
        <v>rg:None</v>
      </c>
      <c r="T125" s="10">
        <f>IF(LEN(Table2[[#This Row],[!Length]]) &gt; 0, Table2[[#This Row],[!Length]], "rg:None")</f>
        <v>50</v>
      </c>
      <c r="U125" s="10" t="str">
        <f>IF(LEN(Table2[[#This Row],[!Name]]) &gt; 0, Table2[[#This Row],[!Name]], "rg:None")</f>
        <v>province</v>
      </c>
      <c r="V125" s="10" t="str">
        <f>IF(LEN(Table2[[#This Row],[!Description]]) &gt; 0, Table2[[#This Row],[!Description]], "rg:None")</f>
        <v>The Province of the address.</v>
      </c>
      <c r="W125" s="10" t="str">
        <f>IF(LEN(Table2[[#This Row],[!FK]])&gt;0,Table2[[#This Row],[!FK]],"rg:None")</f>
        <v>rg:None</v>
      </c>
      <c r="X125" s="10" t="str">
        <f>IF(LEN(concatif2(A:A,Table2[[#This Row],[!Table]],G:G,"Y",D:D,",")) &gt; 0,"rg:[ { 'req' : '"&amp;concatif2(A:A,Table2[[#This Row],[!Table]],G:G,"Y",D:D,"' }, { 'req': '")&amp;"'} ]","rg:[]")</f>
        <v>rg:[ { 'req' : 'id'} ]</v>
      </c>
      <c r="Y125" s="10" t="str">
        <f>IF(LEN(Table2[[#This Row],[!Unique]])&gt;0,"rg:True","rg:None")</f>
        <v>rg:None</v>
      </c>
    </row>
    <row r="126" spans="1:25" x14ac:dyDescent="0.3">
      <c r="A126" s="68" t="s">
        <v>244</v>
      </c>
      <c r="B126" s="3" t="s">
        <v>8</v>
      </c>
      <c r="C126" s="3">
        <v>15</v>
      </c>
      <c r="D126" s="68" t="s">
        <v>63</v>
      </c>
      <c r="E126" s="27" t="s">
        <v>64</v>
      </c>
      <c r="F126" s="3" t="s">
        <v>6</v>
      </c>
      <c r="G126" s="4"/>
      <c r="H126" s="4"/>
      <c r="I126" s="5" t="str">
        <f t="shared" si="4"/>
        <v>Defs</v>
      </c>
      <c r="J126" t="str">
        <f>IF(Table2[[#This Row],[!Type]]=J$1, J$1,"rg:None")</f>
        <v>rg:None</v>
      </c>
      <c r="K126" t="str">
        <f>IF(Table2[[#This Row],[!Type]]=K$1, K$1,"rg:None")</f>
        <v>rg:None</v>
      </c>
      <c r="L126" t="str">
        <f>IF(Table2[[#This Row],[!Type]]=L$1, L$1,"rg:None")</f>
        <v>rg:None</v>
      </c>
      <c r="M126" t="str">
        <f>IF(Table2[[#This Row],[!Type]]=M$1, M$1,"rg:None")</f>
        <v>rg:None</v>
      </c>
      <c r="N126" s="10" t="str">
        <f>IF(Table2[[#This Row],[!Type]]=N$1, N$1,"rg:None")</f>
        <v>rg:None</v>
      </c>
      <c r="O126" s="10" t="str">
        <f>IF(Table2[[#This Row],[!Type]]=O$1, O$1,"rg:None")</f>
        <v>rg:None</v>
      </c>
      <c r="P126" s="5" t="str">
        <f>IF(Table2[[#This Row],[!Type]]=P$1, P$1,"rg:None")</f>
        <v>rg:None</v>
      </c>
      <c r="Q126" s="5" t="str">
        <f>IF(Table2[[#This Row],[!Type]]=Q$1, Q$1,"rg:None")</f>
        <v>rg:None</v>
      </c>
      <c r="R126" s="5" t="str">
        <f>IF(Table2[[#This Row],[!Type]]=R$1, R$1,"rg:None")</f>
        <v>string</v>
      </c>
      <c r="S126" s="5" t="str">
        <f>IF(Table2[[#This Row],[!Type]]=S$1, S$1,"rg:None")</f>
        <v>rg:None</v>
      </c>
      <c r="T126" s="10">
        <f>IF(LEN(Table2[[#This Row],[!Length]]) &gt; 0, Table2[[#This Row],[!Length]], "rg:None")</f>
        <v>15</v>
      </c>
      <c r="U126" s="10" t="str">
        <f>IF(LEN(Table2[[#This Row],[!Name]]) &gt; 0, Table2[[#This Row],[!Name]], "rg:None")</f>
        <v>postalCode</v>
      </c>
      <c r="V126" s="10" t="str">
        <f>IF(LEN(Table2[[#This Row],[!Description]]) &gt; 0, Table2[[#This Row],[!Description]], "rg:None")</f>
        <v>The postal code of the address.</v>
      </c>
      <c r="W126" s="10" t="str">
        <f>IF(LEN(Table2[[#This Row],[!FK]])&gt;0,Table2[[#This Row],[!FK]],"rg:None")</f>
        <v>rg:None</v>
      </c>
      <c r="X126" s="10" t="str">
        <f>IF(LEN(concatif2(A:A,Table2[[#This Row],[!Table]],G:G,"Y",D:D,",")) &gt; 0,"rg:[ { 'req' : '"&amp;concatif2(A:A,Table2[[#This Row],[!Table]],G:G,"Y",D:D,"' }, { 'req': '")&amp;"'} ]","rg:[]")</f>
        <v>rg:[ { 'req' : 'id'} ]</v>
      </c>
      <c r="Y126" s="10" t="str">
        <f>IF(LEN(Table2[[#This Row],[!Unique]])&gt;0,"rg:True","rg:None")</f>
        <v>rg:None</v>
      </c>
    </row>
    <row r="127" spans="1:25" x14ac:dyDescent="0.3">
      <c r="A127" s="3" t="s">
        <v>75</v>
      </c>
      <c r="B127" s="3" t="s">
        <v>5</v>
      </c>
      <c r="C127" s="3"/>
      <c r="D127" s="3" t="s">
        <v>75</v>
      </c>
      <c r="E127" s="27" t="s">
        <v>173</v>
      </c>
      <c r="F127" s="3" t="s">
        <v>6</v>
      </c>
      <c r="G127" s="4"/>
      <c r="H127" s="4"/>
      <c r="I127" s="5" t="str">
        <f t="shared" si="3"/>
        <v>Defs</v>
      </c>
      <c r="J127" t="str">
        <f>IF(Table2[[#This Row],[!Type]]=J$1, J$1,"rg:None")</f>
        <v>rg:None</v>
      </c>
      <c r="K127" t="str">
        <f>IF(Table2[[#This Row],[!Type]]=K$1, K$1,"rg:None")</f>
        <v>rg:None</v>
      </c>
      <c r="L127" t="str">
        <f>IF(Table2[[#This Row],[!Type]]=L$1, L$1,"rg:None")</f>
        <v>rg:None</v>
      </c>
      <c r="M127" t="str">
        <f>IF(Table2[[#This Row],[!Type]]=M$1, M$1,"rg:None")</f>
        <v>rg:None</v>
      </c>
      <c r="N127" s="10" t="str">
        <f>IF(Table2[[#This Row],[!Type]]=N$1, N$1,"rg:None")</f>
        <v>rg:None</v>
      </c>
      <c r="O127" s="10" t="str">
        <f>IF(Table2[[#This Row],[!Type]]=O$1, O$1,"rg:None")</f>
        <v>rg:None</v>
      </c>
      <c r="P127" s="5" t="str">
        <f>IF(Table2[[#This Row],[!Type]]=P$1, P$1,"rg:None")</f>
        <v>rg:None</v>
      </c>
      <c r="Q127" s="5" t="str">
        <f>IF(Table2[[#This Row],[!Type]]=Q$1, Q$1,"rg:None")</f>
        <v>rg:None</v>
      </c>
      <c r="R127" s="5" t="str">
        <f>IF(Table2[[#This Row],[!Type]]=R$1, R$1,"rg:None")</f>
        <v>rg:None</v>
      </c>
      <c r="S127" s="5" t="str">
        <f>IF(Table2[[#This Row],[!Type]]=S$1, S$1,"rg:None")</f>
        <v>table</v>
      </c>
      <c r="T127" s="10" t="str">
        <f>IF(LEN(Table2[[#This Row],[!Length]]) &gt; 0, Table2[[#This Row],[!Length]], "rg:None")</f>
        <v>rg:None</v>
      </c>
      <c r="U127" s="10" t="str">
        <f>IF(LEN(Table2[[#This Row],[!Name]]) &gt; 0, Table2[[#This Row],[!Name]], "rg:None")</f>
        <v>UserFavourite</v>
      </c>
      <c r="V127" s="10" t="str">
        <f>IF(LEN(Table2[[#This Row],[!Description]]) &gt; 0, Table2[[#This Row],[!Description]], "rg:None")</f>
        <v>User specific settings for a specific location in the UI. The location and saved settings are internally defined by the UI.</v>
      </c>
      <c r="W127" s="10" t="str">
        <f>IF(LEN(Table2[[#This Row],[!FK]])&gt;0,Table2[[#This Row],[!FK]],"rg:None")</f>
        <v>rg:None</v>
      </c>
      <c r="X127" s="10" t="str">
        <f>IF(LEN(concatif2(A:A,Table2[[#This Row],[!Table]],G:G,"Y",D:D,",")) &gt; 0,"rg:[ { 'req' : '"&amp;concatif2(A:A,Table2[[#This Row],[!Table]],G:G,"Y",D:D,"' }, { 'req': '")&amp;"'} ]","rg:[]")</f>
        <v>rg:[ { 'req' : 'id'} ]</v>
      </c>
      <c r="Y127" s="10" t="str">
        <f>IF(LEN(Table2[[#This Row],[!Unique]])&gt;0,"rg:True","rg:None")</f>
        <v>rg:None</v>
      </c>
    </row>
    <row r="128" spans="1:25" x14ac:dyDescent="0.3">
      <c r="A128" s="3" t="s">
        <v>75</v>
      </c>
      <c r="B128" s="3" t="s">
        <v>7</v>
      </c>
      <c r="C128" s="3"/>
      <c r="D128" s="3" t="s">
        <v>7</v>
      </c>
      <c r="E128" s="27" t="s">
        <v>280</v>
      </c>
      <c r="F128" s="3" t="s">
        <v>6</v>
      </c>
      <c r="G128" s="4" t="s">
        <v>136</v>
      </c>
      <c r="H128" s="45" t="s">
        <v>136</v>
      </c>
      <c r="I128" s="5" t="str">
        <f t="shared" si="3"/>
        <v>Defs</v>
      </c>
      <c r="J128" t="str">
        <f>IF(Table2[[#This Row],[!Type]]=J$1, J$1,"rg:None")</f>
        <v>rg:None</v>
      </c>
      <c r="K128" t="str">
        <f>IF(Table2[[#This Row],[!Type]]=K$1, K$1,"rg:None")</f>
        <v>rg:None</v>
      </c>
      <c r="L128" t="str">
        <f>IF(Table2[[#This Row],[!Type]]=L$1, L$1,"rg:None")</f>
        <v>rg:None</v>
      </c>
      <c r="M128" t="str">
        <f>IF(Table2[[#This Row],[!Type]]=M$1, M$1,"rg:None")</f>
        <v>id</v>
      </c>
      <c r="N128" s="10" t="str">
        <f>IF(Table2[[#This Row],[!Type]]=N$1, N$1,"rg:None")</f>
        <v>rg:None</v>
      </c>
      <c r="O128" s="10" t="str">
        <f>IF(Table2[[#This Row],[!Type]]=O$1, O$1,"rg:None")</f>
        <v>rg:None</v>
      </c>
      <c r="P128" s="5" t="str">
        <f>IF(Table2[[#This Row],[!Type]]=P$1, P$1,"rg:None")</f>
        <v>rg:None</v>
      </c>
      <c r="Q128" s="5" t="str">
        <f>IF(Table2[[#This Row],[!Type]]=Q$1, Q$1,"rg:None")</f>
        <v>rg:None</v>
      </c>
      <c r="R128" s="5" t="str">
        <f>IF(Table2[[#This Row],[!Type]]=R$1, R$1,"rg:None")</f>
        <v>rg:None</v>
      </c>
      <c r="S128" s="5" t="str">
        <f>IF(Table2[[#This Row],[!Type]]=S$1, S$1,"rg:None")</f>
        <v>rg:None</v>
      </c>
      <c r="T128" s="10" t="str">
        <f>IF(LEN(Table2[[#This Row],[!Length]]) &gt; 0, Table2[[#This Row],[!Length]], "rg:None")</f>
        <v>rg:None</v>
      </c>
      <c r="U128" s="10" t="str">
        <f>IF(LEN(Table2[[#This Row],[!Name]]) &gt; 0, Table2[[#This Row],[!Name]], "rg:None")</f>
        <v>id</v>
      </c>
      <c r="V128" s="10" t="str">
        <f>IF(LEN(Table2[[#This Row],[!Description]]) &gt; 0, Table2[[#This Row],[!Description]], "rg:None")</f>
        <v>A system-generated unique identifier for a UserFavourite</v>
      </c>
      <c r="W128" s="10" t="str">
        <f>IF(LEN(Table2[[#This Row],[!FK]])&gt;0,Table2[[#This Row],[!FK]],"rg:None")</f>
        <v>rg:None</v>
      </c>
      <c r="X128" s="10" t="str">
        <f>IF(LEN(concatif2(A:A,Table2[[#This Row],[!Table]],G:G,"Y",D:D,",")) &gt; 0,"rg:[ { 'req' : '"&amp;concatif2(A:A,Table2[[#This Row],[!Table]],G:G,"Y",D:D,"' }, { 'req': '")&amp;"'} ]","rg:[]")</f>
        <v>rg:[ { 'req' : 'id'} ]</v>
      </c>
      <c r="Y128" s="10" t="str">
        <f>IF(LEN(Table2[[#This Row],[!Unique]])&gt;0,"rg:True","rg:None")</f>
        <v>rg:True</v>
      </c>
    </row>
    <row r="129" spans="1:25" x14ac:dyDescent="0.3">
      <c r="A129" s="3" t="s">
        <v>75</v>
      </c>
      <c r="B129" s="3" t="s">
        <v>8</v>
      </c>
      <c r="C129" s="3">
        <v>255</v>
      </c>
      <c r="D129" s="20" t="s">
        <v>56</v>
      </c>
      <c r="E129" s="20" t="s">
        <v>228</v>
      </c>
      <c r="F129" s="6"/>
      <c r="G129" s="19"/>
      <c r="H129" s="19"/>
      <c r="I129" s="4" t="str">
        <f>IF(LEN(A129) &gt; 0,"Defs","-")</f>
        <v>Defs</v>
      </c>
      <c r="J129" s="16" t="str">
        <f>IF(Table2[[#This Row],[!Type]]=J$1, J$1,"rg:None")</f>
        <v>rg:None</v>
      </c>
      <c r="K129" s="16" t="str">
        <f>IF(Table2[[#This Row],[!Type]]=K$1, K$1,"rg:None")</f>
        <v>rg:None</v>
      </c>
      <c r="L129" s="16" t="str">
        <f>IF(Table2[[#This Row],[!Type]]=L$1, L$1,"rg:None")</f>
        <v>rg:None</v>
      </c>
      <c r="M129" s="16" t="str">
        <f>IF(Table2[[#This Row],[!Type]]=M$1, M$1,"rg:None")</f>
        <v>rg:None</v>
      </c>
      <c r="N129" s="16" t="str">
        <f>IF(Table2[[#This Row],[!Type]]=N$1, N$1,"rg:None")</f>
        <v>rg:None</v>
      </c>
      <c r="O129" s="16" t="str">
        <f>IF(Table2[[#This Row],[!Type]]=O$1, O$1,"rg:None")</f>
        <v>rg:None</v>
      </c>
      <c r="P129" s="4" t="str">
        <f>IF(Table2[[#This Row],[!Type]]=P$1, P$1,"rg:None")</f>
        <v>rg:None</v>
      </c>
      <c r="Q129" s="4" t="str">
        <f>IF(Table2[[#This Row],[!Type]]=Q$1, Q$1,"rg:None")</f>
        <v>rg:None</v>
      </c>
      <c r="R129" s="4" t="str">
        <f>IF(Table2[[#This Row],[!Type]]=R$1, R$1,"rg:None")</f>
        <v>string</v>
      </c>
      <c r="S129" s="4" t="str">
        <f>IF(Table2[[#This Row],[!Type]]=S$1, S$1,"rg:None")</f>
        <v>rg:None</v>
      </c>
      <c r="T129" s="16">
        <f>IF(LEN(Table2[[#This Row],[!Length]]) &gt; 0, Table2[[#This Row],[!Length]], "rg:None")</f>
        <v>255</v>
      </c>
      <c r="U129" s="16" t="str">
        <f>IF(LEN(Table2[[#This Row],[!Name]]) &gt; 0, Table2[[#This Row],[!Name]], "rg:None")</f>
        <v>type</v>
      </c>
      <c r="V129" s="16" t="str">
        <f>IF(LEN(Table2[[#This Row],[!Description]]) &gt; 0, Table2[[#This Row],[!Description]], "rg:None")</f>
        <v>The type of Favourite</v>
      </c>
      <c r="W129" s="16" t="str">
        <f>IF(LEN(Table2[[#This Row],[!FK]])&gt;0,Table2[[#This Row],[!FK]],"rg:None")</f>
        <v>rg:None</v>
      </c>
      <c r="X129" s="16" t="str">
        <f>IF(LEN(concatif2(A:A,Table2[[#This Row],[!Table]],G:G,"Y",D:D,",")) &gt; 0,"rg:[ { 'req' : '"&amp;concatif2(A:A,Table2[[#This Row],[!Table]],G:G,"Y",D:D,"' }, { 'req': '")&amp;"'} ]","rg:[]")</f>
        <v>rg:[ { 'req' : 'id'} ]</v>
      </c>
      <c r="Y129" s="16" t="str">
        <f>IF(LEN(Table2[[#This Row],[!Unique]])&gt;0,"rg:True","rg:None")</f>
        <v>rg:None</v>
      </c>
    </row>
    <row r="130" spans="1:25" x14ac:dyDescent="0.3">
      <c r="A130" s="3" t="s">
        <v>75</v>
      </c>
      <c r="B130" s="3" t="s">
        <v>8</v>
      </c>
      <c r="C130" s="3">
        <v>255</v>
      </c>
      <c r="D130" s="3" t="s">
        <v>42</v>
      </c>
      <c r="E130" s="27" t="s">
        <v>76</v>
      </c>
      <c r="F130" s="3" t="s">
        <v>6</v>
      </c>
      <c r="G130" s="4"/>
      <c r="H130" s="4"/>
      <c r="I130" s="5" t="str">
        <f t="shared" si="3"/>
        <v>Defs</v>
      </c>
      <c r="J130" t="str">
        <f>IF(Table2[[#This Row],[!Type]]=J$1, J$1,"rg:None")</f>
        <v>rg:None</v>
      </c>
      <c r="K130" t="str">
        <f>IF(Table2[[#This Row],[!Type]]=K$1, K$1,"rg:None")</f>
        <v>rg:None</v>
      </c>
      <c r="L130" t="str">
        <f>IF(Table2[[#This Row],[!Type]]=L$1, L$1,"rg:None")</f>
        <v>rg:None</v>
      </c>
      <c r="M130" t="str">
        <f>IF(Table2[[#This Row],[!Type]]=M$1, M$1,"rg:None")</f>
        <v>rg:None</v>
      </c>
      <c r="N130" s="10" t="str">
        <f>IF(Table2[[#This Row],[!Type]]=N$1, N$1,"rg:None")</f>
        <v>rg:None</v>
      </c>
      <c r="O130" s="10" t="str">
        <f>IF(Table2[[#This Row],[!Type]]=O$1, O$1,"rg:None")</f>
        <v>rg:None</v>
      </c>
      <c r="P130" s="5" t="str">
        <f>IF(Table2[[#This Row],[!Type]]=P$1, P$1,"rg:None")</f>
        <v>rg:None</v>
      </c>
      <c r="Q130" s="5" t="str">
        <f>IF(Table2[[#This Row],[!Type]]=Q$1, Q$1,"rg:None")</f>
        <v>rg:None</v>
      </c>
      <c r="R130" s="5" t="str">
        <f>IF(Table2[[#This Row],[!Type]]=R$1, R$1,"rg:None")</f>
        <v>string</v>
      </c>
      <c r="S130" s="5" t="str">
        <f>IF(Table2[[#This Row],[!Type]]=S$1, S$1,"rg:None")</f>
        <v>rg:None</v>
      </c>
      <c r="T130" s="10">
        <f>IF(LEN(Table2[[#This Row],[!Length]]) &gt; 0, Table2[[#This Row],[!Length]], "rg:None")</f>
        <v>255</v>
      </c>
      <c r="U130" s="10" t="str">
        <f>IF(LEN(Table2[[#This Row],[!Name]]) &gt; 0, Table2[[#This Row],[!Name]], "rg:None")</f>
        <v>name</v>
      </c>
      <c r="V130" s="10" t="str">
        <f>IF(LEN(Table2[[#This Row],[!Description]]) &gt; 0, Table2[[#This Row],[!Description]], "rg:None")</f>
        <v>The user-defined name for the recorded settings. Allows the user to save different groups of settings and access each one easily when needed.</v>
      </c>
      <c r="W130" s="10" t="str">
        <f>IF(LEN(Table2[[#This Row],[!FK]])&gt;0,Table2[[#This Row],[!FK]],"rg:None")</f>
        <v>rg:None</v>
      </c>
      <c r="X130" s="10" t="str">
        <f>IF(LEN(concatif2(A:A,Table2[[#This Row],[!Table]],G:G,"Y",D:D,",")) &gt; 0,"rg:[ { 'req' : '"&amp;concatif2(A:A,Table2[[#This Row],[!Table]],G:G,"Y",D:D,"' }, { 'req': '")&amp;"'} ]","rg:[]")</f>
        <v>rg:[ { 'req' : 'id'} ]</v>
      </c>
      <c r="Y130" s="10" t="str">
        <f>IF(LEN(Table2[[#This Row],[!Unique]])&gt;0,"rg:True","rg:None")</f>
        <v>rg:None</v>
      </c>
    </row>
    <row r="131" spans="1:25" x14ac:dyDescent="0.3">
      <c r="A131" s="3" t="s">
        <v>75</v>
      </c>
      <c r="B131" s="3" t="s">
        <v>8</v>
      </c>
      <c r="C131" s="3">
        <v>2048</v>
      </c>
      <c r="D131" s="24" t="s">
        <v>77</v>
      </c>
      <c r="E131" s="27" t="s">
        <v>78</v>
      </c>
      <c r="F131" s="3" t="s">
        <v>6</v>
      </c>
      <c r="G131" s="4"/>
      <c r="H131" s="4"/>
      <c r="I131" s="5" t="str">
        <f t="shared" si="3"/>
        <v>Defs</v>
      </c>
      <c r="J131" t="str">
        <f>IF(Table2[[#This Row],[!Type]]=J$1, J$1,"rg:None")</f>
        <v>rg:None</v>
      </c>
      <c r="K131" t="str">
        <f>IF(Table2[[#This Row],[!Type]]=K$1, K$1,"rg:None")</f>
        <v>rg:None</v>
      </c>
      <c r="L131" t="str">
        <f>IF(Table2[[#This Row],[!Type]]=L$1, L$1,"rg:None")</f>
        <v>rg:None</v>
      </c>
      <c r="M131" t="str">
        <f>IF(Table2[[#This Row],[!Type]]=M$1, M$1,"rg:None")</f>
        <v>rg:None</v>
      </c>
      <c r="N131" s="10" t="str">
        <f>IF(Table2[[#This Row],[!Type]]=N$1, N$1,"rg:None")</f>
        <v>rg:None</v>
      </c>
      <c r="O131" s="10" t="str">
        <f>IF(Table2[[#This Row],[!Type]]=O$1, O$1,"rg:None")</f>
        <v>rg:None</v>
      </c>
      <c r="P131" s="5" t="str">
        <f>IF(Table2[[#This Row],[!Type]]=P$1, P$1,"rg:None")</f>
        <v>rg:None</v>
      </c>
      <c r="Q131" s="5" t="str">
        <f>IF(Table2[[#This Row],[!Type]]=Q$1, Q$1,"rg:None")</f>
        <v>rg:None</v>
      </c>
      <c r="R131" s="5" t="str">
        <f>IF(Table2[[#This Row],[!Type]]=R$1, R$1,"rg:None")</f>
        <v>string</v>
      </c>
      <c r="S131" s="5" t="str">
        <f>IF(Table2[[#This Row],[!Type]]=S$1, S$1,"rg:None")</f>
        <v>rg:None</v>
      </c>
      <c r="T131" s="10">
        <f>IF(LEN(Table2[[#This Row],[!Length]]) &gt; 0, Table2[[#This Row],[!Length]], "rg:None")</f>
        <v>2048</v>
      </c>
      <c r="U131" s="10" t="str">
        <f>IF(LEN(Table2[[#This Row],[!Name]]) &gt; 0, Table2[[#This Row],[!Name]], "rg:None")</f>
        <v>value</v>
      </c>
      <c r="V131" s="10" t="str">
        <f>IF(LEN(Table2[[#This Row],[!Description]]) &gt; 0, Table2[[#This Row],[!Description]], "rg:None")</f>
        <v>The settings saved by the user. In general,  a UI defined chunk of json that stores the settings in place when the user created the favourite.</v>
      </c>
      <c r="W131" s="10" t="str">
        <f>IF(LEN(Table2[[#This Row],[!FK]])&gt;0,Table2[[#This Row],[!FK]],"rg:None")</f>
        <v>rg:None</v>
      </c>
      <c r="X131" s="10" t="str">
        <f>IF(LEN(concatif2(A:A,Table2[[#This Row],[!Table]],G:G,"Y",D:D,",")) &gt; 0,"rg:[ { 'req' : '"&amp;concatif2(A:A,Table2[[#This Row],[!Table]],G:G,"Y",D:D,"' }, { 'req': '")&amp;"'} ]","rg:[]")</f>
        <v>rg:[ { 'req' : 'id'} ]</v>
      </c>
      <c r="Y131" s="10" t="str">
        <f>IF(LEN(Table2[[#This Row],[!Unique]])&gt;0,"rg:True","rg:None")</f>
        <v>rg:None</v>
      </c>
    </row>
    <row r="132" spans="1:25" x14ac:dyDescent="0.3">
      <c r="A132" s="3" t="s">
        <v>75</v>
      </c>
      <c r="B132" s="3" t="s">
        <v>14</v>
      </c>
      <c r="C132" s="3"/>
      <c r="D132" s="3" t="s">
        <v>79</v>
      </c>
      <c r="E132" s="27" t="s">
        <v>80</v>
      </c>
      <c r="F132" s="3" t="s">
        <v>6</v>
      </c>
      <c r="G132" s="4"/>
      <c r="H132" s="4"/>
      <c r="I132" s="5" t="str">
        <f t="shared" si="3"/>
        <v>Defs</v>
      </c>
      <c r="J132" t="str">
        <f>IF(Table2[[#This Row],[!Type]]=J$1, J$1,"rg:None")</f>
        <v>boolean</v>
      </c>
      <c r="K132" t="str">
        <f>IF(Table2[[#This Row],[!Type]]=K$1, K$1,"rg:None")</f>
        <v>rg:None</v>
      </c>
      <c r="L132" t="str">
        <f>IF(Table2[[#This Row],[!Type]]=L$1, L$1,"rg:None")</f>
        <v>rg:None</v>
      </c>
      <c r="M132" t="str">
        <f>IF(Table2[[#This Row],[!Type]]=M$1, M$1,"rg:None")</f>
        <v>rg:None</v>
      </c>
      <c r="N132" s="10" t="str">
        <f>IF(Table2[[#This Row],[!Type]]=N$1, N$1,"rg:None")</f>
        <v>rg:None</v>
      </c>
      <c r="O132" s="10" t="str">
        <f>IF(Table2[[#This Row],[!Type]]=O$1, O$1,"rg:None")</f>
        <v>rg:None</v>
      </c>
      <c r="P132" s="5" t="str">
        <f>IF(Table2[[#This Row],[!Type]]=P$1, P$1,"rg:None")</f>
        <v>rg:None</v>
      </c>
      <c r="Q132" s="5" t="str">
        <f>IF(Table2[[#This Row],[!Type]]=Q$1, Q$1,"rg:None")</f>
        <v>rg:None</v>
      </c>
      <c r="R132" s="5" t="str">
        <f>IF(Table2[[#This Row],[!Type]]=R$1, R$1,"rg:None")</f>
        <v>rg:None</v>
      </c>
      <c r="S132" s="5" t="str">
        <f>IF(Table2[[#This Row],[!Type]]=S$1, S$1,"rg:None")</f>
        <v>rg:None</v>
      </c>
      <c r="T132" s="10" t="str">
        <f>IF(LEN(Table2[[#This Row],[!Length]]) &gt; 0, Table2[[#This Row],[!Length]], "rg:None")</f>
        <v>rg:None</v>
      </c>
      <c r="U132" s="10" t="str">
        <f>IF(LEN(Table2[[#This Row],[!Name]]) &gt; 0, Table2[[#This Row],[!Name]], "rg:None")</f>
        <v>isDefault</v>
      </c>
      <c r="V132" s="10" t="str">
        <f>IF(LEN(Table2[[#This Row],[!Description]]) &gt; 0, Table2[[#This Row],[!Description]], "rg:None")</f>
        <v>True if this Favourite is the default for this Context Type. On first access to a context in a session the default favourite for the context it is invoked. If there is no default favourite,  a system-wide default is invoked. On return to the context within a session,  the last parameters used are reapplied.</v>
      </c>
      <c r="W132" s="10" t="str">
        <f>IF(LEN(Table2[[#This Row],[!FK]])&gt;0,Table2[[#This Row],[!FK]],"rg:None")</f>
        <v>rg:None</v>
      </c>
      <c r="X132" s="10" t="str">
        <f>IF(LEN(concatif2(A:A,Table2[[#This Row],[!Table]],G:G,"Y",D:D,",")) &gt; 0,"rg:[ { 'req' : '"&amp;concatif2(A:A,Table2[[#This Row],[!Table]],G:G,"Y",D:D,"' }, { 'req': '")&amp;"'} ]","rg:[]")</f>
        <v>rg:[ { 'req' : 'id'} ]</v>
      </c>
      <c r="Y132" s="10" t="str">
        <f>IF(LEN(Table2[[#This Row],[!Unique]])&gt;0,"rg:True","rg:None")</f>
        <v>rg:None</v>
      </c>
    </row>
    <row r="133" spans="1:25" x14ac:dyDescent="0.3">
      <c r="A133" s="22" t="s">
        <v>75</v>
      </c>
      <c r="B133" s="3" t="s">
        <v>9</v>
      </c>
      <c r="C133" s="3"/>
      <c r="D133" s="22" t="s">
        <v>0</v>
      </c>
      <c r="E133" s="22" t="s">
        <v>230</v>
      </c>
      <c r="F133" s="23" t="s">
        <v>0</v>
      </c>
      <c r="G133" s="19"/>
      <c r="H133" s="19"/>
      <c r="I133" s="4" t="str">
        <f>IF(LEN(A133) &gt; 0,"Defs","-")</f>
        <v>Defs</v>
      </c>
      <c r="J133" s="16" t="str">
        <f>IF(Table2[[#This Row],[!Type]]=J$1, J$1,"rg:None")</f>
        <v>rg:None</v>
      </c>
      <c r="K133" s="16" t="str">
        <f>IF(Table2[[#This Row],[!Type]]=K$1, K$1,"rg:None")</f>
        <v>rg:None</v>
      </c>
      <c r="L133" s="16" t="str">
        <f>IF(Table2[[#This Row],[!Type]]=L$1, L$1,"rg:None")</f>
        <v>rg:None</v>
      </c>
      <c r="M133" s="16" t="str">
        <f>IF(Table2[[#This Row],[!Type]]=M$1, M$1,"rg:None")</f>
        <v>rg:None</v>
      </c>
      <c r="N133" s="16" t="str">
        <f>IF(Table2[[#This Row],[!Type]]=N$1, N$1,"rg:None")</f>
        <v>rg:None</v>
      </c>
      <c r="O133" s="16" t="str">
        <f>IF(Table2[[#This Row],[!Type]]=O$1, O$1,"rg:None")</f>
        <v>rg:None</v>
      </c>
      <c r="P133" s="4" t="str">
        <f>IF(Table2[[#This Row],[!Type]]=P$1, P$1,"rg:None")</f>
        <v>rg:None</v>
      </c>
      <c r="Q133" s="4" t="str">
        <f>IF(Table2[[#This Row],[!Type]]=Q$1, Q$1,"rg:None")</f>
        <v>ref</v>
      </c>
      <c r="R133" s="4" t="str">
        <f>IF(Table2[[#This Row],[!Type]]=R$1, R$1,"rg:None")</f>
        <v>rg:None</v>
      </c>
      <c r="S133" s="4" t="str">
        <f>IF(Table2[[#This Row],[!Type]]=S$1, S$1,"rg:None")</f>
        <v>rg:None</v>
      </c>
      <c r="T133" s="16" t="str">
        <f>IF(LEN(Table2[[#This Row],[!Length]]) &gt; 0, Table2[[#This Row],[!Length]], "rg:None")</f>
        <v>rg:None</v>
      </c>
      <c r="U133" s="16" t="str">
        <f>IF(LEN(Table2[[#This Row],[!Name]]) &gt; 0, Table2[[#This Row],[!Name]], "rg:None")</f>
        <v>User</v>
      </c>
      <c r="V133" s="16" t="str">
        <f>IF(LEN(Table2[[#This Row],[!Description]]) &gt; 0, Table2[[#This Row],[!Description]], "rg:None")</f>
        <v>The User who has this Favourite</v>
      </c>
      <c r="W133" s="16" t="str">
        <f>IF(LEN(Table2[[#This Row],[!FK]])&gt;0,Table2[[#This Row],[!FK]],"rg:None")</f>
        <v>User</v>
      </c>
      <c r="X133" s="16" t="str">
        <f>IF(LEN(concatif2(A:A,Table2[[#This Row],[!Table]],G:G,"Y",D:D,",")) &gt; 0,"rg:[ { 'req' : '"&amp;concatif2(A:A,Table2[[#This Row],[!Table]],G:G,"Y",D:D,"' }, { 'req': '")&amp;"'} ]","rg:[]")</f>
        <v>rg:[ { 'req' : 'id'} ]</v>
      </c>
      <c r="Y133" s="16" t="str">
        <f>IF(LEN(Table2[[#This Row],[!Unique]])&gt;0,"rg:True","rg:None")</f>
        <v>rg:None</v>
      </c>
    </row>
    <row r="134" spans="1:25" x14ac:dyDescent="0.3">
      <c r="A134" s="3" t="s">
        <v>81</v>
      </c>
      <c r="B134" s="3" t="s">
        <v>5</v>
      </c>
      <c r="C134" s="3"/>
      <c r="D134" s="3" t="s">
        <v>81</v>
      </c>
      <c r="E134" s="43" t="s">
        <v>340</v>
      </c>
      <c r="F134" s="3" t="s">
        <v>6</v>
      </c>
      <c r="G134" s="4"/>
      <c r="H134" s="4"/>
      <c r="I134" s="5" t="str">
        <f t="shared" si="3"/>
        <v>Defs</v>
      </c>
      <c r="J134" t="str">
        <f>IF(Table2[[#This Row],[!Type]]=J$1, J$1,"rg:None")</f>
        <v>rg:None</v>
      </c>
      <c r="K134" t="str">
        <f>IF(Table2[[#This Row],[!Type]]=K$1, K$1,"rg:None")</f>
        <v>rg:None</v>
      </c>
      <c r="L134" t="str">
        <f>IF(Table2[[#This Row],[!Type]]=L$1, L$1,"rg:None")</f>
        <v>rg:None</v>
      </c>
      <c r="M134" t="str">
        <f>IF(Table2[[#This Row],[!Type]]=M$1, M$1,"rg:None")</f>
        <v>rg:None</v>
      </c>
      <c r="N134" s="10" t="str">
        <f>IF(Table2[[#This Row],[!Type]]=N$1, N$1,"rg:None")</f>
        <v>rg:None</v>
      </c>
      <c r="O134" s="10" t="str">
        <f>IF(Table2[[#This Row],[!Type]]=O$1, O$1,"rg:None")</f>
        <v>rg:None</v>
      </c>
      <c r="P134" s="5" t="str">
        <f>IF(Table2[[#This Row],[!Type]]=P$1, P$1,"rg:None")</f>
        <v>rg:None</v>
      </c>
      <c r="Q134" s="5" t="str">
        <f>IF(Table2[[#This Row],[!Type]]=Q$1, Q$1,"rg:None")</f>
        <v>rg:None</v>
      </c>
      <c r="R134" s="5" t="str">
        <f>IF(Table2[[#This Row],[!Type]]=R$1, R$1,"rg:None")</f>
        <v>rg:None</v>
      </c>
      <c r="S134" s="5" t="str">
        <f>IF(Table2[[#This Row],[!Type]]=S$1, S$1,"rg:None")</f>
        <v>table</v>
      </c>
      <c r="T134" s="10" t="str">
        <f>IF(LEN(Table2[[#This Row],[!Length]]) &gt; 0, Table2[[#This Row],[!Length]], "rg:None")</f>
        <v>rg:None</v>
      </c>
      <c r="U134" s="10" t="str">
        <f>IF(LEN(Table2[[#This Row],[!Name]]) &gt; 0, Table2[[#This Row],[!Name]], "rg:None")</f>
        <v>Region</v>
      </c>
      <c r="V134" s="10" t="str">
        <f>IF(LEN(Table2[[#This Row],[!Description]]) &gt; 0, Table2[[#This Row],[!Description]], "rg:None")</f>
        <v>The MOTI-defined Regions - must match the official MOTI List</v>
      </c>
      <c r="W134" s="10" t="str">
        <f>IF(LEN(Table2[[#This Row],[!FK]])&gt;0,Table2[[#This Row],[!FK]],"rg:None")</f>
        <v>rg:None</v>
      </c>
      <c r="X134" s="10" t="str">
        <f>IF(LEN(concatif2(A:A,Table2[[#This Row],[!Table]],G:G,"Y",D:D,",")) &gt; 0,"rg:[ { 'req' : '"&amp;concatif2(A:A,Table2[[#This Row],[!Table]],G:G,"Y",D:D,"' }, { 'req': '")&amp;"'} ]","rg:[]")</f>
        <v>rg:[ { 'req' : 'id' }, { 'req': 'ministryRegionID' }, { 'req': 'name'} ]</v>
      </c>
      <c r="Y134" s="10" t="str">
        <f>IF(LEN(Table2[[#This Row],[!Unique]])&gt;0,"rg:True","rg:None")</f>
        <v>rg:None</v>
      </c>
    </row>
    <row r="135" spans="1:25" x14ac:dyDescent="0.3">
      <c r="A135" s="3" t="s">
        <v>81</v>
      </c>
      <c r="B135" s="3" t="s">
        <v>7</v>
      </c>
      <c r="C135" s="3"/>
      <c r="D135" s="3" t="s">
        <v>7</v>
      </c>
      <c r="E135" s="27" t="s">
        <v>281</v>
      </c>
      <c r="F135" s="3" t="s">
        <v>6</v>
      </c>
      <c r="G135" s="4" t="s">
        <v>136</v>
      </c>
      <c r="H135" s="45" t="s">
        <v>136</v>
      </c>
      <c r="I135" s="5" t="str">
        <f t="shared" si="3"/>
        <v>Defs</v>
      </c>
      <c r="J135" t="str">
        <f>IF(Table2[[#This Row],[!Type]]=J$1, J$1,"rg:None")</f>
        <v>rg:None</v>
      </c>
      <c r="K135" t="str">
        <f>IF(Table2[[#This Row],[!Type]]=K$1, K$1,"rg:None")</f>
        <v>rg:None</v>
      </c>
      <c r="L135" t="str">
        <f>IF(Table2[[#This Row],[!Type]]=L$1, L$1,"rg:None")</f>
        <v>rg:None</v>
      </c>
      <c r="M135" t="str">
        <f>IF(Table2[[#This Row],[!Type]]=M$1, M$1,"rg:None")</f>
        <v>id</v>
      </c>
      <c r="N135" s="10" t="str">
        <f>IF(Table2[[#This Row],[!Type]]=N$1, N$1,"rg:None")</f>
        <v>rg:None</v>
      </c>
      <c r="O135" s="10" t="str">
        <f>IF(Table2[[#This Row],[!Type]]=O$1, O$1,"rg:None")</f>
        <v>rg:None</v>
      </c>
      <c r="P135" s="5" t="str">
        <f>IF(Table2[[#This Row],[!Type]]=P$1, P$1,"rg:None")</f>
        <v>rg:None</v>
      </c>
      <c r="Q135" s="5" t="str">
        <f>IF(Table2[[#This Row],[!Type]]=Q$1, Q$1,"rg:None")</f>
        <v>rg:None</v>
      </c>
      <c r="R135" s="5" t="str">
        <f>IF(Table2[[#This Row],[!Type]]=R$1, R$1,"rg:None")</f>
        <v>rg:None</v>
      </c>
      <c r="S135" s="5" t="str">
        <f>IF(Table2[[#This Row],[!Type]]=S$1, S$1,"rg:None")</f>
        <v>rg:None</v>
      </c>
      <c r="T135" s="10" t="str">
        <f>IF(LEN(Table2[[#This Row],[!Length]]) &gt; 0, Table2[[#This Row],[!Length]], "rg:None")</f>
        <v>rg:None</v>
      </c>
      <c r="U135" s="10" t="str">
        <f>IF(LEN(Table2[[#This Row],[!Name]]) &gt; 0, Table2[[#This Row],[!Name]], "rg:None")</f>
        <v>id</v>
      </c>
      <c r="V135" s="10" t="str">
        <f>IF(LEN(Table2[[#This Row],[!Description]]) &gt; 0, Table2[[#This Row],[!Description]], "rg:None")</f>
        <v>A system-generated unique identifier for a Region</v>
      </c>
      <c r="W135" s="10" t="str">
        <f>IF(LEN(Table2[[#This Row],[!FK]])&gt;0,Table2[[#This Row],[!FK]],"rg:None")</f>
        <v>rg:None</v>
      </c>
      <c r="X135" s="10" t="str">
        <f>IF(LEN(concatif2(A:A,Table2[[#This Row],[!Table]],G:G,"Y",D:D,",")) &gt; 0,"rg:[ { 'req' : '"&amp;concatif2(A:A,Table2[[#This Row],[!Table]],G:G,"Y",D:D,"' }, { 'req': '")&amp;"'} ]","rg:[]")</f>
        <v>rg:[ { 'req' : 'id' }, { 'req': 'ministryRegionID' }, { 'req': 'name'} ]</v>
      </c>
      <c r="Y135" s="10" t="str">
        <f>IF(LEN(Table2[[#This Row],[!Unique]])&gt;0,"rg:True","rg:None")</f>
        <v>rg:True</v>
      </c>
    </row>
    <row r="136" spans="1:25" x14ac:dyDescent="0.3">
      <c r="A136" s="3" t="s">
        <v>81</v>
      </c>
      <c r="B136" s="3" t="s">
        <v>33</v>
      </c>
      <c r="C136" s="3"/>
      <c r="D136" s="3" t="s">
        <v>82</v>
      </c>
      <c r="E136" s="27" t="s">
        <v>83</v>
      </c>
      <c r="F136" s="3" t="s">
        <v>6</v>
      </c>
      <c r="G136" s="45" t="s">
        <v>136</v>
      </c>
      <c r="H136" s="45" t="s">
        <v>136</v>
      </c>
      <c r="I136" s="5" t="str">
        <f t="shared" si="3"/>
        <v>Defs</v>
      </c>
      <c r="J136" t="str">
        <f>IF(Table2[[#This Row],[!Type]]=J$1, J$1,"rg:None")</f>
        <v>rg:None</v>
      </c>
      <c r="K136" t="str">
        <f>IF(Table2[[#This Row],[!Type]]=K$1, K$1,"rg:None")</f>
        <v>rg:None</v>
      </c>
      <c r="L136" t="str">
        <f>IF(Table2[[#This Row],[!Type]]=L$1, L$1,"rg:None")</f>
        <v>rg:None</v>
      </c>
      <c r="M136" t="str">
        <f>IF(Table2[[#This Row],[!Type]]=M$1, M$1,"rg:None")</f>
        <v>rg:None</v>
      </c>
      <c r="N136" s="10" t="str">
        <f>IF(Table2[[#This Row],[!Type]]=N$1, N$1,"rg:None")</f>
        <v>integer</v>
      </c>
      <c r="O136" s="10" t="str">
        <f>IF(Table2[[#This Row],[!Type]]=O$1, O$1,"rg:None")</f>
        <v>rg:None</v>
      </c>
      <c r="P136" s="5" t="str">
        <f>IF(Table2[[#This Row],[!Type]]=P$1, P$1,"rg:None")</f>
        <v>rg:None</v>
      </c>
      <c r="Q136" s="5" t="str">
        <f>IF(Table2[[#This Row],[!Type]]=Q$1, Q$1,"rg:None")</f>
        <v>rg:None</v>
      </c>
      <c r="R136" s="5" t="str">
        <f>IF(Table2[[#This Row],[!Type]]=R$1, R$1,"rg:None")</f>
        <v>rg:None</v>
      </c>
      <c r="S136" s="5" t="str">
        <f>IF(Table2[[#This Row],[!Type]]=S$1, S$1,"rg:None")</f>
        <v>rg:None</v>
      </c>
      <c r="T136" s="10" t="str">
        <f>IF(LEN(Table2[[#This Row],[!Length]]) &gt; 0, Table2[[#This Row],[!Length]], "rg:None")</f>
        <v>rg:None</v>
      </c>
      <c r="U136" s="10" t="str">
        <f>IF(LEN(Table2[[#This Row],[!Name]]) &gt; 0, Table2[[#This Row],[!Name]], "rg:None")</f>
        <v>ministryRegionID</v>
      </c>
      <c r="V136" s="10" t="str">
        <f>IF(LEN(Table2[[#This Row],[!Description]]) &gt; 0, Table2[[#This Row],[!Description]], "rg:None")</f>
        <v>The Ministry ID for the Region</v>
      </c>
      <c r="W136" s="10" t="str">
        <f>IF(LEN(Table2[[#This Row],[!FK]])&gt;0,Table2[[#This Row],[!FK]],"rg:None")</f>
        <v>rg:None</v>
      </c>
      <c r="X136" s="10" t="str">
        <f>IF(LEN(concatif2(A:A,Table2[[#This Row],[!Table]],G:G,"Y",D:D,",")) &gt; 0,"rg:[ { 'req' : '"&amp;concatif2(A:A,Table2[[#This Row],[!Table]],G:G,"Y",D:D,"' }, { 'req': '")&amp;"'} ]","rg:[]")</f>
        <v>rg:[ { 'req' : 'id' }, { 'req': 'ministryRegionID' }, { 'req': 'name'} ]</v>
      </c>
      <c r="Y136" s="10" t="str">
        <f>IF(LEN(Table2[[#This Row],[!Unique]])&gt;0,"rg:True","rg:None")</f>
        <v>rg:True</v>
      </c>
    </row>
    <row r="137" spans="1:25" x14ac:dyDescent="0.3">
      <c r="A137" s="3" t="s">
        <v>81</v>
      </c>
      <c r="B137" s="3" t="s">
        <v>8</v>
      </c>
      <c r="C137" s="3">
        <v>255</v>
      </c>
      <c r="D137" s="3" t="s">
        <v>42</v>
      </c>
      <c r="E137" s="27" t="s">
        <v>84</v>
      </c>
      <c r="F137" s="3" t="s">
        <v>6</v>
      </c>
      <c r="G137" s="45" t="s">
        <v>136</v>
      </c>
      <c r="H137" s="4"/>
      <c r="I137" s="5" t="str">
        <f t="shared" si="3"/>
        <v>Defs</v>
      </c>
      <c r="J137" t="str">
        <f>IF(Table2[[#This Row],[!Type]]=J$1, J$1,"rg:None")</f>
        <v>rg:None</v>
      </c>
      <c r="K137" t="str">
        <f>IF(Table2[[#This Row],[!Type]]=K$1, K$1,"rg:None")</f>
        <v>rg:None</v>
      </c>
      <c r="L137" t="str">
        <f>IF(Table2[[#This Row],[!Type]]=L$1, L$1,"rg:None")</f>
        <v>rg:None</v>
      </c>
      <c r="M137" t="str">
        <f>IF(Table2[[#This Row],[!Type]]=M$1, M$1,"rg:None")</f>
        <v>rg:None</v>
      </c>
      <c r="N137" s="10" t="str">
        <f>IF(Table2[[#This Row],[!Type]]=N$1, N$1,"rg:None")</f>
        <v>rg:None</v>
      </c>
      <c r="O137" s="10" t="str">
        <f>IF(Table2[[#This Row],[!Type]]=O$1, O$1,"rg:None")</f>
        <v>rg:None</v>
      </c>
      <c r="P137" s="5" t="str">
        <f>IF(Table2[[#This Row],[!Type]]=P$1, P$1,"rg:None")</f>
        <v>rg:None</v>
      </c>
      <c r="Q137" s="5" t="str">
        <f>IF(Table2[[#This Row],[!Type]]=Q$1, Q$1,"rg:None")</f>
        <v>rg:None</v>
      </c>
      <c r="R137" s="5" t="str">
        <f>IF(Table2[[#This Row],[!Type]]=R$1, R$1,"rg:None")</f>
        <v>string</v>
      </c>
      <c r="S137" s="5" t="str">
        <f>IF(Table2[[#This Row],[!Type]]=S$1, S$1,"rg:None")</f>
        <v>rg:None</v>
      </c>
      <c r="T137" s="10">
        <f>IF(LEN(Table2[[#This Row],[!Length]]) &gt; 0, Table2[[#This Row],[!Length]], "rg:None")</f>
        <v>255</v>
      </c>
      <c r="U137" s="10" t="str">
        <f>IF(LEN(Table2[[#This Row],[!Name]]) &gt; 0, Table2[[#This Row],[!Name]], "rg:None")</f>
        <v>name</v>
      </c>
      <c r="V137" s="10" t="str">
        <f>IF(LEN(Table2[[#This Row],[!Description]]) &gt; 0, Table2[[#This Row],[!Description]], "rg:None")</f>
        <v>The name of the Region</v>
      </c>
      <c r="W137" s="10" t="str">
        <f>IF(LEN(Table2[[#This Row],[!FK]])&gt;0,Table2[[#This Row],[!FK]],"rg:None")</f>
        <v>rg:None</v>
      </c>
      <c r="X137" s="10" t="str">
        <f>IF(LEN(concatif2(A:A,Table2[[#This Row],[!Table]],G:G,"Y",D:D,",")) &gt; 0,"rg:[ { 'req' : '"&amp;concatif2(A:A,Table2[[#This Row],[!Table]],G:G,"Y",D:D,"' }, { 'req': '")&amp;"'} ]","rg:[]")</f>
        <v>rg:[ { 'req' : 'id' }, { 'req': 'ministryRegionID' }, { 'req': 'name'} ]</v>
      </c>
      <c r="Y137" s="10" t="str">
        <f>IF(LEN(Table2[[#This Row],[!Unique]])&gt;0,"rg:True","rg:None")</f>
        <v>rg:None</v>
      </c>
    </row>
    <row r="138" spans="1:25" x14ac:dyDescent="0.3">
      <c r="A138" s="3" t="s">
        <v>81</v>
      </c>
      <c r="B138" s="3" t="s">
        <v>25</v>
      </c>
      <c r="C138" s="3"/>
      <c r="D138" s="3" t="s">
        <v>85</v>
      </c>
      <c r="E138" s="43" t="s">
        <v>342</v>
      </c>
      <c r="F138" s="3" t="s">
        <v>6</v>
      </c>
      <c r="G138" s="4"/>
      <c r="H138" s="4"/>
      <c r="I138" s="5" t="str">
        <f t="shared" si="3"/>
        <v>Defs</v>
      </c>
      <c r="J138" t="str">
        <f>IF(Table2[[#This Row],[!Type]]=J$1, J$1,"rg:None")</f>
        <v>rg:None</v>
      </c>
      <c r="K138" t="str">
        <f>IF(Table2[[#This Row],[!Type]]=K$1, K$1,"rg:None")</f>
        <v>rg:None</v>
      </c>
      <c r="L138" t="str">
        <f>IF(Table2[[#This Row],[!Type]]=L$1, L$1,"rg:None")</f>
        <v>datetime</v>
      </c>
      <c r="M138" t="str">
        <f>IF(Table2[[#This Row],[!Type]]=M$1, M$1,"rg:None")</f>
        <v>rg:None</v>
      </c>
      <c r="N138" s="10" t="str">
        <f>IF(Table2[[#This Row],[!Type]]=N$1, N$1,"rg:None")</f>
        <v>rg:None</v>
      </c>
      <c r="O138" s="10" t="str">
        <f>IF(Table2[[#This Row],[!Type]]=O$1, O$1,"rg:None")</f>
        <v>rg:None</v>
      </c>
      <c r="P138" s="5" t="str">
        <f>IF(Table2[[#This Row],[!Type]]=P$1, P$1,"rg:None")</f>
        <v>rg:None</v>
      </c>
      <c r="Q138" s="5" t="str">
        <f>IF(Table2[[#This Row],[!Type]]=Q$1, Q$1,"rg:None")</f>
        <v>rg:None</v>
      </c>
      <c r="R138" s="5" t="str">
        <f>IF(Table2[[#This Row],[!Type]]=R$1, R$1,"rg:None")</f>
        <v>rg:None</v>
      </c>
      <c r="S138" s="5" t="str">
        <f>IF(Table2[[#This Row],[!Type]]=S$1, S$1,"rg:None")</f>
        <v>rg:None</v>
      </c>
      <c r="T138" s="10" t="str">
        <f>IF(LEN(Table2[[#This Row],[!Length]]) &gt; 0, Table2[[#This Row],[!Length]], "rg:None")</f>
        <v>rg:None</v>
      </c>
      <c r="U138" s="10" t="str">
        <f>IF(LEN(Table2[[#This Row],[!Name]]) &gt; 0, Table2[[#This Row],[!Name]], "rg:None")</f>
        <v>startDate</v>
      </c>
      <c r="V138" s="10" t="str">
        <f>IF(LEN(Table2[[#This Row],[!Description]]) &gt; 0, Table2[[#This Row],[!Description]], "rg:None")</f>
        <v>The effective date of the Region record - NOT CURRENTLY ENFORCED IN SCHOOL BUS</v>
      </c>
      <c r="W138" s="10" t="str">
        <f>IF(LEN(Table2[[#This Row],[!FK]])&gt;0,Table2[[#This Row],[!FK]],"rg:None")</f>
        <v>rg:None</v>
      </c>
      <c r="X138" s="10" t="str">
        <f>IF(LEN(concatif2(A:A,Table2[[#This Row],[!Table]],G:G,"Y",D:D,",")) &gt; 0,"rg:[ { 'req' : '"&amp;concatif2(A:A,Table2[[#This Row],[!Table]],G:G,"Y",D:D,"' }, { 'req': '")&amp;"'} ]","rg:[]")</f>
        <v>rg:[ { 'req' : 'id' }, { 'req': 'ministryRegionID' }, { 'req': 'name'} ]</v>
      </c>
      <c r="Y138" s="10" t="str">
        <f>IF(LEN(Table2[[#This Row],[!Unique]])&gt;0,"rg:True","rg:None")</f>
        <v>rg:None</v>
      </c>
    </row>
    <row r="139" spans="1:25" x14ac:dyDescent="0.3">
      <c r="A139" s="3" t="s">
        <v>81</v>
      </c>
      <c r="B139" s="3" t="s">
        <v>25</v>
      </c>
      <c r="C139" s="3"/>
      <c r="D139" s="3" t="s">
        <v>86</v>
      </c>
      <c r="E139" s="43" t="s">
        <v>343</v>
      </c>
      <c r="F139" s="3" t="s">
        <v>6</v>
      </c>
      <c r="G139" s="4"/>
      <c r="H139" s="4"/>
      <c r="I139" s="5" t="str">
        <f t="shared" si="3"/>
        <v>Defs</v>
      </c>
      <c r="J139" t="str">
        <f>IF(Table2[[#This Row],[!Type]]=J$1, J$1,"rg:None")</f>
        <v>rg:None</v>
      </c>
      <c r="K139" t="str">
        <f>IF(Table2[[#This Row],[!Type]]=K$1, K$1,"rg:None")</f>
        <v>rg:None</v>
      </c>
      <c r="L139" t="str">
        <f>IF(Table2[[#This Row],[!Type]]=L$1, L$1,"rg:None")</f>
        <v>datetime</v>
      </c>
      <c r="M139" t="str">
        <f>IF(Table2[[#This Row],[!Type]]=M$1, M$1,"rg:None")</f>
        <v>rg:None</v>
      </c>
      <c r="N139" s="10" t="str">
        <f>IF(Table2[[#This Row],[!Type]]=N$1, N$1,"rg:None")</f>
        <v>rg:None</v>
      </c>
      <c r="O139" s="10" t="str">
        <f>IF(Table2[[#This Row],[!Type]]=O$1, O$1,"rg:None")</f>
        <v>rg:None</v>
      </c>
      <c r="P139" s="5" t="str">
        <f>IF(Table2[[#This Row],[!Type]]=P$1, P$1,"rg:None")</f>
        <v>rg:None</v>
      </c>
      <c r="Q139" s="5" t="str">
        <f>IF(Table2[[#This Row],[!Type]]=Q$1, Q$1,"rg:None")</f>
        <v>rg:None</v>
      </c>
      <c r="R139" s="5" t="str">
        <f>IF(Table2[[#This Row],[!Type]]=R$1, R$1,"rg:None")</f>
        <v>rg:None</v>
      </c>
      <c r="S139" s="5" t="str">
        <f>IF(Table2[[#This Row],[!Type]]=S$1, S$1,"rg:None")</f>
        <v>rg:None</v>
      </c>
      <c r="T139" s="10" t="str">
        <f>IF(LEN(Table2[[#This Row],[!Length]]) &gt; 0, Table2[[#This Row],[!Length]], "rg:None")</f>
        <v>rg:None</v>
      </c>
      <c r="U139" s="10" t="str">
        <f>IF(LEN(Table2[[#This Row],[!Name]]) &gt; 0, Table2[[#This Row],[!Name]], "rg:None")</f>
        <v>endDate</v>
      </c>
      <c r="V139" s="10" t="str">
        <f>IF(LEN(Table2[[#This Row],[!Description]]) &gt; 0, Table2[[#This Row],[!Description]], "rg:None")</f>
        <v>The end date of the Region record; null if active - NOT CURRENTLY ENFORCED IN SCHOOL BUS</v>
      </c>
      <c r="W139" s="10" t="str">
        <f>IF(LEN(Table2[[#This Row],[!FK]])&gt;0,Table2[[#This Row],[!FK]],"rg:None")</f>
        <v>rg:None</v>
      </c>
      <c r="X139" s="10" t="str">
        <f>IF(LEN(concatif2(A:A,Table2[[#This Row],[!Table]],G:G,"Y",D:D,",")) &gt; 0,"rg:[ { 'req' : '"&amp;concatif2(A:A,Table2[[#This Row],[!Table]],G:G,"Y",D:D,"' }, { 'req': '")&amp;"'} ]","rg:[]")</f>
        <v>rg:[ { 'req' : 'id' }, { 'req': 'ministryRegionID' }, { 'req': 'name'} ]</v>
      </c>
      <c r="Y139" s="10" t="str">
        <f>IF(LEN(Table2[[#This Row],[!Unique]])&gt;0,"rg:True","rg:None")</f>
        <v>rg:None</v>
      </c>
    </row>
    <row r="140" spans="1:25" x14ac:dyDescent="0.3">
      <c r="A140" s="3" t="s">
        <v>87</v>
      </c>
      <c r="B140" s="3" t="s">
        <v>5</v>
      </c>
      <c r="C140" s="3"/>
      <c r="D140" s="3" t="s">
        <v>87</v>
      </c>
      <c r="E140" s="43" t="s">
        <v>341</v>
      </c>
      <c r="F140" s="3" t="s">
        <v>6</v>
      </c>
      <c r="G140" s="4"/>
      <c r="H140" s="4"/>
      <c r="I140" s="5" t="str">
        <f t="shared" si="3"/>
        <v>Defs</v>
      </c>
      <c r="J140" t="str">
        <f>IF(Table2[[#This Row],[!Type]]=J$1, J$1,"rg:None")</f>
        <v>rg:None</v>
      </c>
      <c r="K140" t="str">
        <f>IF(Table2[[#This Row],[!Type]]=K$1, K$1,"rg:None")</f>
        <v>rg:None</v>
      </c>
      <c r="L140" t="str">
        <f>IF(Table2[[#This Row],[!Type]]=L$1, L$1,"rg:None")</f>
        <v>rg:None</v>
      </c>
      <c r="M140" t="str">
        <f>IF(Table2[[#This Row],[!Type]]=M$1, M$1,"rg:None")</f>
        <v>rg:None</v>
      </c>
      <c r="N140" s="10" t="str">
        <f>IF(Table2[[#This Row],[!Type]]=N$1, N$1,"rg:None")</f>
        <v>rg:None</v>
      </c>
      <c r="O140" s="10" t="str">
        <f>IF(Table2[[#This Row],[!Type]]=O$1, O$1,"rg:None")</f>
        <v>rg:None</v>
      </c>
      <c r="P140" s="5" t="str">
        <f>IF(Table2[[#This Row],[!Type]]=P$1, P$1,"rg:None")</f>
        <v>rg:None</v>
      </c>
      <c r="Q140" s="5" t="str">
        <f>IF(Table2[[#This Row],[!Type]]=Q$1, Q$1,"rg:None")</f>
        <v>rg:None</v>
      </c>
      <c r="R140" s="5" t="str">
        <f>IF(Table2[[#This Row],[!Type]]=R$1, R$1,"rg:None")</f>
        <v>rg:None</v>
      </c>
      <c r="S140" s="5" t="str">
        <f>IF(Table2[[#This Row],[!Type]]=S$1, S$1,"rg:None")</f>
        <v>table</v>
      </c>
      <c r="T140" s="10" t="str">
        <f>IF(LEN(Table2[[#This Row],[!Length]]) &gt; 0, Table2[[#This Row],[!Length]], "rg:None")</f>
        <v>rg:None</v>
      </c>
      <c r="U140" s="10" t="str">
        <f>IF(LEN(Table2[[#This Row],[!Name]]) &gt; 0, Table2[[#This Row],[!Name]], "rg:None")</f>
        <v>District</v>
      </c>
      <c r="V140" s="10" t="str">
        <f>IF(LEN(Table2[[#This Row],[!Description]]) &gt; 0, Table2[[#This Row],[!Description]], "rg:None")</f>
        <v>The MOTI-defined Districts - must match the official MOTI List</v>
      </c>
      <c r="W140" s="10" t="str">
        <f>IF(LEN(Table2[[#This Row],[!FK]])&gt;0,Table2[[#This Row],[!FK]],"rg:None")</f>
        <v>rg:None</v>
      </c>
      <c r="X140" s="10" t="str">
        <f>IF(LEN(concatif2(A:A,Table2[[#This Row],[!Table]],G:G,"Y",D:D,",")) &gt; 0,"rg:[ { 'req' : '"&amp;concatif2(A:A,Table2[[#This Row],[!Table]],G:G,"Y",D:D,"' }, { 'req': '")&amp;"'} ]","rg:[]")</f>
        <v>rg:[ { 'req' : 'id' }, { 'req': 'ministryDistrictID' }, { 'req': 'name'} ]</v>
      </c>
      <c r="Y140" s="10" t="str">
        <f>IF(LEN(Table2[[#This Row],[!Unique]])&gt;0,"rg:True","rg:None")</f>
        <v>rg:None</v>
      </c>
    </row>
    <row r="141" spans="1:25" x14ac:dyDescent="0.3">
      <c r="A141" s="3" t="s">
        <v>87</v>
      </c>
      <c r="B141" s="3" t="s">
        <v>7</v>
      </c>
      <c r="C141" s="3"/>
      <c r="D141" s="3" t="s">
        <v>7</v>
      </c>
      <c r="E141" s="27" t="s">
        <v>282</v>
      </c>
      <c r="F141" s="3" t="s">
        <v>6</v>
      </c>
      <c r="G141" s="4" t="s">
        <v>136</v>
      </c>
      <c r="H141" s="45" t="s">
        <v>136</v>
      </c>
      <c r="I141" s="5" t="str">
        <f t="shared" si="3"/>
        <v>Defs</v>
      </c>
      <c r="J141" t="str">
        <f>IF(Table2[[#This Row],[!Type]]=J$1, J$1,"rg:None")</f>
        <v>rg:None</v>
      </c>
      <c r="K141" t="str">
        <f>IF(Table2[[#This Row],[!Type]]=K$1, K$1,"rg:None")</f>
        <v>rg:None</v>
      </c>
      <c r="L141" t="str">
        <f>IF(Table2[[#This Row],[!Type]]=L$1, L$1,"rg:None")</f>
        <v>rg:None</v>
      </c>
      <c r="M141" t="str">
        <f>IF(Table2[[#This Row],[!Type]]=M$1, M$1,"rg:None")</f>
        <v>id</v>
      </c>
      <c r="N141" s="10" t="str">
        <f>IF(Table2[[#This Row],[!Type]]=N$1, N$1,"rg:None")</f>
        <v>rg:None</v>
      </c>
      <c r="O141" s="10" t="str">
        <f>IF(Table2[[#This Row],[!Type]]=O$1, O$1,"rg:None")</f>
        <v>rg:None</v>
      </c>
      <c r="P141" s="5" t="str">
        <f>IF(Table2[[#This Row],[!Type]]=P$1, P$1,"rg:None")</f>
        <v>rg:None</v>
      </c>
      <c r="Q141" s="5" t="str">
        <f>IF(Table2[[#This Row],[!Type]]=Q$1, Q$1,"rg:None")</f>
        <v>rg:None</v>
      </c>
      <c r="R141" s="5" t="str">
        <f>IF(Table2[[#This Row],[!Type]]=R$1, R$1,"rg:None")</f>
        <v>rg:None</v>
      </c>
      <c r="S141" s="5" t="str">
        <f>IF(Table2[[#This Row],[!Type]]=S$1, S$1,"rg:None")</f>
        <v>rg:None</v>
      </c>
      <c r="T141" s="10" t="str">
        <f>IF(LEN(Table2[[#This Row],[!Length]]) &gt; 0, Table2[[#This Row],[!Length]], "rg:None")</f>
        <v>rg:None</v>
      </c>
      <c r="U141" s="10" t="str">
        <f>IF(LEN(Table2[[#This Row],[!Name]]) &gt; 0, Table2[[#This Row],[!Name]], "rg:None")</f>
        <v>id</v>
      </c>
      <c r="V141" s="10" t="str">
        <f>IF(LEN(Table2[[#This Row],[!Description]]) &gt; 0, Table2[[#This Row],[!Description]], "rg:None")</f>
        <v>A system-generated unique identifier for a District</v>
      </c>
      <c r="W141" s="10" t="str">
        <f>IF(LEN(Table2[[#This Row],[!FK]])&gt;0,Table2[[#This Row],[!FK]],"rg:None")</f>
        <v>rg:None</v>
      </c>
      <c r="X141" s="10" t="str">
        <f>IF(LEN(concatif2(A:A,Table2[[#This Row],[!Table]],G:G,"Y",D:D,",")) &gt; 0,"rg:[ { 'req' : '"&amp;concatif2(A:A,Table2[[#This Row],[!Table]],G:G,"Y",D:D,"' }, { 'req': '")&amp;"'} ]","rg:[]")</f>
        <v>rg:[ { 'req' : 'id' }, { 'req': 'ministryDistrictID' }, { 'req': 'name'} ]</v>
      </c>
      <c r="Y141" s="10" t="str">
        <f>IF(LEN(Table2[[#This Row],[!Unique]])&gt;0,"rg:True","rg:None")</f>
        <v>rg:True</v>
      </c>
    </row>
    <row r="142" spans="1:25" x14ac:dyDescent="0.3">
      <c r="A142" s="3" t="s">
        <v>87</v>
      </c>
      <c r="B142" s="3" t="s">
        <v>33</v>
      </c>
      <c r="C142" s="3"/>
      <c r="D142" s="3" t="s">
        <v>88</v>
      </c>
      <c r="E142" s="27" t="s">
        <v>89</v>
      </c>
      <c r="F142" s="3" t="s">
        <v>6</v>
      </c>
      <c r="G142" s="45" t="s">
        <v>136</v>
      </c>
      <c r="H142" s="4"/>
      <c r="I142" s="5" t="str">
        <f t="shared" si="3"/>
        <v>Defs</v>
      </c>
      <c r="J142" t="str">
        <f>IF(Table2[[#This Row],[!Type]]=J$1, J$1,"rg:None")</f>
        <v>rg:None</v>
      </c>
      <c r="K142" t="str">
        <f>IF(Table2[[#This Row],[!Type]]=K$1, K$1,"rg:None")</f>
        <v>rg:None</v>
      </c>
      <c r="L142" t="str">
        <f>IF(Table2[[#This Row],[!Type]]=L$1, L$1,"rg:None")</f>
        <v>rg:None</v>
      </c>
      <c r="M142" t="str">
        <f>IF(Table2[[#This Row],[!Type]]=M$1, M$1,"rg:None")</f>
        <v>rg:None</v>
      </c>
      <c r="N142" s="10" t="str">
        <f>IF(Table2[[#This Row],[!Type]]=N$1, N$1,"rg:None")</f>
        <v>integer</v>
      </c>
      <c r="O142" s="10" t="str">
        <f>IF(Table2[[#This Row],[!Type]]=O$1, O$1,"rg:None")</f>
        <v>rg:None</v>
      </c>
      <c r="P142" s="5" t="str">
        <f>IF(Table2[[#This Row],[!Type]]=P$1, P$1,"rg:None")</f>
        <v>rg:None</v>
      </c>
      <c r="Q142" s="5" t="str">
        <f>IF(Table2[[#This Row],[!Type]]=Q$1, Q$1,"rg:None")</f>
        <v>rg:None</v>
      </c>
      <c r="R142" s="5" t="str">
        <f>IF(Table2[[#This Row],[!Type]]=R$1, R$1,"rg:None")</f>
        <v>rg:None</v>
      </c>
      <c r="S142" s="5" t="str">
        <f>IF(Table2[[#This Row],[!Type]]=S$1, S$1,"rg:None")</f>
        <v>rg:None</v>
      </c>
      <c r="T142" s="10" t="str">
        <f>IF(LEN(Table2[[#This Row],[!Length]]) &gt; 0, Table2[[#This Row],[!Length]], "rg:None")</f>
        <v>rg:None</v>
      </c>
      <c r="U142" s="10" t="str">
        <f>IF(LEN(Table2[[#This Row],[!Name]]) &gt; 0, Table2[[#This Row],[!Name]], "rg:None")</f>
        <v>ministryDistrictID</v>
      </c>
      <c r="V142" s="10" t="str">
        <f>IF(LEN(Table2[[#This Row],[!Description]]) &gt; 0, Table2[[#This Row],[!Description]], "rg:None")</f>
        <v>The Ministry ID for the District</v>
      </c>
      <c r="W142" s="10" t="str">
        <f>IF(LEN(Table2[[#This Row],[!FK]])&gt;0,Table2[[#This Row],[!FK]],"rg:None")</f>
        <v>rg:None</v>
      </c>
      <c r="X142" s="10" t="str">
        <f>IF(LEN(concatif2(A:A,Table2[[#This Row],[!Table]],G:G,"Y",D:D,",")) &gt; 0,"rg:[ { 'req' : '"&amp;concatif2(A:A,Table2[[#This Row],[!Table]],G:G,"Y",D:D,"' }, { 'req': '")&amp;"'} ]","rg:[]")</f>
        <v>rg:[ { 'req' : 'id' }, { 'req': 'ministryDistrictID' }, { 'req': 'name'} ]</v>
      </c>
      <c r="Y142" s="10" t="str">
        <f>IF(LEN(Table2[[#This Row],[!Unique]])&gt;0,"rg:True","rg:None")</f>
        <v>rg:None</v>
      </c>
    </row>
    <row r="143" spans="1:25" x14ac:dyDescent="0.3">
      <c r="A143" s="3" t="s">
        <v>87</v>
      </c>
      <c r="B143" s="3" t="s">
        <v>8</v>
      </c>
      <c r="C143" s="3">
        <v>255</v>
      </c>
      <c r="D143" s="3" t="s">
        <v>42</v>
      </c>
      <c r="E143" s="27" t="s">
        <v>90</v>
      </c>
      <c r="F143" s="3" t="s">
        <v>6</v>
      </c>
      <c r="G143" s="45" t="s">
        <v>136</v>
      </c>
      <c r="H143" s="4"/>
      <c r="I143" s="5" t="str">
        <f t="shared" si="3"/>
        <v>Defs</v>
      </c>
      <c r="J143" t="str">
        <f>IF(Table2[[#This Row],[!Type]]=J$1, J$1,"rg:None")</f>
        <v>rg:None</v>
      </c>
      <c r="K143" t="str">
        <f>IF(Table2[[#This Row],[!Type]]=K$1, K$1,"rg:None")</f>
        <v>rg:None</v>
      </c>
      <c r="L143" t="str">
        <f>IF(Table2[[#This Row],[!Type]]=L$1, L$1,"rg:None")</f>
        <v>rg:None</v>
      </c>
      <c r="M143" t="str">
        <f>IF(Table2[[#This Row],[!Type]]=M$1, M$1,"rg:None")</f>
        <v>rg:None</v>
      </c>
      <c r="N143" s="10" t="str">
        <f>IF(Table2[[#This Row],[!Type]]=N$1, N$1,"rg:None")</f>
        <v>rg:None</v>
      </c>
      <c r="O143" s="10" t="str">
        <f>IF(Table2[[#This Row],[!Type]]=O$1, O$1,"rg:None")</f>
        <v>rg:None</v>
      </c>
      <c r="P143" s="5" t="str">
        <f>IF(Table2[[#This Row],[!Type]]=P$1, P$1,"rg:None")</f>
        <v>rg:None</v>
      </c>
      <c r="Q143" s="5" t="str">
        <f>IF(Table2[[#This Row],[!Type]]=Q$1, Q$1,"rg:None")</f>
        <v>rg:None</v>
      </c>
      <c r="R143" s="5" t="str">
        <f>IF(Table2[[#This Row],[!Type]]=R$1, R$1,"rg:None")</f>
        <v>string</v>
      </c>
      <c r="S143" s="5" t="str">
        <f>IF(Table2[[#This Row],[!Type]]=S$1, S$1,"rg:None")</f>
        <v>rg:None</v>
      </c>
      <c r="T143" s="10">
        <f>IF(LEN(Table2[[#This Row],[!Length]]) &gt; 0, Table2[[#This Row],[!Length]], "rg:None")</f>
        <v>255</v>
      </c>
      <c r="U143" s="10" t="str">
        <f>IF(LEN(Table2[[#This Row],[!Name]]) &gt; 0, Table2[[#This Row],[!Name]], "rg:None")</f>
        <v>name</v>
      </c>
      <c r="V143" s="10" t="str">
        <f>IF(LEN(Table2[[#This Row],[!Description]]) &gt; 0, Table2[[#This Row],[!Description]], "rg:None")</f>
        <v>The name of the District</v>
      </c>
      <c r="W143" s="10" t="str">
        <f>IF(LEN(Table2[[#This Row],[!FK]])&gt;0,Table2[[#This Row],[!FK]],"rg:None")</f>
        <v>rg:None</v>
      </c>
      <c r="X143" s="10" t="str">
        <f>IF(LEN(concatif2(A:A,Table2[[#This Row],[!Table]],G:G,"Y",D:D,",")) &gt; 0,"rg:[ { 'req' : '"&amp;concatif2(A:A,Table2[[#This Row],[!Table]],G:G,"Y",D:D,"' }, { 'req': '")&amp;"'} ]","rg:[]")</f>
        <v>rg:[ { 'req' : 'id' }, { 'req': 'ministryDistrictID' }, { 'req': 'name'} ]</v>
      </c>
      <c r="Y143" s="10" t="str">
        <f>IF(LEN(Table2[[#This Row],[!Unique]])&gt;0,"rg:True","rg:None")</f>
        <v>rg:None</v>
      </c>
    </row>
    <row r="144" spans="1:25" x14ac:dyDescent="0.3">
      <c r="A144" s="3" t="s">
        <v>87</v>
      </c>
      <c r="B144" s="3" t="s">
        <v>9</v>
      </c>
      <c r="C144" s="3"/>
      <c r="D144" s="3" t="s">
        <v>91</v>
      </c>
      <c r="E144" s="27" t="s">
        <v>92</v>
      </c>
      <c r="F144" s="3" t="s">
        <v>81</v>
      </c>
      <c r="G144" s="4"/>
      <c r="H144" s="4"/>
      <c r="I144" s="5" t="str">
        <f t="shared" si="3"/>
        <v>Defs</v>
      </c>
      <c r="J144" t="str">
        <f>IF(Table2[[#This Row],[!Type]]=J$1, J$1,"rg:None")</f>
        <v>rg:None</v>
      </c>
      <c r="K144" t="str">
        <f>IF(Table2[[#This Row],[!Type]]=K$1, K$1,"rg:None")</f>
        <v>rg:None</v>
      </c>
      <c r="L144" t="str">
        <f>IF(Table2[[#This Row],[!Type]]=L$1, L$1,"rg:None")</f>
        <v>rg:None</v>
      </c>
      <c r="M144" t="str">
        <f>IF(Table2[[#This Row],[!Type]]=M$1, M$1,"rg:None")</f>
        <v>rg:None</v>
      </c>
      <c r="N144" s="10" t="str">
        <f>IF(Table2[[#This Row],[!Type]]=N$1, N$1,"rg:None")</f>
        <v>rg:None</v>
      </c>
      <c r="O144" s="10" t="str">
        <f>IF(Table2[[#This Row],[!Type]]=O$1, O$1,"rg:None")</f>
        <v>rg:None</v>
      </c>
      <c r="P144" s="5" t="str">
        <f>IF(Table2[[#This Row],[!Type]]=P$1, P$1,"rg:None")</f>
        <v>rg:None</v>
      </c>
      <c r="Q144" s="5" t="str">
        <f>IF(Table2[[#This Row],[!Type]]=Q$1, Q$1,"rg:None")</f>
        <v>ref</v>
      </c>
      <c r="R144" s="5" t="str">
        <f>IF(Table2[[#This Row],[!Type]]=R$1, R$1,"rg:None")</f>
        <v>rg:None</v>
      </c>
      <c r="S144" s="5" t="str">
        <f>IF(Table2[[#This Row],[!Type]]=S$1, S$1,"rg:None")</f>
        <v>rg:None</v>
      </c>
      <c r="T144" s="10" t="str">
        <f>IF(LEN(Table2[[#This Row],[!Length]]) &gt; 0, Table2[[#This Row],[!Length]], "rg:None")</f>
        <v>rg:None</v>
      </c>
      <c r="U144" s="10" t="str">
        <f>IF(LEN(Table2[[#This Row],[!Name]]) &gt; 0, Table2[[#This Row],[!Name]], "rg:None")</f>
        <v>region</v>
      </c>
      <c r="V144" s="10" t="str">
        <f>IF(LEN(Table2[[#This Row],[!Description]]) &gt; 0, Table2[[#This Row],[!Description]], "rg:None")</f>
        <v>The region in which the District is found.</v>
      </c>
      <c r="W144" s="10" t="str">
        <f>IF(LEN(Table2[[#This Row],[!FK]])&gt;0,Table2[[#This Row],[!FK]],"rg:None")</f>
        <v>Region</v>
      </c>
      <c r="X144" s="10" t="str">
        <f>IF(LEN(concatif2(A:A,Table2[[#This Row],[!Table]],G:G,"Y",D:D,",")) &gt; 0,"rg:[ { 'req' : '"&amp;concatif2(A:A,Table2[[#This Row],[!Table]],G:G,"Y",D:D,"' }, { 'req': '")&amp;"'} ]","rg:[]")</f>
        <v>rg:[ { 'req' : 'id' }, { 'req': 'ministryDistrictID' }, { 'req': 'name'} ]</v>
      </c>
      <c r="Y144" s="10" t="str">
        <f>IF(LEN(Table2[[#This Row],[!Unique]])&gt;0,"rg:True","rg:None")</f>
        <v>rg:None</v>
      </c>
    </row>
    <row r="145" spans="1:25" x14ac:dyDescent="0.3">
      <c r="A145" s="3" t="s">
        <v>87</v>
      </c>
      <c r="B145" s="3" t="s">
        <v>25</v>
      </c>
      <c r="C145" s="3"/>
      <c r="D145" s="3" t="s">
        <v>85</v>
      </c>
      <c r="E145" s="43" t="s">
        <v>344</v>
      </c>
      <c r="F145" s="3" t="s">
        <v>6</v>
      </c>
      <c r="G145" s="4"/>
      <c r="H145" s="4"/>
      <c r="I145" s="5" t="str">
        <f t="shared" si="3"/>
        <v>Defs</v>
      </c>
      <c r="J145" t="str">
        <f>IF(Table2[[#This Row],[!Type]]=J$1, J$1,"rg:None")</f>
        <v>rg:None</v>
      </c>
      <c r="K145" t="str">
        <f>IF(Table2[[#This Row],[!Type]]=K$1, K$1,"rg:None")</f>
        <v>rg:None</v>
      </c>
      <c r="L145" t="str">
        <f>IF(Table2[[#This Row],[!Type]]=L$1, L$1,"rg:None")</f>
        <v>datetime</v>
      </c>
      <c r="M145" t="str">
        <f>IF(Table2[[#This Row],[!Type]]=M$1, M$1,"rg:None")</f>
        <v>rg:None</v>
      </c>
      <c r="N145" s="10" t="str">
        <f>IF(Table2[[#This Row],[!Type]]=N$1, N$1,"rg:None")</f>
        <v>rg:None</v>
      </c>
      <c r="O145" s="10" t="str">
        <f>IF(Table2[[#This Row],[!Type]]=O$1, O$1,"rg:None")</f>
        <v>rg:None</v>
      </c>
      <c r="P145" s="5" t="str">
        <f>IF(Table2[[#This Row],[!Type]]=P$1, P$1,"rg:None")</f>
        <v>rg:None</v>
      </c>
      <c r="Q145" s="5" t="str">
        <f>IF(Table2[[#This Row],[!Type]]=Q$1, Q$1,"rg:None")</f>
        <v>rg:None</v>
      </c>
      <c r="R145" s="5" t="str">
        <f>IF(Table2[[#This Row],[!Type]]=R$1, R$1,"rg:None")</f>
        <v>rg:None</v>
      </c>
      <c r="S145" s="5" t="str">
        <f>IF(Table2[[#This Row],[!Type]]=S$1, S$1,"rg:None")</f>
        <v>rg:None</v>
      </c>
      <c r="T145" s="10" t="str">
        <f>IF(LEN(Table2[[#This Row],[!Length]]) &gt; 0, Table2[[#This Row],[!Length]], "rg:None")</f>
        <v>rg:None</v>
      </c>
      <c r="U145" s="10" t="str">
        <f>IF(LEN(Table2[[#This Row],[!Name]]) &gt; 0, Table2[[#This Row],[!Name]], "rg:None")</f>
        <v>startDate</v>
      </c>
      <c r="V145" s="10" t="str">
        <f>IF(LEN(Table2[[#This Row],[!Description]]) &gt; 0, Table2[[#This Row],[!Description]], "rg:None")</f>
        <v>The effective date of the District record - NOT CURRENTLY ENFORCED IN SCHOOL BUS</v>
      </c>
      <c r="W145" s="10" t="str">
        <f>IF(LEN(Table2[[#This Row],[!FK]])&gt;0,Table2[[#This Row],[!FK]],"rg:None")</f>
        <v>rg:None</v>
      </c>
      <c r="X145" s="10" t="str">
        <f>IF(LEN(concatif2(A:A,Table2[[#This Row],[!Table]],G:G,"Y",D:D,",")) &gt; 0,"rg:[ { 'req' : '"&amp;concatif2(A:A,Table2[[#This Row],[!Table]],G:G,"Y",D:D,"' }, { 'req': '")&amp;"'} ]","rg:[]")</f>
        <v>rg:[ { 'req' : 'id' }, { 'req': 'ministryDistrictID' }, { 'req': 'name'} ]</v>
      </c>
      <c r="Y145" s="10" t="str">
        <f>IF(LEN(Table2[[#This Row],[!Unique]])&gt;0,"rg:True","rg:None")</f>
        <v>rg:None</v>
      </c>
    </row>
    <row r="146" spans="1:25" x14ac:dyDescent="0.3">
      <c r="A146" s="3" t="s">
        <v>87</v>
      </c>
      <c r="B146" s="3" t="s">
        <v>25</v>
      </c>
      <c r="C146" s="3"/>
      <c r="D146" s="3" t="s">
        <v>86</v>
      </c>
      <c r="E146" s="43" t="s">
        <v>345</v>
      </c>
      <c r="F146" s="3" t="s">
        <v>6</v>
      </c>
      <c r="G146" s="4"/>
      <c r="H146" s="4"/>
      <c r="I146" s="5" t="str">
        <f t="shared" si="3"/>
        <v>Defs</v>
      </c>
      <c r="J146" t="str">
        <f>IF(Table2[[#This Row],[!Type]]=J$1, J$1,"rg:None")</f>
        <v>rg:None</v>
      </c>
      <c r="K146" t="str">
        <f>IF(Table2[[#This Row],[!Type]]=K$1, K$1,"rg:None")</f>
        <v>rg:None</v>
      </c>
      <c r="L146" t="str">
        <f>IF(Table2[[#This Row],[!Type]]=L$1, L$1,"rg:None")</f>
        <v>datetime</v>
      </c>
      <c r="M146" t="str">
        <f>IF(Table2[[#This Row],[!Type]]=M$1, M$1,"rg:None")</f>
        <v>rg:None</v>
      </c>
      <c r="N146" s="10" t="str">
        <f>IF(Table2[[#This Row],[!Type]]=N$1, N$1,"rg:None")</f>
        <v>rg:None</v>
      </c>
      <c r="O146" s="10" t="str">
        <f>IF(Table2[[#This Row],[!Type]]=O$1, O$1,"rg:None")</f>
        <v>rg:None</v>
      </c>
      <c r="P146" s="5" t="str">
        <f>IF(Table2[[#This Row],[!Type]]=P$1, P$1,"rg:None")</f>
        <v>rg:None</v>
      </c>
      <c r="Q146" s="5" t="str">
        <f>IF(Table2[[#This Row],[!Type]]=Q$1, Q$1,"rg:None")</f>
        <v>rg:None</v>
      </c>
      <c r="R146" s="5" t="str">
        <f>IF(Table2[[#This Row],[!Type]]=R$1, R$1,"rg:None")</f>
        <v>rg:None</v>
      </c>
      <c r="S146" s="5" t="str">
        <f>IF(Table2[[#This Row],[!Type]]=S$1, S$1,"rg:None")</f>
        <v>rg:None</v>
      </c>
      <c r="T146" s="10" t="str">
        <f>IF(LEN(Table2[[#This Row],[!Length]]) &gt; 0, Table2[[#This Row],[!Length]], "rg:None")</f>
        <v>rg:None</v>
      </c>
      <c r="U146" s="10" t="str">
        <f>IF(LEN(Table2[[#This Row],[!Name]]) &gt; 0, Table2[[#This Row],[!Name]], "rg:None")</f>
        <v>endDate</v>
      </c>
      <c r="V146" s="10" t="str">
        <f>IF(LEN(Table2[[#This Row],[!Description]]) &gt; 0, Table2[[#This Row],[!Description]], "rg:None")</f>
        <v>The end date of the District record; null if active - NOT CURRENTLY ENFORCED IN SCHOOL BUS</v>
      </c>
      <c r="W146" s="10" t="str">
        <f>IF(LEN(Table2[[#This Row],[!FK]])&gt;0,Table2[[#This Row],[!FK]],"rg:None")</f>
        <v>rg:None</v>
      </c>
      <c r="X146" s="10" t="str">
        <f>IF(LEN(concatif2(A:A,Table2[[#This Row],[!Table]],G:G,"Y",D:D,",")) &gt; 0,"rg:[ { 'req' : '"&amp;concatif2(A:A,Table2[[#This Row],[!Table]],G:G,"Y",D:D,"' }, { 'req': '")&amp;"'} ]","rg:[]")</f>
        <v>rg:[ { 'req' : 'id' }, { 'req': 'ministryDistrictID' }, { 'req': 'name'} ]</v>
      </c>
      <c r="Y146" s="10" t="str">
        <f>IF(LEN(Table2[[#This Row],[!Unique]])&gt;0,"rg:True","rg:None")</f>
        <v>rg:None</v>
      </c>
    </row>
    <row r="147" spans="1:25" x14ac:dyDescent="0.3">
      <c r="A147" s="3" t="s">
        <v>16</v>
      </c>
      <c r="B147" s="3" t="s">
        <v>5</v>
      </c>
      <c r="C147" s="3"/>
      <c r="D147" s="3" t="s">
        <v>16</v>
      </c>
      <c r="E147" s="43" t="s">
        <v>346</v>
      </c>
      <c r="F147" s="3" t="s">
        <v>6</v>
      </c>
      <c r="G147" s="4"/>
      <c r="H147" s="4"/>
      <c r="I147" s="5" t="str">
        <f t="shared" si="3"/>
        <v>Defs</v>
      </c>
      <c r="J147" t="str">
        <f>IF(Table2[[#This Row],[!Type]]=J$1, J$1,"rg:None")</f>
        <v>rg:None</v>
      </c>
      <c r="K147" t="str">
        <f>IF(Table2[[#This Row],[!Type]]=K$1, K$1,"rg:None")</f>
        <v>rg:None</v>
      </c>
      <c r="L147" t="str">
        <f>IF(Table2[[#This Row],[!Type]]=L$1, L$1,"rg:None")</f>
        <v>rg:None</v>
      </c>
      <c r="M147" t="str">
        <f>IF(Table2[[#This Row],[!Type]]=M$1, M$1,"rg:None")</f>
        <v>rg:None</v>
      </c>
      <c r="N147" s="10" t="str">
        <f>IF(Table2[[#This Row],[!Type]]=N$1, N$1,"rg:None")</f>
        <v>rg:None</v>
      </c>
      <c r="O147" s="10" t="str">
        <f>IF(Table2[[#This Row],[!Type]]=O$1, O$1,"rg:None")</f>
        <v>rg:None</v>
      </c>
      <c r="P147" s="5" t="str">
        <f>IF(Table2[[#This Row],[!Type]]=P$1, P$1,"rg:None")</f>
        <v>rg:None</v>
      </c>
      <c r="Q147" s="5" t="str">
        <f>IF(Table2[[#This Row],[!Type]]=Q$1, Q$1,"rg:None")</f>
        <v>rg:None</v>
      </c>
      <c r="R147" s="5" t="str">
        <f>IF(Table2[[#This Row],[!Type]]=R$1, R$1,"rg:None")</f>
        <v>rg:None</v>
      </c>
      <c r="S147" s="5" t="str">
        <f>IF(Table2[[#This Row],[!Type]]=S$1, S$1,"rg:None")</f>
        <v>table</v>
      </c>
      <c r="T147" s="10" t="str">
        <f>IF(LEN(Table2[[#This Row],[!Length]]) &gt; 0, Table2[[#This Row],[!Length]], "rg:None")</f>
        <v>rg:None</v>
      </c>
      <c r="U147" s="10" t="str">
        <f>IF(LEN(Table2[[#This Row],[!Name]]) &gt; 0, Table2[[#This Row],[!Name]], "rg:None")</f>
        <v>ServiceArea</v>
      </c>
      <c r="V147" s="10" t="str">
        <f>IF(LEN(Table2[[#This Row],[!Description]]) &gt; 0, Table2[[#This Row],[!Description]], "rg:None")</f>
        <v>The MOTI-defined Service Areas - must match the official MOTI List</v>
      </c>
      <c r="W147" s="10" t="str">
        <f>IF(LEN(Table2[[#This Row],[!FK]])&gt;0,Table2[[#This Row],[!FK]],"rg:None")</f>
        <v>rg:None</v>
      </c>
      <c r="X147" s="10" t="str">
        <f>IF(LEN(concatif2(A:A,Table2[[#This Row],[!Table]],G:G,"Y",D:D,",")) &gt; 0,"rg:[ { 'req' : '"&amp;concatif2(A:A,Table2[[#This Row],[!Table]],G:G,"Y",D:D,"' }, { 'req': '")&amp;"'} ]","rg:[]")</f>
        <v>rg:[ { 'req' : 'id' }, { 'req': 'ministryServiceAreaID' }, { 'req': 'name'} ]</v>
      </c>
      <c r="Y147" s="10" t="str">
        <f>IF(LEN(Table2[[#This Row],[!Unique]])&gt;0,"rg:True","rg:None")</f>
        <v>rg:None</v>
      </c>
    </row>
    <row r="148" spans="1:25" x14ac:dyDescent="0.3">
      <c r="A148" s="3" t="s">
        <v>16</v>
      </c>
      <c r="B148" s="3" t="s">
        <v>7</v>
      </c>
      <c r="C148" s="3"/>
      <c r="D148" s="3" t="s">
        <v>7</v>
      </c>
      <c r="E148" s="27" t="s">
        <v>283</v>
      </c>
      <c r="F148" s="3" t="s">
        <v>6</v>
      </c>
      <c r="G148" s="4" t="s">
        <v>136</v>
      </c>
      <c r="H148" s="45" t="s">
        <v>136</v>
      </c>
      <c r="I148" s="5" t="str">
        <f t="shared" si="3"/>
        <v>Defs</v>
      </c>
      <c r="J148" t="str">
        <f>IF(Table2[[#This Row],[!Type]]=J$1, J$1,"rg:None")</f>
        <v>rg:None</v>
      </c>
      <c r="K148" t="str">
        <f>IF(Table2[[#This Row],[!Type]]=K$1, K$1,"rg:None")</f>
        <v>rg:None</v>
      </c>
      <c r="L148" t="str">
        <f>IF(Table2[[#This Row],[!Type]]=L$1, L$1,"rg:None")</f>
        <v>rg:None</v>
      </c>
      <c r="M148" t="str">
        <f>IF(Table2[[#This Row],[!Type]]=M$1, M$1,"rg:None")</f>
        <v>id</v>
      </c>
      <c r="N148" s="10" t="str">
        <f>IF(Table2[[#This Row],[!Type]]=N$1, N$1,"rg:None")</f>
        <v>rg:None</v>
      </c>
      <c r="O148" s="10" t="str">
        <f>IF(Table2[[#This Row],[!Type]]=O$1, O$1,"rg:None")</f>
        <v>rg:None</v>
      </c>
      <c r="P148" s="5" t="str">
        <f>IF(Table2[[#This Row],[!Type]]=P$1, P$1,"rg:None")</f>
        <v>rg:None</v>
      </c>
      <c r="Q148" s="5" t="str">
        <f>IF(Table2[[#This Row],[!Type]]=Q$1, Q$1,"rg:None")</f>
        <v>rg:None</v>
      </c>
      <c r="R148" s="5" t="str">
        <f>IF(Table2[[#This Row],[!Type]]=R$1, R$1,"rg:None")</f>
        <v>rg:None</v>
      </c>
      <c r="S148" s="5" t="str">
        <f>IF(Table2[[#This Row],[!Type]]=S$1, S$1,"rg:None")</f>
        <v>rg:None</v>
      </c>
      <c r="T148" s="10" t="str">
        <f>IF(LEN(Table2[[#This Row],[!Length]]) &gt; 0, Table2[[#This Row],[!Length]], "rg:None")</f>
        <v>rg:None</v>
      </c>
      <c r="U148" s="10" t="str">
        <f>IF(LEN(Table2[[#This Row],[!Name]]) &gt; 0, Table2[[#This Row],[!Name]], "rg:None")</f>
        <v>id</v>
      </c>
      <c r="V148" s="10" t="str">
        <f>IF(LEN(Table2[[#This Row],[!Description]]) &gt; 0, Table2[[#This Row],[!Description]], "rg:None")</f>
        <v>A system-generated unique identifier for a ServiceArea</v>
      </c>
      <c r="W148" s="10" t="str">
        <f>IF(LEN(Table2[[#This Row],[!FK]])&gt;0,Table2[[#This Row],[!FK]],"rg:None")</f>
        <v>rg:None</v>
      </c>
      <c r="X148" s="10" t="str">
        <f>IF(LEN(concatif2(A:A,Table2[[#This Row],[!Table]],G:G,"Y",D:D,",")) &gt; 0,"rg:[ { 'req' : '"&amp;concatif2(A:A,Table2[[#This Row],[!Table]],G:G,"Y",D:D,"' }, { 'req': '")&amp;"'} ]","rg:[]")</f>
        <v>rg:[ { 'req' : 'id' }, { 'req': 'ministryServiceAreaID' }, { 'req': 'name'} ]</v>
      </c>
      <c r="Y148" s="10" t="str">
        <f>IF(LEN(Table2[[#This Row],[!Unique]])&gt;0,"rg:True","rg:None")</f>
        <v>rg:True</v>
      </c>
    </row>
    <row r="149" spans="1:25" x14ac:dyDescent="0.3">
      <c r="A149" s="3" t="s">
        <v>16</v>
      </c>
      <c r="B149" s="3" t="s">
        <v>33</v>
      </c>
      <c r="C149" s="3"/>
      <c r="D149" s="3" t="s">
        <v>93</v>
      </c>
      <c r="E149" s="27" t="s">
        <v>94</v>
      </c>
      <c r="F149" s="3" t="s">
        <v>6</v>
      </c>
      <c r="G149" s="45" t="s">
        <v>136</v>
      </c>
      <c r="H149" s="4"/>
      <c r="I149" s="5" t="str">
        <f t="shared" si="3"/>
        <v>Defs</v>
      </c>
      <c r="J149" t="str">
        <f>IF(Table2[[#This Row],[!Type]]=J$1, J$1,"rg:None")</f>
        <v>rg:None</v>
      </c>
      <c r="K149" t="str">
        <f>IF(Table2[[#This Row],[!Type]]=K$1, K$1,"rg:None")</f>
        <v>rg:None</v>
      </c>
      <c r="L149" t="str">
        <f>IF(Table2[[#This Row],[!Type]]=L$1, L$1,"rg:None")</f>
        <v>rg:None</v>
      </c>
      <c r="M149" t="str">
        <f>IF(Table2[[#This Row],[!Type]]=M$1, M$1,"rg:None")</f>
        <v>rg:None</v>
      </c>
      <c r="N149" s="10" t="str">
        <f>IF(Table2[[#This Row],[!Type]]=N$1, N$1,"rg:None")</f>
        <v>integer</v>
      </c>
      <c r="O149" s="10" t="str">
        <f>IF(Table2[[#This Row],[!Type]]=O$1, O$1,"rg:None")</f>
        <v>rg:None</v>
      </c>
      <c r="P149" s="5" t="str">
        <f>IF(Table2[[#This Row],[!Type]]=P$1, P$1,"rg:None")</f>
        <v>rg:None</v>
      </c>
      <c r="Q149" s="5" t="str">
        <f>IF(Table2[[#This Row],[!Type]]=Q$1, Q$1,"rg:None")</f>
        <v>rg:None</v>
      </c>
      <c r="R149" s="5" t="str">
        <f>IF(Table2[[#This Row],[!Type]]=R$1, R$1,"rg:None")</f>
        <v>rg:None</v>
      </c>
      <c r="S149" s="5" t="str">
        <f>IF(Table2[[#This Row],[!Type]]=S$1, S$1,"rg:None")</f>
        <v>rg:None</v>
      </c>
      <c r="T149" s="10" t="str">
        <f>IF(LEN(Table2[[#This Row],[!Length]]) &gt; 0, Table2[[#This Row],[!Length]], "rg:None")</f>
        <v>rg:None</v>
      </c>
      <c r="U149" s="10" t="str">
        <f>IF(LEN(Table2[[#This Row],[!Name]]) &gt; 0, Table2[[#This Row],[!Name]], "rg:None")</f>
        <v>ministryServiceAreaID</v>
      </c>
      <c r="V149" s="10" t="str">
        <f>IF(LEN(Table2[[#This Row],[!Description]]) &gt; 0, Table2[[#This Row],[!Description]], "rg:None")</f>
        <v>The Ministry ID for the Service Area</v>
      </c>
      <c r="W149" s="10" t="str">
        <f>IF(LEN(Table2[[#This Row],[!FK]])&gt;0,Table2[[#This Row],[!FK]],"rg:None")</f>
        <v>rg:None</v>
      </c>
      <c r="X149" s="10" t="str">
        <f>IF(LEN(concatif2(A:A,Table2[[#This Row],[!Table]],G:G,"Y",D:D,",")) &gt; 0,"rg:[ { 'req' : '"&amp;concatif2(A:A,Table2[[#This Row],[!Table]],G:G,"Y",D:D,"' }, { 'req': '")&amp;"'} ]","rg:[]")</f>
        <v>rg:[ { 'req' : 'id' }, { 'req': 'ministryServiceAreaID' }, { 'req': 'name'} ]</v>
      </c>
      <c r="Y149" s="10" t="str">
        <f>IF(LEN(Table2[[#This Row],[!Unique]])&gt;0,"rg:True","rg:None")</f>
        <v>rg:None</v>
      </c>
    </row>
    <row r="150" spans="1:25" x14ac:dyDescent="0.3">
      <c r="A150" s="3" t="s">
        <v>16</v>
      </c>
      <c r="B150" s="3" t="s">
        <v>8</v>
      </c>
      <c r="C150" s="3">
        <v>255</v>
      </c>
      <c r="D150" s="3" t="s">
        <v>42</v>
      </c>
      <c r="E150" s="27" t="s">
        <v>95</v>
      </c>
      <c r="F150" s="3" t="s">
        <v>6</v>
      </c>
      <c r="G150" s="45" t="s">
        <v>136</v>
      </c>
      <c r="H150" s="4"/>
      <c r="I150" s="5" t="str">
        <f t="shared" si="3"/>
        <v>Defs</v>
      </c>
      <c r="J150" t="str">
        <f>IF(Table2[[#This Row],[!Type]]=J$1, J$1,"rg:None")</f>
        <v>rg:None</v>
      </c>
      <c r="K150" t="str">
        <f>IF(Table2[[#This Row],[!Type]]=K$1, K$1,"rg:None")</f>
        <v>rg:None</v>
      </c>
      <c r="L150" t="str">
        <f>IF(Table2[[#This Row],[!Type]]=L$1, L$1,"rg:None")</f>
        <v>rg:None</v>
      </c>
      <c r="M150" t="str">
        <f>IF(Table2[[#This Row],[!Type]]=M$1, M$1,"rg:None")</f>
        <v>rg:None</v>
      </c>
      <c r="N150" s="10" t="str">
        <f>IF(Table2[[#This Row],[!Type]]=N$1, N$1,"rg:None")</f>
        <v>rg:None</v>
      </c>
      <c r="O150" s="10" t="str">
        <f>IF(Table2[[#This Row],[!Type]]=O$1, O$1,"rg:None")</f>
        <v>rg:None</v>
      </c>
      <c r="P150" s="5" t="str">
        <f>IF(Table2[[#This Row],[!Type]]=P$1, P$1,"rg:None")</f>
        <v>rg:None</v>
      </c>
      <c r="Q150" s="5" t="str">
        <f>IF(Table2[[#This Row],[!Type]]=Q$1, Q$1,"rg:None")</f>
        <v>rg:None</v>
      </c>
      <c r="R150" s="5" t="str">
        <f>IF(Table2[[#This Row],[!Type]]=R$1, R$1,"rg:None")</f>
        <v>string</v>
      </c>
      <c r="S150" s="5" t="str">
        <f>IF(Table2[[#This Row],[!Type]]=S$1, S$1,"rg:None")</f>
        <v>rg:None</v>
      </c>
      <c r="T150" s="10">
        <f>IF(LEN(Table2[[#This Row],[!Length]]) &gt; 0, Table2[[#This Row],[!Length]], "rg:None")</f>
        <v>255</v>
      </c>
      <c r="U150" s="10" t="str">
        <f>IF(LEN(Table2[[#This Row],[!Name]]) &gt; 0, Table2[[#This Row],[!Name]], "rg:None")</f>
        <v>name</v>
      </c>
      <c r="V150" s="10" t="str">
        <f>IF(LEN(Table2[[#This Row],[!Description]]) &gt; 0, Table2[[#This Row],[!Description]], "rg:None")</f>
        <v>The name of the Service Area</v>
      </c>
      <c r="W150" s="10" t="str">
        <f>IF(LEN(Table2[[#This Row],[!FK]])&gt;0,Table2[[#This Row],[!FK]],"rg:None")</f>
        <v>rg:None</v>
      </c>
      <c r="X150" s="10" t="str">
        <f>IF(LEN(concatif2(A:A,Table2[[#This Row],[!Table]],G:G,"Y",D:D,",")) &gt; 0,"rg:[ { 'req' : '"&amp;concatif2(A:A,Table2[[#This Row],[!Table]],G:G,"Y",D:D,"' }, { 'req': '")&amp;"'} ]","rg:[]")</f>
        <v>rg:[ { 'req' : 'id' }, { 'req': 'ministryServiceAreaID' }, { 'req': 'name'} ]</v>
      </c>
      <c r="Y150" s="10" t="str">
        <f>IF(LEN(Table2[[#This Row],[!Unique]])&gt;0,"rg:True","rg:None")</f>
        <v>rg:None</v>
      </c>
    </row>
    <row r="151" spans="1:25" x14ac:dyDescent="0.3">
      <c r="A151" s="3" t="s">
        <v>16</v>
      </c>
      <c r="B151" s="3" t="s">
        <v>9</v>
      </c>
      <c r="C151" s="3"/>
      <c r="D151" s="3" t="s">
        <v>96</v>
      </c>
      <c r="E151" s="27" t="s">
        <v>97</v>
      </c>
      <c r="F151" s="3" t="s">
        <v>87</v>
      </c>
      <c r="G151" s="4"/>
      <c r="H151" s="4"/>
      <c r="I151" s="5" t="str">
        <f t="shared" si="3"/>
        <v>Defs</v>
      </c>
      <c r="J151" t="str">
        <f>IF(Table2[[#This Row],[!Type]]=J$1, J$1,"rg:None")</f>
        <v>rg:None</v>
      </c>
      <c r="K151" t="str">
        <f>IF(Table2[[#This Row],[!Type]]=K$1, K$1,"rg:None")</f>
        <v>rg:None</v>
      </c>
      <c r="L151" t="str">
        <f>IF(Table2[[#This Row],[!Type]]=L$1, L$1,"rg:None")</f>
        <v>rg:None</v>
      </c>
      <c r="M151" t="str">
        <f>IF(Table2[[#This Row],[!Type]]=M$1, M$1,"rg:None")</f>
        <v>rg:None</v>
      </c>
      <c r="N151" s="10" t="str">
        <f>IF(Table2[[#This Row],[!Type]]=N$1, N$1,"rg:None")</f>
        <v>rg:None</v>
      </c>
      <c r="O151" s="10" t="str">
        <f>IF(Table2[[#This Row],[!Type]]=O$1, O$1,"rg:None")</f>
        <v>rg:None</v>
      </c>
      <c r="P151" s="5" t="str">
        <f>IF(Table2[[#This Row],[!Type]]=P$1, P$1,"rg:None")</f>
        <v>rg:None</v>
      </c>
      <c r="Q151" s="5" t="str">
        <f>IF(Table2[[#This Row],[!Type]]=Q$1, Q$1,"rg:None")</f>
        <v>ref</v>
      </c>
      <c r="R151" s="5" t="str">
        <f>IF(Table2[[#This Row],[!Type]]=R$1, R$1,"rg:None")</f>
        <v>rg:None</v>
      </c>
      <c r="S151" s="5" t="str">
        <f>IF(Table2[[#This Row],[!Type]]=S$1, S$1,"rg:None")</f>
        <v>rg:None</v>
      </c>
      <c r="T151" s="10" t="str">
        <f>IF(LEN(Table2[[#This Row],[!Length]]) &gt; 0, Table2[[#This Row],[!Length]], "rg:None")</f>
        <v>rg:None</v>
      </c>
      <c r="U151" s="10" t="str">
        <f>IF(LEN(Table2[[#This Row],[!Name]]) &gt; 0, Table2[[#This Row],[!Name]], "rg:None")</f>
        <v>district</v>
      </c>
      <c r="V151" s="10" t="str">
        <f>IF(LEN(Table2[[#This Row],[!Description]]) &gt; 0, Table2[[#This Row],[!Description]], "rg:None")</f>
        <v>The district in which the Service Area is found.</v>
      </c>
      <c r="W151" s="10" t="str">
        <f>IF(LEN(Table2[[#This Row],[!FK]])&gt;0,Table2[[#This Row],[!FK]],"rg:None")</f>
        <v>District</v>
      </c>
      <c r="X151" s="10" t="str">
        <f>IF(LEN(concatif2(A:A,Table2[[#This Row],[!Table]],G:G,"Y",D:D,",")) &gt; 0,"rg:[ { 'req' : '"&amp;concatif2(A:A,Table2[[#This Row],[!Table]],G:G,"Y",D:D,"' }, { 'req': '")&amp;"'} ]","rg:[]")</f>
        <v>rg:[ { 'req' : 'id' }, { 'req': 'ministryServiceAreaID' }, { 'req': 'name'} ]</v>
      </c>
      <c r="Y151" s="10" t="str">
        <f>IF(LEN(Table2[[#This Row],[!Unique]])&gt;0,"rg:True","rg:None")</f>
        <v>rg:None</v>
      </c>
    </row>
    <row r="152" spans="1:25" x14ac:dyDescent="0.3">
      <c r="A152" s="3" t="s">
        <v>16</v>
      </c>
      <c r="B152" s="3" t="s">
        <v>25</v>
      </c>
      <c r="C152" s="3"/>
      <c r="D152" s="3" t="s">
        <v>85</v>
      </c>
      <c r="E152" s="43" t="s">
        <v>347</v>
      </c>
      <c r="F152" s="3" t="s">
        <v>6</v>
      </c>
      <c r="G152" s="4"/>
      <c r="H152" s="4"/>
      <c r="I152" s="5" t="str">
        <f t="shared" si="3"/>
        <v>Defs</v>
      </c>
      <c r="J152" t="str">
        <f>IF(Table2[[#This Row],[!Type]]=J$1, J$1,"rg:None")</f>
        <v>rg:None</v>
      </c>
      <c r="K152" t="str">
        <f>IF(Table2[[#This Row],[!Type]]=K$1, K$1,"rg:None")</f>
        <v>rg:None</v>
      </c>
      <c r="L152" t="str">
        <f>IF(Table2[[#This Row],[!Type]]=L$1, L$1,"rg:None")</f>
        <v>datetime</v>
      </c>
      <c r="M152" t="str">
        <f>IF(Table2[[#This Row],[!Type]]=M$1, M$1,"rg:None")</f>
        <v>rg:None</v>
      </c>
      <c r="N152" s="10" t="str">
        <f>IF(Table2[[#This Row],[!Type]]=N$1, N$1,"rg:None")</f>
        <v>rg:None</v>
      </c>
      <c r="O152" s="10" t="str">
        <f>IF(Table2[[#This Row],[!Type]]=O$1, O$1,"rg:None")</f>
        <v>rg:None</v>
      </c>
      <c r="P152" s="5" t="str">
        <f>IF(Table2[[#This Row],[!Type]]=P$1, P$1,"rg:None")</f>
        <v>rg:None</v>
      </c>
      <c r="Q152" s="5" t="str">
        <f>IF(Table2[[#This Row],[!Type]]=Q$1, Q$1,"rg:None")</f>
        <v>rg:None</v>
      </c>
      <c r="R152" s="5" t="str">
        <f>IF(Table2[[#This Row],[!Type]]=R$1, R$1,"rg:None")</f>
        <v>rg:None</v>
      </c>
      <c r="S152" s="5" t="str">
        <f>IF(Table2[[#This Row],[!Type]]=S$1, S$1,"rg:None")</f>
        <v>rg:None</v>
      </c>
      <c r="T152" s="10" t="str">
        <f>IF(LEN(Table2[[#This Row],[!Length]]) &gt; 0, Table2[[#This Row],[!Length]], "rg:None")</f>
        <v>rg:None</v>
      </c>
      <c r="U152" s="10" t="str">
        <f>IF(LEN(Table2[[#This Row],[!Name]]) &gt; 0, Table2[[#This Row],[!Name]], "rg:None")</f>
        <v>startDate</v>
      </c>
      <c r="V152" s="10" t="str">
        <f>IF(LEN(Table2[[#This Row],[!Description]]) &gt; 0, Table2[[#This Row],[!Description]], "rg:None")</f>
        <v>The effective date of the Service Area record - NOT CURRENTLY ENFORCED IN SCHOOL BUS</v>
      </c>
      <c r="W152" s="10" t="str">
        <f>IF(LEN(Table2[[#This Row],[!FK]])&gt;0,Table2[[#This Row],[!FK]],"rg:None")</f>
        <v>rg:None</v>
      </c>
      <c r="X152" s="10" t="str">
        <f>IF(LEN(concatif2(A:A,Table2[[#This Row],[!Table]],G:G,"Y",D:D,",")) &gt; 0,"rg:[ { 'req' : '"&amp;concatif2(A:A,Table2[[#This Row],[!Table]],G:G,"Y",D:D,"' }, { 'req': '")&amp;"'} ]","rg:[]")</f>
        <v>rg:[ { 'req' : 'id' }, { 'req': 'ministryServiceAreaID' }, { 'req': 'name'} ]</v>
      </c>
      <c r="Y152" s="10" t="str">
        <f>IF(LEN(Table2[[#This Row],[!Unique]])&gt;0,"rg:True","rg:None")</f>
        <v>rg:None</v>
      </c>
    </row>
    <row r="153" spans="1:25" x14ac:dyDescent="0.3">
      <c r="A153" s="3" t="s">
        <v>16</v>
      </c>
      <c r="B153" s="3" t="s">
        <v>25</v>
      </c>
      <c r="C153" s="3"/>
      <c r="D153" s="3" t="s">
        <v>86</v>
      </c>
      <c r="E153" s="43" t="s">
        <v>348</v>
      </c>
      <c r="F153" s="3" t="s">
        <v>6</v>
      </c>
      <c r="G153" s="4"/>
      <c r="H153" s="4"/>
      <c r="I153" s="5" t="str">
        <f t="shared" si="3"/>
        <v>Defs</v>
      </c>
      <c r="J153" t="str">
        <f>IF(Table2[[#This Row],[!Type]]=J$1, J$1,"rg:None")</f>
        <v>rg:None</v>
      </c>
      <c r="K153" t="str">
        <f>IF(Table2[[#This Row],[!Type]]=K$1, K$1,"rg:None")</f>
        <v>rg:None</v>
      </c>
      <c r="L153" t="str">
        <f>IF(Table2[[#This Row],[!Type]]=L$1, L$1,"rg:None")</f>
        <v>datetime</v>
      </c>
      <c r="M153" t="str">
        <f>IF(Table2[[#This Row],[!Type]]=M$1, M$1,"rg:None")</f>
        <v>rg:None</v>
      </c>
      <c r="N153" s="10" t="str">
        <f>IF(Table2[[#This Row],[!Type]]=N$1, N$1,"rg:None")</f>
        <v>rg:None</v>
      </c>
      <c r="O153" s="10" t="str">
        <f>IF(Table2[[#This Row],[!Type]]=O$1, O$1,"rg:None")</f>
        <v>rg:None</v>
      </c>
      <c r="P153" s="5" t="str">
        <f>IF(Table2[[#This Row],[!Type]]=P$1, P$1,"rg:None")</f>
        <v>rg:None</v>
      </c>
      <c r="Q153" s="5" t="str">
        <f>IF(Table2[[#This Row],[!Type]]=Q$1, Q$1,"rg:None")</f>
        <v>rg:None</v>
      </c>
      <c r="R153" s="5" t="str">
        <f>IF(Table2[[#This Row],[!Type]]=R$1, R$1,"rg:None")</f>
        <v>rg:None</v>
      </c>
      <c r="S153" s="5" t="str">
        <f>IF(Table2[[#This Row],[!Type]]=S$1, S$1,"rg:None")</f>
        <v>rg:None</v>
      </c>
      <c r="T153" s="10" t="str">
        <f>IF(LEN(Table2[[#This Row],[!Length]]) &gt; 0, Table2[[#This Row],[!Length]], "rg:None")</f>
        <v>rg:None</v>
      </c>
      <c r="U153" s="10" t="str">
        <f>IF(LEN(Table2[[#This Row],[!Name]]) &gt; 0, Table2[[#This Row],[!Name]], "rg:None")</f>
        <v>endDate</v>
      </c>
      <c r="V153" s="10" t="str">
        <f>IF(LEN(Table2[[#This Row],[!Description]]) &gt; 0, Table2[[#This Row],[!Description]], "rg:None")</f>
        <v>The end date of the Service Area record; null if active - NOT CURRENTLY ENFORCED IN SCHOOL BUS</v>
      </c>
      <c r="W153" s="10" t="str">
        <f>IF(LEN(Table2[[#This Row],[!FK]])&gt;0,Table2[[#This Row],[!FK]],"rg:None")</f>
        <v>rg:None</v>
      </c>
      <c r="X153" s="10" t="str">
        <f>IF(LEN(concatif2(A:A,Table2[[#This Row],[!Table]],G:G,"Y",D:D,",")) &gt; 0,"rg:[ { 'req' : '"&amp;concatif2(A:A,Table2[[#This Row],[!Table]],G:G,"Y",D:D,"' }, { 'req': '")&amp;"'} ]","rg:[]")</f>
        <v>rg:[ { 'req' : 'id' }, { 'req': 'ministryServiceAreaID' }, { 'req': 'name'} ]</v>
      </c>
      <c r="Y153" s="10" t="str">
        <f>IF(LEN(Table2[[#This Row],[!Unique]])&gt;0,"rg:True","rg:None")</f>
        <v>rg:None</v>
      </c>
    </row>
    <row r="154" spans="1:25" x14ac:dyDescent="0.3">
      <c r="A154" s="3" t="s">
        <v>28</v>
      </c>
      <c r="B154" s="3" t="s">
        <v>5</v>
      </c>
      <c r="C154" s="3"/>
      <c r="D154" s="3" t="s">
        <v>28</v>
      </c>
      <c r="E154" s="29" t="s">
        <v>223</v>
      </c>
      <c r="F154" s="3" t="s">
        <v>6</v>
      </c>
      <c r="G154" s="4"/>
      <c r="H154" s="4"/>
      <c r="I154" s="5" t="str">
        <f t="shared" si="3"/>
        <v>Defs</v>
      </c>
      <c r="J154" t="str">
        <f>IF(Table2[[#This Row],[!Type]]=J$1, J$1,"rg:None")</f>
        <v>rg:None</v>
      </c>
      <c r="K154" t="str">
        <f>IF(Table2[[#This Row],[!Type]]=K$1, K$1,"rg:None")</f>
        <v>rg:None</v>
      </c>
      <c r="L154" t="str">
        <f>IF(Table2[[#This Row],[!Type]]=L$1, L$1,"rg:None")</f>
        <v>rg:None</v>
      </c>
      <c r="M154" t="str">
        <f>IF(Table2[[#This Row],[!Type]]=M$1, M$1,"rg:None")</f>
        <v>rg:None</v>
      </c>
      <c r="N154" s="10" t="str">
        <f>IF(Table2[[#This Row],[!Type]]=N$1, N$1,"rg:None")</f>
        <v>rg:None</v>
      </c>
      <c r="O154" s="10" t="str">
        <f>IF(Table2[[#This Row],[!Type]]=O$1, O$1,"rg:None")</f>
        <v>rg:None</v>
      </c>
      <c r="P154" s="5" t="str">
        <f>IF(Table2[[#This Row],[!Type]]=P$1, P$1,"rg:None")</f>
        <v>rg:None</v>
      </c>
      <c r="Q154" s="5" t="str">
        <f>IF(Table2[[#This Row],[!Type]]=Q$1, Q$1,"rg:None")</f>
        <v>rg:None</v>
      </c>
      <c r="R154" s="5" t="str">
        <f>IF(Table2[[#This Row],[!Type]]=R$1, R$1,"rg:None")</f>
        <v>rg:None</v>
      </c>
      <c r="S154" s="5" t="str">
        <f>IF(Table2[[#This Row],[!Type]]=S$1, S$1,"rg:None")</f>
        <v>table</v>
      </c>
      <c r="T154" s="10" t="str">
        <f>IF(LEN(Table2[[#This Row],[!Length]]) &gt; 0, Table2[[#This Row],[!Length]], "rg:None")</f>
        <v>rg:None</v>
      </c>
      <c r="U154" s="10" t="str">
        <f>IF(LEN(Table2[[#This Row],[!Name]]) &gt; 0, Table2[[#This Row],[!Name]], "rg:None")</f>
        <v>SchoolDistrict</v>
      </c>
      <c r="V154" s="10" t="str">
        <f>IF(LEN(Table2[[#This Row],[!Description]]) &gt; 0, Table2[[#This Row],[!Description]], "rg:None")</f>
        <v>A list of School Districts in the Province of BC. Authoritative source to be determined.</v>
      </c>
      <c r="W154" s="10" t="str">
        <f>IF(LEN(Table2[[#This Row],[!FK]])&gt;0,Table2[[#This Row],[!FK]],"rg:None")</f>
        <v>rg:None</v>
      </c>
      <c r="X154" s="10" t="str">
        <f>IF(LEN(concatif2(A:A,Table2[[#This Row],[!Table]],G:G,"Y",D:D,",")) &gt; 0,"rg:[ { 'req' : '"&amp;concatif2(A:A,Table2[[#This Row],[!Table]],G:G,"Y",D:D,"' }, { 'req': '")&amp;"'} ]","rg:[]")</f>
        <v>rg:[ { 'req' : 'id' }, { 'req': 'name' }, { 'req': 'shortName'} ]</v>
      </c>
      <c r="Y154" s="10" t="str">
        <f>IF(LEN(Table2[[#This Row],[!Unique]])&gt;0,"rg:True","rg:None")</f>
        <v>rg:None</v>
      </c>
    </row>
    <row r="155" spans="1:25" x14ac:dyDescent="0.3">
      <c r="A155" s="3" t="s">
        <v>28</v>
      </c>
      <c r="B155" s="3" t="s">
        <v>7</v>
      </c>
      <c r="C155" s="3"/>
      <c r="D155" s="3" t="s">
        <v>7</v>
      </c>
      <c r="E155" s="27" t="s">
        <v>284</v>
      </c>
      <c r="F155" s="3" t="s">
        <v>6</v>
      </c>
      <c r="G155" s="4" t="s">
        <v>136</v>
      </c>
      <c r="H155" s="45" t="s">
        <v>136</v>
      </c>
      <c r="I155" s="5" t="str">
        <f t="shared" si="3"/>
        <v>Defs</v>
      </c>
      <c r="J155" t="str">
        <f>IF(Table2[[#This Row],[!Type]]=J$1, J$1,"rg:None")</f>
        <v>rg:None</v>
      </c>
      <c r="K155" t="str">
        <f>IF(Table2[[#This Row],[!Type]]=K$1, K$1,"rg:None")</f>
        <v>rg:None</v>
      </c>
      <c r="L155" t="str">
        <f>IF(Table2[[#This Row],[!Type]]=L$1, L$1,"rg:None")</f>
        <v>rg:None</v>
      </c>
      <c r="M155" t="str">
        <f>IF(Table2[[#This Row],[!Type]]=M$1, M$1,"rg:None")</f>
        <v>id</v>
      </c>
      <c r="N155" s="10" t="str">
        <f>IF(Table2[[#This Row],[!Type]]=N$1, N$1,"rg:None")</f>
        <v>rg:None</v>
      </c>
      <c r="O155" s="10" t="str">
        <f>IF(Table2[[#This Row],[!Type]]=O$1, O$1,"rg:None")</f>
        <v>rg:None</v>
      </c>
      <c r="P155" s="5" t="str">
        <f>IF(Table2[[#This Row],[!Type]]=P$1, P$1,"rg:None")</f>
        <v>rg:None</v>
      </c>
      <c r="Q155" s="5" t="str">
        <f>IF(Table2[[#This Row],[!Type]]=Q$1, Q$1,"rg:None")</f>
        <v>rg:None</v>
      </c>
      <c r="R155" s="5" t="str">
        <f>IF(Table2[[#This Row],[!Type]]=R$1, R$1,"rg:None")</f>
        <v>rg:None</v>
      </c>
      <c r="S155" s="5" t="str">
        <f>IF(Table2[[#This Row],[!Type]]=S$1, S$1,"rg:None")</f>
        <v>rg:None</v>
      </c>
      <c r="T155" s="10" t="str">
        <f>IF(LEN(Table2[[#This Row],[!Length]]) &gt; 0, Table2[[#This Row],[!Length]], "rg:None")</f>
        <v>rg:None</v>
      </c>
      <c r="U155" s="10" t="str">
        <f>IF(LEN(Table2[[#This Row],[!Name]]) &gt; 0, Table2[[#This Row],[!Name]], "rg:None")</f>
        <v>id</v>
      </c>
      <c r="V155" s="10" t="str">
        <f>IF(LEN(Table2[[#This Row],[!Description]]) &gt; 0, Table2[[#This Row],[!Description]], "rg:None")</f>
        <v>A system-generated unique identifier for a SchoolDistrict</v>
      </c>
      <c r="W155" s="10" t="str">
        <f>IF(LEN(Table2[[#This Row],[!FK]])&gt;0,Table2[[#This Row],[!FK]],"rg:None")</f>
        <v>rg:None</v>
      </c>
      <c r="X155" s="10" t="str">
        <f>IF(LEN(concatif2(A:A,Table2[[#This Row],[!Table]],G:G,"Y",D:D,",")) &gt; 0,"rg:[ { 'req' : '"&amp;concatif2(A:A,Table2[[#This Row],[!Table]],G:G,"Y",D:D,"' }, { 'req': '")&amp;"'} ]","rg:[]")</f>
        <v>rg:[ { 'req' : 'id' }, { 'req': 'name' }, { 'req': 'shortName'} ]</v>
      </c>
      <c r="Y155" s="10" t="str">
        <f>IF(LEN(Table2[[#This Row],[!Unique]])&gt;0,"rg:True","rg:None")</f>
        <v>rg:True</v>
      </c>
    </row>
    <row r="156" spans="1:25" x14ac:dyDescent="0.3">
      <c r="A156" s="3" t="s">
        <v>28</v>
      </c>
      <c r="B156" s="3" t="s">
        <v>8</v>
      </c>
      <c r="C156" s="3">
        <v>255</v>
      </c>
      <c r="D156" s="3" t="s">
        <v>42</v>
      </c>
      <c r="E156" s="27" t="s">
        <v>98</v>
      </c>
      <c r="F156" s="3" t="s">
        <v>6</v>
      </c>
      <c r="G156" s="45" t="s">
        <v>136</v>
      </c>
      <c r="H156" s="45" t="s">
        <v>136</v>
      </c>
      <c r="I156" s="5" t="str">
        <f t="shared" si="3"/>
        <v>Defs</v>
      </c>
      <c r="J156" t="str">
        <f>IF(Table2[[#This Row],[!Type]]=J$1, J$1,"rg:None")</f>
        <v>rg:None</v>
      </c>
      <c r="K156" t="str">
        <f>IF(Table2[[#This Row],[!Type]]=K$1, K$1,"rg:None")</f>
        <v>rg:None</v>
      </c>
      <c r="L156" t="str">
        <f>IF(Table2[[#This Row],[!Type]]=L$1, L$1,"rg:None")</f>
        <v>rg:None</v>
      </c>
      <c r="M156" t="str">
        <f>IF(Table2[[#This Row],[!Type]]=M$1, M$1,"rg:None")</f>
        <v>rg:None</v>
      </c>
      <c r="N156" s="10" t="str">
        <f>IF(Table2[[#This Row],[!Type]]=N$1, N$1,"rg:None")</f>
        <v>rg:None</v>
      </c>
      <c r="O156" s="10" t="str">
        <f>IF(Table2[[#This Row],[!Type]]=O$1, O$1,"rg:None")</f>
        <v>rg:None</v>
      </c>
      <c r="P156" s="5" t="str">
        <f>IF(Table2[[#This Row],[!Type]]=P$1, P$1,"rg:None")</f>
        <v>rg:None</v>
      </c>
      <c r="Q156" s="5" t="str">
        <f>IF(Table2[[#This Row],[!Type]]=Q$1, Q$1,"rg:None")</f>
        <v>rg:None</v>
      </c>
      <c r="R156" s="5" t="str">
        <f>IF(Table2[[#This Row],[!Type]]=R$1, R$1,"rg:None")</f>
        <v>string</v>
      </c>
      <c r="S156" s="5" t="str">
        <f>IF(Table2[[#This Row],[!Type]]=S$1, S$1,"rg:None")</f>
        <v>rg:None</v>
      </c>
      <c r="T156" s="10">
        <f>IF(LEN(Table2[[#This Row],[!Length]]) &gt; 0, Table2[[#This Row],[!Length]], "rg:None")</f>
        <v>255</v>
      </c>
      <c r="U156" s="10" t="str">
        <f>IF(LEN(Table2[[#This Row],[!Name]]) &gt; 0, Table2[[#This Row],[!Name]], "rg:None")</f>
        <v>name</v>
      </c>
      <c r="V156" s="10" t="str">
        <f>IF(LEN(Table2[[#This Row],[!Description]]) &gt; 0, Table2[[#This Row],[!Description]], "rg:None")</f>
        <v>The full name of the School District</v>
      </c>
      <c r="W156" s="10" t="str">
        <f>IF(LEN(Table2[[#This Row],[!FK]])&gt;0,Table2[[#This Row],[!FK]],"rg:None")</f>
        <v>rg:None</v>
      </c>
      <c r="X156" s="10" t="str">
        <f>IF(LEN(concatif2(A:A,Table2[[#This Row],[!Table]],G:G,"Y",D:D,",")) &gt; 0,"rg:[ { 'req' : '"&amp;concatif2(A:A,Table2[[#This Row],[!Table]],G:G,"Y",D:D,"' }, { 'req': '")&amp;"'} ]","rg:[]")</f>
        <v>rg:[ { 'req' : 'id' }, { 'req': 'name' }, { 'req': 'shortName'} ]</v>
      </c>
      <c r="Y156" s="10" t="str">
        <f>IF(LEN(Table2[[#This Row],[!Unique]])&gt;0,"rg:True","rg:None")</f>
        <v>rg:True</v>
      </c>
    </row>
    <row r="157" spans="1:25" x14ac:dyDescent="0.3">
      <c r="A157" s="3" t="s">
        <v>28</v>
      </c>
      <c r="B157" s="3" t="s">
        <v>8</v>
      </c>
      <c r="C157" s="3">
        <v>255</v>
      </c>
      <c r="D157" s="3" t="s">
        <v>99</v>
      </c>
      <c r="E157" s="27" t="s">
        <v>100</v>
      </c>
      <c r="F157" s="3" t="s">
        <v>6</v>
      </c>
      <c r="G157" s="45" t="s">
        <v>136</v>
      </c>
      <c r="H157" s="4"/>
      <c r="I157" s="5" t="str">
        <f t="shared" si="3"/>
        <v>Defs</v>
      </c>
      <c r="J157" t="str">
        <f>IF(Table2[[#This Row],[!Type]]=J$1, J$1,"rg:None")</f>
        <v>rg:None</v>
      </c>
      <c r="K157" t="str">
        <f>IF(Table2[[#This Row],[!Type]]=K$1, K$1,"rg:None")</f>
        <v>rg:None</v>
      </c>
      <c r="L157" t="str">
        <f>IF(Table2[[#This Row],[!Type]]=L$1, L$1,"rg:None")</f>
        <v>rg:None</v>
      </c>
      <c r="M157" t="str">
        <f>IF(Table2[[#This Row],[!Type]]=M$1, M$1,"rg:None")</f>
        <v>rg:None</v>
      </c>
      <c r="N157" s="10" t="str">
        <f>IF(Table2[[#This Row],[!Type]]=N$1, N$1,"rg:None")</f>
        <v>rg:None</v>
      </c>
      <c r="O157" s="10" t="str">
        <f>IF(Table2[[#This Row],[!Type]]=O$1, O$1,"rg:None")</f>
        <v>rg:None</v>
      </c>
      <c r="P157" s="5" t="str">
        <f>IF(Table2[[#This Row],[!Type]]=P$1, P$1,"rg:None")</f>
        <v>rg:None</v>
      </c>
      <c r="Q157" s="5" t="str">
        <f>IF(Table2[[#This Row],[!Type]]=Q$1, Q$1,"rg:None")</f>
        <v>rg:None</v>
      </c>
      <c r="R157" s="5" t="str">
        <f>IF(Table2[[#This Row],[!Type]]=R$1, R$1,"rg:None")</f>
        <v>string</v>
      </c>
      <c r="S157" s="5" t="str">
        <f>IF(Table2[[#This Row],[!Type]]=S$1, S$1,"rg:None")</f>
        <v>rg:None</v>
      </c>
      <c r="T157" s="10">
        <f>IF(LEN(Table2[[#This Row],[!Length]]) &gt; 0, Table2[[#This Row],[!Length]], "rg:None")</f>
        <v>255</v>
      </c>
      <c r="U157" s="10" t="str">
        <f>IF(LEN(Table2[[#This Row],[!Name]]) &gt; 0, Table2[[#This Row],[!Name]], "rg:None")</f>
        <v>shortName</v>
      </c>
      <c r="V157" s="10" t="str">
        <f>IF(LEN(Table2[[#This Row],[!Description]]) &gt; 0, Table2[[#This Row],[!Description]], "rg:None")</f>
        <v>A short name for the School District useful in some areas of the UI. Usually with format \&amp;quot;SD 61\&amp;quot;.</v>
      </c>
      <c r="W157" s="10" t="str">
        <f>IF(LEN(Table2[[#This Row],[!FK]])&gt;0,Table2[[#This Row],[!FK]],"rg:None")</f>
        <v>rg:None</v>
      </c>
      <c r="X157" s="10" t="str">
        <f>IF(LEN(concatif2(A:A,Table2[[#This Row],[!Table]],G:G,"Y",D:D,",")) &gt; 0,"rg:[ { 'req' : '"&amp;concatif2(A:A,Table2[[#This Row],[!Table]],G:G,"Y",D:D,"' }, { 'req': '")&amp;"'} ]","rg:[]")</f>
        <v>rg:[ { 'req' : 'id' }, { 'req': 'name' }, { 'req': 'shortName'} ]</v>
      </c>
      <c r="Y157" s="10" t="str">
        <f>IF(LEN(Table2[[#This Row],[!Unique]])&gt;0,"rg:True","rg:None")</f>
        <v>rg:None</v>
      </c>
    </row>
    <row r="158" spans="1:25" x14ac:dyDescent="0.3">
      <c r="A158" s="3" t="s">
        <v>19</v>
      </c>
      <c r="B158" s="3" t="s">
        <v>5</v>
      </c>
      <c r="C158" s="3"/>
      <c r="D158" s="3" t="s">
        <v>19</v>
      </c>
      <c r="E158" s="27" t="s">
        <v>174</v>
      </c>
      <c r="F158" s="3" t="s">
        <v>6</v>
      </c>
      <c r="G158" s="4"/>
      <c r="H158" s="4"/>
      <c r="I158" s="5" t="str">
        <f t="shared" si="3"/>
        <v>Defs</v>
      </c>
      <c r="J158" t="str">
        <f>IF(Table2[[#This Row],[!Type]]=J$1, J$1,"rg:None")</f>
        <v>rg:None</v>
      </c>
      <c r="K158" t="str">
        <f>IF(Table2[[#This Row],[!Type]]=K$1, K$1,"rg:None")</f>
        <v>rg:None</v>
      </c>
      <c r="L158" t="str">
        <f>IF(Table2[[#This Row],[!Type]]=L$1, L$1,"rg:None")</f>
        <v>rg:None</v>
      </c>
      <c r="M158" t="str">
        <f>IF(Table2[[#This Row],[!Type]]=M$1, M$1,"rg:None")</f>
        <v>rg:None</v>
      </c>
      <c r="N158" s="10" t="str">
        <f>IF(Table2[[#This Row],[!Type]]=N$1, N$1,"rg:None")</f>
        <v>rg:None</v>
      </c>
      <c r="O158" s="10" t="str">
        <f>IF(Table2[[#This Row],[!Type]]=O$1, O$1,"rg:None")</f>
        <v>rg:None</v>
      </c>
      <c r="P158" s="5" t="str">
        <f>IF(Table2[[#This Row],[!Type]]=P$1, P$1,"rg:None")</f>
        <v>rg:None</v>
      </c>
      <c r="Q158" s="5" t="str">
        <f>IF(Table2[[#This Row],[!Type]]=Q$1, Q$1,"rg:None")</f>
        <v>rg:None</v>
      </c>
      <c r="R158" s="5" t="str">
        <f>IF(Table2[[#This Row],[!Type]]=R$1, R$1,"rg:None")</f>
        <v>rg:None</v>
      </c>
      <c r="S158" s="5" t="str">
        <f>IF(Table2[[#This Row],[!Type]]=S$1, S$1,"rg:None")</f>
        <v>table</v>
      </c>
      <c r="T158" s="10" t="str">
        <f>IF(LEN(Table2[[#This Row],[!Length]]) &gt; 0, Table2[[#This Row],[!Length]], "rg:None")</f>
        <v>rg:None</v>
      </c>
      <c r="U158" s="10" t="str">
        <f>IF(LEN(Table2[[#This Row],[!Name]]) &gt; 0, Table2[[#This Row],[!Name]], "rg:None")</f>
        <v>City</v>
      </c>
      <c r="V158" s="10" t="str">
        <f>IF(LEN(Table2[[#This Row],[!Description]]) &gt; 0, Table2[[#This Row],[!Description]], "rg:None")</f>
        <v>A list of cities in BC. Authoritative source to be determined.</v>
      </c>
      <c r="W158" s="10" t="str">
        <f>IF(LEN(Table2[[#This Row],[!FK]])&gt;0,Table2[[#This Row],[!FK]],"rg:None")</f>
        <v>rg:None</v>
      </c>
      <c r="X158" s="10" t="str">
        <f>IF(LEN(concatif2(A:A,Table2[[#This Row],[!Table]],G:G,"Y",D:D,",")) &gt; 0,"rg:[ { 'req' : '"&amp;concatif2(A:A,Table2[[#This Row],[!Table]],G:G,"Y",D:D,"' }, { 'req': '")&amp;"'} ]","rg:[]")</f>
        <v>rg:[ { 'req' : 'id'} ]</v>
      </c>
      <c r="Y158" s="10" t="str">
        <f>IF(LEN(Table2[[#This Row],[!Unique]])&gt;0,"rg:True","rg:None")</f>
        <v>rg:None</v>
      </c>
    </row>
    <row r="159" spans="1:25" x14ac:dyDescent="0.3">
      <c r="A159" s="3" t="s">
        <v>19</v>
      </c>
      <c r="B159" s="3" t="s">
        <v>7</v>
      </c>
      <c r="C159" s="3"/>
      <c r="D159" s="3" t="s">
        <v>7</v>
      </c>
      <c r="E159" s="27" t="s">
        <v>285</v>
      </c>
      <c r="F159" s="3" t="s">
        <v>6</v>
      </c>
      <c r="G159" s="4" t="s">
        <v>136</v>
      </c>
      <c r="H159" s="45" t="s">
        <v>136</v>
      </c>
      <c r="I159" s="5" t="str">
        <f t="shared" si="3"/>
        <v>Defs</v>
      </c>
      <c r="J159" t="str">
        <f>IF(Table2[[#This Row],[!Type]]=J$1, J$1,"rg:None")</f>
        <v>rg:None</v>
      </c>
      <c r="K159" t="str">
        <f>IF(Table2[[#This Row],[!Type]]=K$1, K$1,"rg:None")</f>
        <v>rg:None</v>
      </c>
      <c r="L159" t="str">
        <f>IF(Table2[[#This Row],[!Type]]=L$1, L$1,"rg:None")</f>
        <v>rg:None</v>
      </c>
      <c r="M159" t="str">
        <f>IF(Table2[[#This Row],[!Type]]=M$1, M$1,"rg:None")</f>
        <v>id</v>
      </c>
      <c r="N159" s="10" t="str">
        <f>IF(Table2[[#This Row],[!Type]]=N$1, N$1,"rg:None")</f>
        <v>rg:None</v>
      </c>
      <c r="O159" s="10" t="str">
        <f>IF(Table2[[#This Row],[!Type]]=O$1, O$1,"rg:None")</f>
        <v>rg:None</v>
      </c>
      <c r="P159" s="5" t="str">
        <f>IF(Table2[[#This Row],[!Type]]=P$1, P$1,"rg:None")</f>
        <v>rg:None</v>
      </c>
      <c r="Q159" s="5" t="str">
        <f>IF(Table2[[#This Row],[!Type]]=Q$1, Q$1,"rg:None")</f>
        <v>rg:None</v>
      </c>
      <c r="R159" s="5" t="str">
        <f>IF(Table2[[#This Row],[!Type]]=R$1, R$1,"rg:None")</f>
        <v>rg:None</v>
      </c>
      <c r="S159" s="5" t="str">
        <f>IF(Table2[[#This Row],[!Type]]=S$1, S$1,"rg:None")</f>
        <v>rg:None</v>
      </c>
      <c r="T159" s="10" t="str">
        <f>IF(LEN(Table2[[#This Row],[!Length]]) &gt; 0, Table2[[#This Row],[!Length]], "rg:None")</f>
        <v>rg:None</v>
      </c>
      <c r="U159" s="10" t="str">
        <f>IF(LEN(Table2[[#This Row],[!Name]]) &gt; 0, Table2[[#This Row],[!Name]], "rg:None")</f>
        <v>id</v>
      </c>
      <c r="V159" s="10" t="str">
        <f>IF(LEN(Table2[[#This Row],[!Description]]) &gt; 0, Table2[[#This Row],[!Description]], "rg:None")</f>
        <v>A system-generated unique identifier for a City</v>
      </c>
      <c r="W159" s="10" t="str">
        <f>IF(LEN(Table2[[#This Row],[!FK]])&gt;0,Table2[[#This Row],[!FK]],"rg:None")</f>
        <v>rg:None</v>
      </c>
      <c r="X159" s="10" t="str">
        <f>IF(LEN(concatif2(A:A,Table2[[#This Row],[!Table]],G:G,"Y",D:D,",")) &gt; 0,"rg:[ { 'req' : '"&amp;concatif2(A:A,Table2[[#This Row],[!Table]],G:G,"Y",D:D,"' }, { 'req': '")&amp;"'} ]","rg:[]")</f>
        <v>rg:[ { 'req' : 'id'} ]</v>
      </c>
      <c r="Y159" s="10" t="str">
        <f>IF(LEN(Table2[[#This Row],[!Unique]])&gt;0,"rg:True","rg:None")</f>
        <v>rg:True</v>
      </c>
    </row>
    <row r="160" spans="1:25" x14ac:dyDescent="0.3">
      <c r="A160" s="3" t="s">
        <v>19</v>
      </c>
      <c r="B160" s="3" t="s">
        <v>8</v>
      </c>
      <c r="C160" s="3">
        <v>255</v>
      </c>
      <c r="D160" s="3" t="s">
        <v>42</v>
      </c>
      <c r="E160" s="27" t="s">
        <v>101</v>
      </c>
      <c r="F160" s="3" t="s">
        <v>6</v>
      </c>
      <c r="G160" s="4"/>
      <c r="H160" s="4"/>
      <c r="I160" s="5" t="str">
        <f t="shared" si="3"/>
        <v>Defs</v>
      </c>
      <c r="J160" t="str">
        <f>IF(Table2[[#This Row],[!Type]]=J$1, J$1,"rg:None")</f>
        <v>rg:None</v>
      </c>
      <c r="K160" t="str">
        <f>IF(Table2[[#This Row],[!Type]]=K$1, K$1,"rg:None")</f>
        <v>rg:None</v>
      </c>
      <c r="L160" t="str">
        <f>IF(Table2[[#This Row],[!Type]]=L$1, L$1,"rg:None")</f>
        <v>rg:None</v>
      </c>
      <c r="M160" t="str">
        <f>IF(Table2[[#This Row],[!Type]]=M$1, M$1,"rg:None")</f>
        <v>rg:None</v>
      </c>
      <c r="N160" s="10" t="str">
        <f>IF(Table2[[#This Row],[!Type]]=N$1, N$1,"rg:None")</f>
        <v>rg:None</v>
      </c>
      <c r="O160" s="10" t="str">
        <f>IF(Table2[[#This Row],[!Type]]=O$1, O$1,"rg:None")</f>
        <v>rg:None</v>
      </c>
      <c r="P160" s="5" t="str">
        <f>IF(Table2[[#This Row],[!Type]]=P$1, P$1,"rg:None")</f>
        <v>rg:None</v>
      </c>
      <c r="Q160" s="5" t="str">
        <f>IF(Table2[[#This Row],[!Type]]=Q$1, Q$1,"rg:None")</f>
        <v>rg:None</v>
      </c>
      <c r="R160" s="5" t="str">
        <f>IF(Table2[[#This Row],[!Type]]=R$1, R$1,"rg:None")</f>
        <v>string</v>
      </c>
      <c r="S160" s="5" t="str">
        <f>IF(Table2[[#This Row],[!Type]]=S$1, S$1,"rg:None")</f>
        <v>rg:None</v>
      </c>
      <c r="T160" s="10">
        <f>IF(LEN(Table2[[#This Row],[!Length]]) &gt; 0, Table2[[#This Row],[!Length]], "rg:None")</f>
        <v>255</v>
      </c>
      <c r="U160" s="10" t="str">
        <f>IF(LEN(Table2[[#This Row],[!Name]]) &gt; 0, Table2[[#This Row],[!Name]], "rg:None")</f>
        <v>name</v>
      </c>
      <c r="V160" s="10" t="str">
        <f>IF(LEN(Table2[[#This Row],[!Description]]) &gt; 0, Table2[[#This Row],[!Description]], "rg:None")</f>
        <v>The name of the City</v>
      </c>
      <c r="W160" s="10" t="str">
        <f>IF(LEN(Table2[[#This Row],[!FK]])&gt;0,Table2[[#This Row],[!FK]],"rg:None")</f>
        <v>rg:None</v>
      </c>
      <c r="X160" s="10" t="str">
        <f>IF(LEN(concatif2(A:A,Table2[[#This Row],[!Table]],G:G,"Y",D:D,",")) &gt; 0,"rg:[ { 'req' : '"&amp;concatif2(A:A,Table2[[#This Row],[!Table]],G:G,"Y",D:D,"' }, { 'req': '")&amp;"'} ]","rg:[]")</f>
        <v>rg:[ { 'req' : 'id'} ]</v>
      </c>
      <c r="Y160" s="10" t="str">
        <f>IF(LEN(Table2[[#This Row],[!Unique]])&gt;0,"rg:True","rg:None")</f>
        <v>rg:None</v>
      </c>
    </row>
    <row r="161" spans="1:25" x14ac:dyDescent="0.3">
      <c r="A161" s="38" t="s">
        <v>19</v>
      </c>
      <c r="B161" s="38" t="s">
        <v>8</v>
      </c>
      <c r="C161" s="3">
        <v>255</v>
      </c>
      <c r="D161" s="38" t="s">
        <v>61</v>
      </c>
      <c r="E161" s="38" t="s">
        <v>298</v>
      </c>
      <c r="F161" s="6"/>
      <c r="G161" s="19"/>
      <c r="H161" s="19"/>
      <c r="I161" s="4" t="str">
        <f>IF(LEN(A161) &gt; 0,"Defs","-")</f>
        <v>Defs</v>
      </c>
      <c r="J161" s="16" t="str">
        <f>IF(Table2[[#This Row],[!Type]]=J$1, J$1,"rg:None")</f>
        <v>rg:None</v>
      </c>
      <c r="K161" s="33" t="str">
        <f>IF(Table2[[#This Row],[!Type]]=K$1, K$1,"rg:None")</f>
        <v>rg:None</v>
      </c>
      <c r="L161" s="16" t="str">
        <f>IF(Table2[[#This Row],[!Type]]=L$1, L$1,"rg:None")</f>
        <v>rg:None</v>
      </c>
      <c r="M161" s="16" t="str">
        <f>IF(Table2[[#This Row],[!Type]]=M$1, M$1,"rg:None")</f>
        <v>rg:None</v>
      </c>
      <c r="N161" s="16" t="str">
        <f>IF(Table2[[#This Row],[!Type]]=N$1, N$1,"rg:None")</f>
        <v>rg:None</v>
      </c>
      <c r="O161" s="16" t="str">
        <f>IF(Table2[[#This Row],[!Type]]=O$1, O$1,"rg:None")</f>
        <v>rg:None</v>
      </c>
      <c r="P161" s="4" t="str">
        <f>IF(Table2[[#This Row],[!Type]]=P$1, P$1,"rg:None")</f>
        <v>rg:None</v>
      </c>
      <c r="Q161" s="4" t="str">
        <f>IF(Table2[[#This Row],[!Type]]=Q$1, Q$1,"rg:None")</f>
        <v>rg:None</v>
      </c>
      <c r="R161" s="4" t="str">
        <f>IF(Table2[[#This Row],[!Type]]=R$1, R$1,"rg:None")</f>
        <v>string</v>
      </c>
      <c r="S161" s="4" t="str">
        <f>IF(Table2[[#This Row],[!Type]]=S$1, S$1,"rg:None")</f>
        <v>rg:None</v>
      </c>
      <c r="T161" s="16">
        <f>IF(LEN(Table2[[#This Row],[!Length]]) &gt; 0, Table2[[#This Row],[!Length]], "rg:None")</f>
        <v>255</v>
      </c>
      <c r="U161" s="16" t="str">
        <f>IF(LEN(Table2[[#This Row],[!Name]]) &gt; 0, Table2[[#This Row],[!Name]], "rg:None")</f>
        <v>province</v>
      </c>
      <c r="V161" s="16" t="str">
        <f>IF(LEN(Table2[[#This Row],[!Description]]) &gt; 0, Table2[[#This Row],[!Description]], "rg:None")</f>
        <v>The name of the province of the city</v>
      </c>
      <c r="W161" s="16" t="str">
        <f>IF(LEN(Table2[[#This Row],[!FK]])&gt;0,Table2[[#This Row],[!FK]],"rg:None")</f>
        <v>rg:None</v>
      </c>
      <c r="X161" s="16" t="str">
        <f>IF(LEN(concatif2(A:A,Table2[[#This Row],[!Table]],G:G,"Y",D:D,",")) &gt; 0,"rg:[ { 'req' : '"&amp;concatif2(A:A,Table2[[#This Row],[!Table]],G:G,"Y",D:D,"' }, { 'req': '")&amp;"'} ]","rg:[]")</f>
        <v>rg:[ { 'req' : 'id'} ]</v>
      </c>
      <c r="Y161" s="16" t="str">
        <f>IF(LEN(Table2[[#This Row],[!Unique]])&gt;0,"rg:True","rg:None")</f>
        <v>rg:None</v>
      </c>
    </row>
    <row r="162" spans="1:25" x14ac:dyDescent="0.3">
      <c r="A162" s="56" t="s">
        <v>401</v>
      </c>
      <c r="B162" s="56" t="s">
        <v>5</v>
      </c>
      <c r="C162" s="3"/>
      <c r="D162" s="56" t="s">
        <v>401</v>
      </c>
      <c r="E162" s="56" t="s">
        <v>402</v>
      </c>
      <c r="F162" s="6"/>
      <c r="G162" s="19"/>
      <c r="H162" s="19"/>
      <c r="I162" s="4" t="str">
        <f t="shared" ref="I162:I167" si="5">IF(LEN(A162) &gt; 0,"Defs","-")</f>
        <v>Defs</v>
      </c>
      <c r="J162" s="16" t="str">
        <f>IF(Table2[[#This Row],[!Type]]=J$1, J$1,"rg:None")</f>
        <v>rg:None</v>
      </c>
      <c r="K162" s="33" t="str">
        <f>IF(Table2[[#This Row],[!Type]]=K$1, K$1,"rg:None")</f>
        <v>rg:None</v>
      </c>
      <c r="L162" s="16" t="str">
        <f>IF(Table2[[#This Row],[!Type]]=L$1, L$1,"rg:None")</f>
        <v>rg:None</v>
      </c>
      <c r="M162" s="16" t="str">
        <f>IF(Table2[[#This Row],[!Type]]=M$1, M$1,"rg:None")</f>
        <v>rg:None</v>
      </c>
      <c r="N162" s="16" t="str">
        <f>IF(Table2[[#This Row],[!Type]]=N$1, N$1,"rg:None")</f>
        <v>rg:None</v>
      </c>
      <c r="O162" s="16" t="str">
        <f>IF(Table2[[#This Row],[!Type]]=O$1, O$1,"rg:None")</f>
        <v>rg:None</v>
      </c>
      <c r="P162" s="4" t="str">
        <f>IF(Table2[[#This Row],[!Type]]=P$1, P$1,"rg:None")</f>
        <v>rg:None</v>
      </c>
      <c r="Q162" s="4" t="str">
        <f>IF(Table2[[#This Row],[!Type]]=Q$1, Q$1,"rg:None")</f>
        <v>rg:None</v>
      </c>
      <c r="R162" s="4" t="str">
        <f>IF(Table2[[#This Row],[!Type]]=R$1, R$1,"rg:None")</f>
        <v>rg:None</v>
      </c>
      <c r="S162" s="4" t="str">
        <f>IF(Table2[[#This Row],[!Type]]=S$1, S$1,"rg:None")</f>
        <v>table</v>
      </c>
      <c r="T162" s="16" t="str">
        <f>IF(LEN(Table2[[#This Row],[!Length]]) &gt; 0, Table2[[#This Row],[!Length]], "rg:None")</f>
        <v>rg:None</v>
      </c>
      <c r="U162" s="16" t="str">
        <f>IF(LEN(Table2[[#This Row],[!Name]]) &gt; 0, Table2[[#This Row],[!Name]], "rg:None")</f>
        <v>CCWJurisdiction</v>
      </c>
      <c r="V162" s="16" t="str">
        <f>IF(LEN(Table2[[#This Row],[!Description]]) &gt; 0, Table2[[#This Row],[!Description]], "rg:None")</f>
        <v>The contents of the Jurisdiction table from CCW so that the user can select a Jurisdiction for passing to CCW on certain Out of Province School Bus Web Service calls</v>
      </c>
      <c r="W162" s="16" t="str">
        <f>IF(LEN(Table2[[#This Row],[!FK]])&gt;0,Table2[[#This Row],[!FK]],"rg:None")</f>
        <v>rg:None</v>
      </c>
      <c r="X162" s="16" t="str">
        <f>IF(LEN(concatif2(A:A,Table2[[#This Row],[!Table]],G:G,"Y",D:D,",")) &gt; 0,"rg:[ { 'req' : '"&amp;concatif2(A:A,Table2[[#This Row],[!Table]],G:G,"Y",D:D,"' }, { 'req': '")&amp;"'} ]","rg:[]")</f>
        <v>rg:[ { 'req' : 'id'} ]</v>
      </c>
      <c r="Y162" s="16" t="str">
        <f>IF(LEN(Table2[[#This Row],[!Unique]])&gt;0,"rg:True","rg:None")</f>
        <v>rg:None</v>
      </c>
    </row>
    <row r="163" spans="1:25" x14ac:dyDescent="0.3">
      <c r="A163" s="56" t="s">
        <v>401</v>
      </c>
      <c r="B163" s="56" t="s">
        <v>7</v>
      </c>
      <c r="C163" s="3"/>
      <c r="D163" s="56" t="s">
        <v>7</v>
      </c>
      <c r="E163" s="57" t="s">
        <v>404</v>
      </c>
      <c r="F163" s="6"/>
      <c r="G163" s="60" t="s">
        <v>136</v>
      </c>
      <c r="H163" s="60" t="s">
        <v>136</v>
      </c>
      <c r="I163" s="4" t="str">
        <f t="shared" si="5"/>
        <v>Defs</v>
      </c>
      <c r="J163" s="16" t="str">
        <f>IF(Table2[[#This Row],[!Type]]=J$1, J$1,"rg:None")</f>
        <v>rg:None</v>
      </c>
      <c r="K163" s="33" t="str">
        <f>IF(Table2[[#This Row],[!Type]]=K$1, K$1,"rg:None")</f>
        <v>rg:None</v>
      </c>
      <c r="L163" s="16" t="str">
        <f>IF(Table2[[#This Row],[!Type]]=L$1, L$1,"rg:None")</f>
        <v>rg:None</v>
      </c>
      <c r="M163" s="16" t="str">
        <f>IF(Table2[[#This Row],[!Type]]=M$1, M$1,"rg:None")</f>
        <v>id</v>
      </c>
      <c r="N163" s="16" t="str">
        <f>IF(Table2[[#This Row],[!Type]]=N$1, N$1,"rg:None")</f>
        <v>rg:None</v>
      </c>
      <c r="O163" s="16" t="str">
        <f>IF(Table2[[#This Row],[!Type]]=O$1, O$1,"rg:None")</f>
        <v>rg:None</v>
      </c>
      <c r="P163" s="4" t="str">
        <f>IF(Table2[[#This Row],[!Type]]=P$1, P$1,"rg:None")</f>
        <v>rg:None</v>
      </c>
      <c r="Q163" s="4" t="str">
        <f>IF(Table2[[#This Row],[!Type]]=Q$1, Q$1,"rg:None")</f>
        <v>rg:None</v>
      </c>
      <c r="R163" s="4" t="str">
        <f>IF(Table2[[#This Row],[!Type]]=R$1, R$1,"rg:None")</f>
        <v>rg:None</v>
      </c>
      <c r="S163" s="4" t="str">
        <f>IF(Table2[[#This Row],[!Type]]=S$1, S$1,"rg:None")</f>
        <v>rg:None</v>
      </c>
      <c r="T163" s="16" t="str">
        <f>IF(LEN(Table2[[#This Row],[!Length]]) &gt; 0, Table2[[#This Row],[!Length]], "rg:None")</f>
        <v>rg:None</v>
      </c>
      <c r="U163" s="16" t="str">
        <f>IF(LEN(Table2[[#This Row],[!Name]]) &gt; 0, Table2[[#This Row],[!Name]], "rg:None")</f>
        <v>id</v>
      </c>
      <c r="V163" s="16" t="str">
        <f>IF(LEN(Table2[[#This Row],[!Description]]) &gt; 0, Table2[[#This Row],[!Description]], "rg:None")</f>
        <v>A system-generated unique identifier for a CCWJurisdiction</v>
      </c>
      <c r="W163" s="16" t="str">
        <f>IF(LEN(Table2[[#This Row],[!FK]])&gt;0,Table2[[#This Row],[!FK]],"rg:None")</f>
        <v>rg:None</v>
      </c>
      <c r="X163" s="16" t="str">
        <f>IF(LEN(concatif2(A:A,Table2[[#This Row],[!Table]],G:G,"Y",D:D,",")) &gt; 0,"rg:[ { 'req' : '"&amp;concatif2(A:A,Table2[[#This Row],[!Table]],G:G,"Y",D:D,"' }, { 'req': '")&amp;"'} ]","rg:[]")</f>
        <v>rg:[ { 'req' : 'id'} ]</v>
      </c>
      <c r="Y163" s="16" t="str">
        <f>IF(LEN(Table2[[#This Row],[!Unique]])&gt;0,"rg:True","rg:None")</f>
        <v>rg:True</v>
      </c>
    </row>
    <row r="164" spans="1:25" x14ac:dyDescent="0.3">
      <c r="A164" s="56" t="s">
        <v>401</v>
      </c>
      <c r="B164" s="56" t="s">
        <v>33</v>
      </c>
      <c r="C164" s="3"/>
      <c r="D164" s="56" t="s">
        <v>403</v>
      </c>
      <c r="E164" s="56" t="s">
        <v>405</v>
      </c>
      <c r="F164" s="6"/>
      <c r="G164" s="19"/>
      <c r="H164" s="19"/>
      <c r="I164" s="4" t="str">
        <f t="shared" si="5"/>
        <v>Defs</v>
      </c>
      <c r="J164" s="16" t="str">
        <f>IF(Table2[[#This Row],[!Type]]=J$1, J$1,"rg:None")</f>
        <v>rg:None</v>
      </c>
      <c r="K164" s="33" t="str">
        <f>IF(Table2[[#This Row],[!Type]]=K$1, K$1,"rg:None")</f>
        <v>rg:None</v>
      </c>
      <c r="L164" s="16" t="str">
        <f>IF(Table2[[#This Row],[!Type]]=L$1, L$1,"rg:None")</f>
        <v>rg:None</v>
      </c>
      <c r="M164" s="16" t="str">
        <f>IF(Table2[[#This Row],[!Type]]=M$1, M$1,"rg:None")</f>
        <v>rg:None</v>
      </c>
      <c r="N164" s="16" t="str">
        <f>IF(Table2[[#This Row],[!Type]]=N$1, N$1,"rg:None")</f>
        <v>integer</v>
      </c>
      <c r="O164" s="16" t="str">
        <f>IF(Table2[[#This Row],[!Type]]=O$1, O$1,"rg:None")</f>
        <v>rg:None</v>
      </c>
      <c r="P164" s="4" t="str">
        <f>IF(Table2[[#This Row],[!Type]]=P$1, P$1,"rg:None")</f>
        <v>rg:None</v>
      </c>
      <c r="Q164" s="4" t="str">
        <f>IF(Table2[[#This Row],[!Type]]=Q$1, Q$1,"rg:None")</f>
        <v>rg:None</v>
      </c>
      <c r="R164" s="4" t="str">
        <f>IF(Table2[[#This Row],[!Type]]=R$1, R$1,"rg:None")</f>
        <v>rg:None</v>
      </c>
      <c r="S164" s="4" t="str">
        <f>IF(Table2[[#This Row],[!Type]]=S$1, S$1,"rg:None")</f>
        <v>rg:None</v>
      </c>
      <c r="T164" s="16" t="str">
        <f>IF(LEN(Table2[[#This Row],[!Length]]) &gt; 0, Table2[[#This Row],[!Length]], "rg:None")</f>
        <v>rg:None</v>
      </c>
      <c r="U164" s="16" t="str">
        <f>IF(LEN(Table2[[#This Row],[!Name]]) &gt; 0, Table2[[#This Row],[!Name]], "rg:None")</f>
        <v>jurisdictionId</v>
      </c>
      <c r="V164" s="16" t="str">
        <f>IF(LEN(Table2[[#This Row],[!Description]]) &gt; 0, Table2[[#This Row],[!Description]], "rg:None")</f>
        <v>The CCW system-generated unique identifier for a CCWJurisdiction. Needed for updating the table from CCW if necessary.</v>
      </c>
      <c r="W164" s="16" t="str">
        <f>IF(LEN(Table2[[#This Row],[!FK]])&gt;0,Table2[[#This Row],[!FK]],"rg:None")</f>
        <v>rg:None</v>
      </c>
      <c r="X164" s="16" t="str">
        <f>IF(LEN(concatif2(A:A,Table2[[#This Row],[!Table]],G:G,"Y",D:D,",")) &gt; 0,"rg:[ { 'req' : '"&amp;concatif2(A:A,Table2[[#This Row],[!Table]],G:G,"Y",D:D,"' }, { 'req': '")&amp;"'} ]","rg:[]")</f>
        <v>rg:[ { 'req' : 'id'} ]</v>
      </c>
      <c r="Y164" s="16" t="str">
        <f>IF(LEN(Table2[[#This Row],[!Unique]])&gt;0,"rg:True","rg:None")</f>
        <v>rg:None</v>
      </c>
    </row>
    <row r="165" spans="1:25" x14ac:dyDescent="0.3">
      <c r="A165" s="56" t="s">
        <v>401</v>
      </c>
      <c r="B165" s="56" t="s">
        <v>25</v>
      </c>
      <c r="C165" s="3"/>
      <c r="D165" s="56" t="s">
        <v>125</v>
      </c>
      <c r="E165" s="57" t="s">
        <v>406</v>
      </c>
      <c r="F165" s="6"/>
      <c r="G165" s="19"/>
      <c r="H165" s="19"/>
      <c r="I165" s="4" t="str">
        <f t="shared" si="5"/>
        <v>Defs</v>
      </c>
      <c r="J165" s="16" t="str">
        <f>IF(Table2[[#This Row],[!Type]]=J$1, J$1,"rg:None")</f>
        <v>rg:None</v>
      </c>
      <c r="K165" s="33" t="str">
        <f>IF(Table2[[#This Row],[!Type]]=K$1, K$1,"rg:None")</f>
        <v>rg:None</v>
      </c>
      <c r="L165" s="16" t="str">
        <f>IF(Table2[[#This Row],[!Type]]=L$1, L$1,"rg:None")</f>
        <v>datetime</v>
      </c>
      <c r="M165" s="16" t="str">
        <f>IF(Table2[[#This Row],[!Type]]=M$1, M$1,"rg:None")</f>
        <v>rg:None</v>
      </c>
      <c r="N165" s="16" t="str">
        <f>IF(Table2[[#This Row],[!Type]]=N$1, N$1,"rg:None")</f>
        <v>rg:None</v>
      </c>
      <c r="O165" s="16" t="str">
        <f>IF(Table2[[#This Row],[!Type]]=O$1, O$1,"rg:None")</f>
        <v>rg:None</v>
      </c>
      <c r="P165" s="4" t="str">
        <f>IF(Table2[[#This Row],[!Type]]=P$1, P$1,"rg:None")</f>
        <v>rg:None</v>
      </c>
      <c r="Q165" s="4" t="str">
        <f>IF(Table2[[#This Row],[!Type]]=Q$1, Q$1,"rg:None")</f>
        <v>rg:None</v>
      </c>
      <c r="R165" s="4" t="str">
        <f>IF(Table2[[#This Row],[!Type]]=R$1, R$1,"rg:None")</f>
        <v>rg:None</v>
      </c>
      <c r="S165" s="4" t="str">
        <f>IF(Table2[[#This Row],[!Type]]=S$1, S$1,"rg:None")</f>
        <v>rg:None</v>
      </c>
      <c r="T165" s="16" t="str">
        <f>IF(LEN(Table2[[#This Row],[!Length]]) &gt; 0, Table2[[#This Row],[!Length]], "rg:None")</f>
        <v>rg:None</v>
      </c>
      <c r="U165" s="16" t="str">
        <f>IF(LEN(Table2[[#This Row],[!Name]]) &gt; 0, Table2[[#This Row],[!Name]], "rg:None")</f>
        <v>effectiveDate</v>
      </c>
      <c r="V165" s="16" t="str">
        <f>IF(LEN(Table2[[#This Row],[!Description]]) &gt; 0, Table2[[#This Row],[!Description]], "rg:None")</f>
        <v>The effective date of the CCWJurisdiction record - NOT CURRENTLY ENFORCED IN SCHOOL BUS</v>
      </c>
      <c r="W165" s="16" t="str">
        <f>IF(LEN(Table2[[#This Row],[!FK]])&gt;0,Table2[[#This Row],[!FK]],"rg:None")</f>
        <v>rg:None</v>
      </c>
      <c r="X165" s="16" t="str">
        <f>IF(LEN(concatif2(A:A,Table2[[#This Row],[!Table]],G:G,"Y",D:D,",")) &gt; 0,"rg:[ { 'req' : '"&amp;concatif2(A:A,Table2[[#This Row],[!Table]],G:G,"Y",D:D,"' }, { 'req': '")&amp;"'} ]","rg:[]")</f>
        <v>rg:[ { 'req' : 'id'} ]</v>
      </c>
      <c r="Y165" s="16" t="str">
        <f>IF(LEN(Table2[[#This Row],[!Unique]])&gt;0,"rg:True","rg:None")</f>
        <v>rg:None</v>
      </c>
    </row>
    <row r="166" spans="1:25" x14ac:dyDescent="0.3">
      <c r="A166" s="56" t="s">
        <v>401</v>
      </c>
      <c r="B166" s="56" t="s">
        <v>25</v>
      </c>
      <c r="C166" s="3"/>
      <c r="D166" s="56" t="s">
        <v>126</v>
      </c>
      <c r="E166" s="57" t="s">
        <v>407</v>
      </c>
      <c r="F166" s="6"/>
      <c r="G166" s="19"/>
      <c r="H166" s="19"/>
      <c r="I166" s="4" t="str">
        <f t="shared" si="5"/>
        <v>Defs</v>
      </c>
      <c r="J166" s="16" t="str">
        <f>IF(Table2[[#This Row],[!Type]]=J$1, J$1,"rg:None")</f>
        <v>rg:None</v>
      </c>
      <c r="K166" s="33" t="str">
        <f>IF(Table2[[#This Row],[!Type]]=K$1, K$1,"rg:None")</f>
        <v>rg:None</v>
      </c>
      <c r="L166" s="16" t="str">
        <f>IF(Table2[[#This Row],[!Type]]=L$1, L$1,"rg:None")</f>
        <v>datetime</v>
      </c>
      <c r="M166" s="16" t="str">
        <f>IF(Table2[[#This Row],[!Type]]=M$1, M$1,"rg:None")</f>
        <v>rg:None</v>
      </c>
      <c r="N166" s="16" t="str">
        <f>IF(Table2[[#This Row],[!Type]]=N$1, N$1,"rg:None")</f>
        <v>rg:None</v>
      </c>
      <c r="O166" s="16" t="str">
        <f>IF(Table2[[#This Row],[!Type]]=O$1, O$1,"rg:None")</f>
        <v>rg:None</v>
      </c>
      <c r="P166" s="4" t="str">
        <f>IF(Table2[[#This Row],[!Type]]=P$1, P$1,"rg:None")</f>
        <v>rg:None</v>
      </c>
      <c r="Q166" s="4" t="str">
        <f>IF(Table2[[#This Row],[!Type]]=Q$1, Q$1,"rg:None")</f>
        <v>rg:None</v>
      </c>
      <c r="R166" s="4" t="str">
        <f>IF(Table2[[#This Row],[!Type]]=R$1, R$1,"rg:None")</f>
        <v>rg:None</v>
      </c>
      <c r="S166" s="4" t="str">
        <f>IF(Table2[[#This Row],[!Type]]=S$1, S$1,"rg:None")</f>
        <v>rg:None</v>
      </c>
      <c r="T166" s="16" t="str">
        <f>IF(LEN(Table2[[#This Row],[!Length]]) &gt; 0, Table2[[#This Row],[!Length]], "rg:None")</f>
        <v>rg:None</v>
      </c>
      <c r="U166" s="16" t="str">
        <f>IF(LEN(Table2[[#This Row],[!Name]]) &gt; 0, Table2[[#This Row],[!Name]], "rg:None")</f>
        <v>expiryDate</v>
      </c>
      <c r="V166" s="16" t="str">
        <f>IF(LEN(Table2[[#This Row],[!Description]]) &gt; 0, Table2[[#This Row],[!Description]], "rg:None")</f>
        <v>The end date of the CCWJurisdiction record; null if active - NOT CURRENTLY ENFORCED IN SCHOOL BUS</v>
      </c>
      <c r="W166" s="16" t="str">
        <f>IF(LEN(Table2[[#This Row],[!FK]])&gt;0,Table2[[#This Row],[!FK]],"rg:None")</f>
        <v>rg:None</v>
      </c>
      <c r="X166" s="16" t="str">
        <f>IF(LEN(concatif2(A:A,Table2[[#This Row],[!Table]],G:G,"Y",D:D,",")) &gt; 0,"rg:[ { 'req' : '"&amp;concatif2(A:A,Table2[[#This Row],[!Table]],G:G,"Y",D:D,"' }, { 'req': '")&amp;"'} ]","rg:[]")</f>
        <v>rg:[ { 'req' : 'id'} ]</v>
      </c>
      <c r="Y166" s="16" t="str">
        <f>IF(LEN(Table2[[#This Row],[!Unique]])&gt;0,"rg:True","rg:None")</f>
        <v>rg:None</v>
      </c>
    </row>
    <row r="167" spans="1:25" x14ac:dyDescent="0.3">
      <c r="A167" s="56" t="s">
        <v>401</v>
      </c>
      <c r="B167" s="56" t="s">
        <v>14</v>
      </c>
      <c r="C167" s="3"/>
      <c r="D167" s="56" t="s">
        <v>408</v>
      </c>
      <c r="E167" s="56" t="s">
        <v>409</v>
      </c>
      <c r="F167" s="6"/>
      <c r="G167" s="19"/>
      <c r="H167" s="19"/>
      <c r="I167" s="4" t="str">
        <f t="shared" si="5"/>
        <v>Defs</v>
      </c>
      <c r="J167" s="16" t="str">
        <f>IF(Table2[[#This Row],[!Type]]=J$1, J$1,"rg:None")</f>
        <v>boolean</v>
      </c>
      <c r="K167" s="33" t="str">
        <f>IF(Table2[[#This Row],[!Type]]=K$1, K$1,"rg:None")</f>
        <v>rg:None</v>
      </c>
      <c r="L167" s="16" t="str">
        <f>IF(Table2[[#This Row],[!Type]]=L$1, L$1,"rg:None")</f>
        <v>rg:None</v>
      </c>
      <c r="M167" s="16" t="str">
        <f>IF(Table2[[#This Row],[!Type]]=M$1, M$1,"rg:None")</f>
        <v>rg:None</v>
      </c>
      <c r="N167" s="16" t="str">
        <f>IF(Table2[[#This Row],[!Type]]=N$1, N$1,"rg:None")</f>
        <v>rg:None</v>
      </c>
      <c r="O167" s="16" t="str">
        <f>IF(Table2[[#This Row],[!Type]]=O$1, O$1,"rg:None")</f>
        <v>rg:None</v>
      </c>
      <c r="P167" s="4" t="str">
        <f>IF(Table2[[#This Row],[!Type]]=P$1, P$1,"rg:None")</f>
        <v>rg:None</v>
      </c>
      <c r="Q167" s="4" t="str">
        <f>IF(Table2[[#This Row],[!Type]]=Q$1, Q$1,"rg:None")</f>
        <v>rg:None</v>
      </c>
      <c r="R167" s="4" t="str">
        <f>IF(Table2[[#This Row],[!Type]]=R$1, R$1,"rg:None")</f>
        <v>rg:None</v>
      </c>
      <c r="S167" s="4" t="str">
        <f>IF(Table2[[#This Row],[!Type]]=S$1, S$1,"rg:None")</f>
        <v>rg:None</v>
      </c>
      <c r="T167" s="16" t="str">
        <f>IF(LEN(Table2[[#This Row],[!Length]]) &gt; 0, Table2[[#This Row],[!Length]], "rg:None")</f>
        <v>rg:None</v>
      </c>
      <c r="U167" s="16" t="str">
        <f>IF(LEN(Table2[[#This Row],[!Name]]) &gt; 0, Table2[[#This Row],[!Name]], "rg:None")</f>
        <v>activeFlag</v>
      </c>
      <c r="V167" s="16" t="str">
        <f>IF(LEN(Table2[[#This Row],[!Description]]) &gt; 0, Table2[[#This Row],[!Description]], "rg:None")</f>
        <v>Flag from CCW indicating if the record is still active - Y indicating it is active. NOT CURRENTLY ENFORCED IN SCHOOL BUS</v>
      </c>
      <c r="W167" s="16" t="str">
        <f>IF(LEN(Table2[[#This Row],[!FK]])&gt;0,Table2[[#This Row],[!FK]],"rg:None")</f>
        <v>rg:None</v>
      </c>
      <c r="X167" s="16" t="str">
        <f>IF(LEN(concatif2(A:A,Table2[[#This Row],[!Table]],G:G,"Y",D:D,",")) &gt; 0,"rg:[ { 'req' : '"&amp;concatif2(A:A,Table2[[#This Row],[!Table]],G:G,"Y",D:D,"' }, { 'req': '")&amp;"'} ]","rg:[]")</f>
        <v>rg:[ { 'req' : 'id'} ]</v>
      </c>
      <c r="Y167" s="16" t="str">
        <f>IF(LEN(Table2[[#This Row],[!Unique]])&gt;0,"rg:True","rg:None")</f>
        <v>rg:None</v>
      </c>
    </row>
    <row r="168" spans="1:25" x14ac:dyDescent="0.3">
      <c r="A168" s="56" t="s">
        <v>401</v>
      </c>
      <c r="B168" s="56" t="s">
        <v>8</v>
      </c>
      <c r="C168" s="3">
        <v>10</v>
      </c>
      <c r="D168" s="56" t="s">
        <v>132</v>
      </c>
      <c r="E168" s="56" t="s">
        <v>410</v>
      </c>
      <c r="F168" s="6"/>
      <c r="G168" s="19"/>
      <c r="H168" s="19"/>
      <c r="I168" s="4" t="str">
        <f t="shared" ref="I168:I169" si="6">IF(LEN(A168) &gt; 0,"Defs","-")</f>
        <v>Defs</v>
      </c>
      <c r="J168" s="16" t="str">
        <f>IF(Table2[[#This Row],[!Type]]=J$1, J$1,"rg:None")</f>
        <v>rg:None</v>
      </c>
      <c r="K168" s="33" t="str">
        <f>IF(Table2[[#This Row],[!Type]]=K$1, K$1,"rg:None")</f>
        <v>rg:None</v>
      </c>
      <c r="L168" s="16" t="str">
        <f>IF(Table2[[#This Row],[!Type]]=L$1, L$1,"rg:None")</f>
        <v>rg:None</v>
      </c>
      <c r="M168" s="16" t="str">
        <f>IF(Table2[[#This Row],[!Type]]=M$1, M$1,"rg:None")</f>
        <v>rg:None</v>
      </c>
      <c r="N168" s="16" t="str">
        <f>IF(Table2[[#This Row],[!Type]]=N$1, N$1,"rg:None")</f>
        <v>rg:None</v>
      </c>
      <c r="O168" s="16" t="str">
        <f>IF(Table2[[#This Row],[!Type]]=O$1, O$1,"rg:None")</f>
        <v>rg:None</v>
      </c>
      <c r="P168" s="4" t="str">
        <f>IF(Table2[[#This Row],[!Type]]=P$1, P$1,"rg:None")</f>
        <v>rg:None</v>
      </c>
      <c r="Q168" s="4" t="str">
        <f>IF(Table2[[#This Row],[!Type]]=Q$1, Q$1,"rg:None")</f>
        <v>rg:None</v>
      </c>
      <c r="R168" s="4" t="str">
        <f>IF(Table2[[#This Row],[!Type]]=R$1, R$1,"rg:None")</f>
        <v>string</v>
      </c>
      <c r="S168" s="4" t="str">
        <f>IF(Table2[[#This Row],[!Type]]=S$1, S$1,"rg:None")</f>
        <v>rg:None</v>
      </c>
      <c r="T168" s="16">
        <f>IF(LEN(Table2[[#This Row],[!Length]]) &gt; 0, Table2[[#This Row],[!Length]], "rg:None")</f>
        <v>10</v>
      </c>
      <c r="U168" s="16" t="str">
        <f>IF(LEN(Table2[[#This Row],[!Name]]) &gt; 0, Table2[[#This Row],[!Name]], "rg:None")</f>
        <v>code</v>
      </c>
      <c r="V168" s="16" t="str">
        <f>IF(LEN(Table2[[#This Row],[!Description]]) &gt; 0, Table2[[#This Row],[!Description]], "rg:None")</f>
        <v>A short version of the Jurisdiction - the familiar two-letter province or state code</v>
      </c>
      <c r="W168" s="16" t="str">
        <f>IF(LEN(Table2[[#This Row],[!FK]])&gt;0,Table2[[#This Row],[!FK]],"rg:None")</f>
        <v>rg:None</v>
      </c>
      <c r="X168" s="16" t="str">
        <f>IF(LEN(concatif2(A:A,Table2[[#This Row],[!Table]],G:G,"Y",D:D,",")) &gt; 0,"rg:[ { 'req' : '"&amp;concatif2(A:A,Table2[[#This Row],[!Table]],G:G,"Y",D:D,"' }, { 'req': '")&amp;"'} ]","rg:[]")</f>
        <v>rg:[ { 'req' : 'id'} ]</v>
      </c>
      <c r="Y168" s="16" t="str">
        <f>IF(LEN(Table2[[#This Row],[!Unique]])&gt;0,"rg:True","rg:None")</f>
        <v>rg:None</v>
      </c>
    </row>
    <row r="169" spans="1:25" x14ac:dyDescent="0.3">
      <c r="A169" s="56" t="s">
        <v>401</v>
      </c>
      <c r="B169" s="56" t="s">
        <v>8</v>
      </c>
      <c r="C169" s="3">
        <v>50</v>
      </c>
      <c r="D169" s="56" t="s">
        <v>40</v>
      </c>
      <c r="E169" s="56" t="s">
        <v>411</v>
      </c>
      <c r="F169" s="6"/>
      <c r="G169" s="19"/>
      <c r="H169" s="19"/>
      <c r="I169" s="4" t="str">
        <f t="shared" si="6"/>
        <v>Defs</v>
      </c>
      <c r="J169" s="16" t="str">
        <f>IF(Table2[[#This Row],[!Type]]=J$1, J$1,"rg:None")</f>
        <v>rg:None</v>
      </c>
      <c r="K169" s="33" t="str">
        <f>IF(Table2[[#This Row],[!Type]]=K$1, K$1,"rg:None")</f>
        <v>rg:None</v>
      </c>
      <c r="L169" s="16" t="str">
        <f>IF(Table2[[#This Row],[!Type]]=L$1, L$1,"rg:None")</f>
        <v>rg:None</v>
      </c>
      <c r="M169" s="16" t="str">
        <f>IF(Table2[[#This Row],[!Type]]=M$1, M$1,"rg:None")</f>
        <v>rg:None</v>
      </c>
      <c r="N169" s="16" t="str">
        <f>IF(Table2[[#This Row],[!Type]]=N$1, N$1,"rg:None")</f>
        <v>rg:None</v>
      </c>
      <c r="O169" s="16" t="str">
        <f>IF(Table2[[#This Row],[!Type]]=O$1, O$1,"rg:None")</f>
        <v>rg:None</v>
      </c>
      <c r="P169" s="4" t="str">
        <f>IF(Table2[[#This Row],[!Type]]=P$1, P$1,"rg:None")</f>
        <v>rg:None</v>
      </c>
      <c r="Q169" s="4" t="str">
        <f>IF(Table2[[#This Row],[!Type]]=Q$1, Q$1,"rg:None")</f>
        <v>rg:None</v>
      </c>
      <c r="R169" s="4" t="str">
        <f>IF(Table2[[#This Row],[!Type]]=R$1, R$1,"rg:None")</f>
        <v>string</v>
      </c>
      <c r="S169" s="4" t="str">
        <f>IF(Table2[[#This Row],[!Type]]=S$1, S$1,"rg:None")</f>
        <v>rg:None</v>
      </c>
      <c r="T169" s="16">
        <f>IF(LEN(Table2[[#This Row],[!Length]]) &gt; 0, Table2[[#This Row],[!Length]], "rg:None")</f>
        <v>50</v>
      </c>
      <c r="U169" s="16" t="str">
        <f>IF(LEN(Table2[[#This Row],[!Name]]) &gt; 0, Table2[[#This Row],[!Name]], "rg:None")</f>
        <v>description</v>
      </c>
      <c r="V169" s="16" t="str">
        <f>IF(LEN(Table2[[#This Row],[!Description]]) &gt; 0, Table2[[#This Row],[!Description]], "rg:None")</f>
        <v>The full version of the Jurisdiction name.</v>
      </c>
      <c r="W169" s="16" t="str">
        <f>IF(LEN(Table2[[#This Row],[!FK]])&gt;0,Table2[[#This Row],[!FK]],"rg:None")</f>
        <v>rg:None</v>
      </c>
      <c r="X169" s="16" t="str">
        <f>IF(LEN(concatif2(A:A,Table2[[#This Row],[!Table]],G:G,"Y",D:D,",")) &gt; 0,"rg:[ { 'req' : '"&amp;concatif2(A:A,Table2[[#This Row],[!Table]],G:G,"Y",D:D,"' }, { 'req': '")&amp;"'} ]","rg:[]")</f>
        <v>rg:[ { 'req' : 'id'} ]</v>
      </c>
      <c r="Y169" s="16" t="str">
        <f>IF(LEN(Table2[[#This Row],[!Unique]])&gt;0,"rg:True","rg:None")</f>
        <v>rg:None</v>
      </c>
    </row>
    <row r="170" spans="1:25" x14ac:dyDescent="0.3">
      <c r="A170" s="3" t="s">
        <v>102</v>
      </c>
      <c r="B170" s="3" t="s">
        <v>5</v>
      </c>
      <c r="C170" s="3"/>
      <c r="D170" s="3" t="s">
        <v>102</v>
      </c>
      <c r="E170" s="43" t="s">
        <v>352</v>
      </c>
      <c r="F170" s="3" t="s">
        <v>6</v>
      </c>
      <c r="G170" s="4"/>
      <c r="H170" s="4"/>
      <c r="I170" s="5" t="str">
        <f t="shared" si="3"/>
        <v>Defs</v>
      </c>
      <c r="J170" t="str">
        <f>IF(Table2[[#This Row],[!Type]]=J$1, J$1,"rg:None")</f>
        <v>rg:None</v>
      </c>
      <c r="K170" t="str">
        <f>IF(Table2[[#This Row],[!Type]]=K$1, K$1,"rg:None")</f>
        <v>rg:None</v>
      </c>
      <c r="L170" t="str">
        <f>IF(Table2[[#This Row],[!Type]]=L$1, L$1,"rg:None")</f>
        <v>rg:None</v>
      </c>
      <c r="M170" t="str">
        <f>IF(Table2[[#This Row],[!Type]]=M$1, M$1,"rg:None")</f>
        <v>rg:None</v>
      </c>
      <c r="N170" s="10" t="str">
        <f>IF(Table2[[#This Row],[!Type]]=N$1, N$1,"rg:None")</f>
        <v>rg:None</v>
      </c>
      <c r="O170" s="10" t="str">
        <f>IF(Table2[[#This Row],[!Type]]=O$1, O$1,"rg:None")</f>
        <v>rg:None</v>
      </c>
      <c r="P170" s="5" t="str">
        <f>IF(Table2[[#This Row],[!Type]]=P$1, P$1,"rg:None")</f>
        <v>rg:None</v>
      </c>
      <c r="Q170" s="5" t="str">
        <f>IF(Table2[[#This Row],[!Type]]=Q$1, Q$1,"rg:None")</f>
        <v>rg:None</v>
      </c>
      <c r="R170" s="5" t="str">
        <f>IF(Table2[[#This Row],[!Type]]=R$1, R$1,"rg:None")</f>
        <v>rg:None</v>
      </c>
      <c r="S170" s="5" t="str">
        <f>IF(Table2[[#This Row],[!Type]]=S$1, S$1,"rg:None")</f>
        <v>table</v>
      </c>
      <c r="T170" s="10" t="str">
        <f>IF(LEN(Table2[[#This Row],[!Length]]) &gt; 0, Table2[[#This Row],[!Length]], "rg:None")</f>
        <v>rg:None</v>
      </c>
      <c r="U170" s="10" t="str">
        <f>IF(LEN(Table2[[#This Row],[!Name]]) &gt; 0, Table2[[#This Row],[!Name]], "rg:None")</f>
        <v>Notification</v>
      </c>
      <c r="V170" s="10" t="str">
        <f>IF(LEN(Table2[[#This Row],[!Description]]) &gt; 0, Table2[[#This Row],[!Description]], "rg:None")</f>
        <v>Users associated with specific notifications, created at the time the notification record is created because of the user's business relationship to the bus - e.g. the user is the currently assigned inspector, or the user is the manager for the District in which the bus is located. The rules for linking a user to a notification for a specific bus could vary over time based on the needs of the business. At minimum, it is expected the current inspector assigned to a bus will be notified of every notification for that bus.</v>
      </c>
      <c r="W170" s="10" t="str">
        <f>IF(LEN(Table2[[#This Row],[!FK]])&gt;0,Table2[[#This Row],[!FK]],"rg:None")</f>
        <v>rg:None</v>
      </c>
      <c r="X170" s="10" t="str">
        <f>IF(LEN(concatif2(A:A,Table2[[#This Row],[!Table]],G:G,"Y",D:D,",")) &gt; 0,"rg:[ { 'req' : '"&amp;concatif2(A:A,Table2[[#This Row],[!Table]],G:G,"Y",D:D,"' }, { 'req': '")&amp;"'} ]","rg:[]")</f>
        <v>rg:[ { 'req' : 'id'} ]</v>
      </c>
      <c r="Y170" s="10" t="str">
        <f>IF(LEN(Table2[[#This Row],[!Unique]])&gt;0,"rg:True","rg:None")</f>
        <v>rg:None</v>
      </c>
    </row>
    <row r="171" spans="1:25" x14ac:dyDescent="0.3">
      <c r="A171" s="3" t="s">
        <v>102</v>
      </c>
      <c r="B171" s="3" t="s">
        <v>7</v>
      </c>
      <c r="C171" s="3"/>
      <c r="D171" s="3" t="s">
        <v>7</v>
      </c>
      <c r="E171" s="27" t="s">
        <v>286</v>
      </c>
      <c r="F171" s="3" t="s">
        <v>6</v>
      </c>
      <c r="G171" s="4" t="s">
        <v>136</v>
      </c>
      <c r="H171" s="45" t="s">
        <v>136</v>
      </c>
      <c r="I171" s="5" t="str">
        <f t="shared" si="3"/>
        <v>Defs</v>
      </c>
      <c r="J171" t="str">
        <f>IF(Table2[[#This Row],[!Type]]=J$1, J$1,"rg:None")</f>
        <v>rg:None</v>
      </c>
      <c r="K171" t="str">
        <f>IF(Table2[[#This Row],[!Type]]=K$1, K$1,"rg:None")</f>
        <v>rg:None</v>
      </c>
      <c r="L171" t="str">
        <f>IF(Table2[[#This Row],[!Type]]=L$1, L$1,"rg:None")</f>
        <v>rg:None</v>
      </c>
      <c r="M171" t="str">
        <f>IF(Table2[[#This Row],[!Type]]=M$1, M$1,"rg:None")</f>
        <v>id</v>
      </c>
      <c r="N171" s="10" t="str">
        <f>IF(Table2[[#This Row],[!Type]]=N$1, N$1,"rg:None")</f>
        <v>rg:None</v>
      </c>
      <c r="O171" s="10" t="str">
        <f>IF(Table2[[#This Row],[!Type]]=O$1, O$1,"rg:None")</f>
        <v>rg:None</v>
      </c>
      <c r="P171" s="5" t="str">
        <f>IF(Table2[[#This Row],[!Type]]=P$1, P$1,"rg:None")</f>
        <v>rg:None</v>
      </c>
      <c r="Q171" s="5" t="str">
        <f>IF(Table2[[#This Row],[!Type]]=Q$1, Q$1,"rg:None")</f>
        <v>rg:None</v>
      </c>
      <c r="R171" s="5" t="str">
        <f>IF(Table2[[#This Row],[!Type]]=R$1, R$1,"rg:None")</f>
        <v>rg:None</v>
      </c>
      <c r="S171" s="5" t="str">
        <f>IF(Table2[[#This Row],[!Type]]=S$1, S$1,"rg:None")</f>
        <v>rg:None</v>
      </c>
      <c r="T171" s="10" t="str">
        <f>IF(LEN(Table2[[#This Row],[!Length]]) &gt; 0, Table2[[#This Row],[!Length]], "rg:None")</f>
        <v>rg:None</v>
      </c>
      <c r="U171" s="10" t="str">
        <f>IF(LEN(Table2[[#This Row],[!Name]]) &gt; 0, Table2[[#This Row],[!Name]], "rg:None")</f>
        <v>id</v>
      </c>
      <c r="V171" s="10" t="str">
        <f>IF(LEN(Table2[[#This Row],[!Description]]) &gt; 0, Table2[[#This Row],[!Description]], "rg:None")</f>
        <v>A system-generated unique identifier for a Notification</v>
      </c>
      <c r="W171" s="10" t="str">
        <f>IF(LEN(Table2[[#This Row],[!FK]])&gt;0,Table2[[#This Row],[!FK]],"rg:None")</f>
        <v>rg:None</v>
      </c>
      <c r="X171" s="10" t="str">
        <f>IF(LEN(concatif2(A:A,Table2[[#This Row],[!Table]],G:G,"Y",D:D,",")) &gt; 0,"rg:[ { 'req' : '"&amp;concatif2(A:A,Table2[[#This Row],[!Table]],G:G,"Y",D:D,"' }, { 'req': '")&amp;"'} ]","rg:[]")</f>
        <v>rg:[ { 'req' : 'id'} ]</v>
      </c>
      <c r="Y171" s="10" t="str">
        <f>IF(LEN(Table2[[#This Row],[!Unique]])&gt;0,"rg:True","rg:None")</f>
        <v>rg:True</v>
      </c>
    </row>
    <row r="172" spans="1:25" x14ac:dyDescent="0.3">
      <c r="A172" s="3" t="s">
        <v>102</v>
      </c>
      <c r="B172" s="3" t="s">
        <v>9</v>
      </c>
      <c r="C172" s="3"/>
      <c r="D172" s="3" t="s">
        <v>103</v>
      </c>
      <c r="E172" s="27"/>
      <c r="F172" s="3" t="s">
        <v>104</v>
      </c>
      <c r="G172" s="4"/>
      <c r="H172" s="4"/>
      <c r="I172" s="5" t="str">
        <f t="shared" si="3"/>
        <v>Defs</v>
      </c>
      <c r="J172" t="str">
        <f>IF(Table2[[#This Row],[!Type]]=J$1, J$1,"rg:None")</f>
        <v>rg:None</v>
      </c>
      <c r="K172" t="str">
        <f>IF(Table2[[#This Row],[!Type]]=K$1, K$1,"rg:None")</f>
        <v>rg:None</v>
      </c>
      <c r="L172" t="str">
        <f>IF(Table2[[#This Row],[!Type]]=L$1, L$1,"rg:None")</f>
        <v>rg:None</v>
      </c>
      <c r="M172" t="str">
        <f>IF(Table2[[#This Row],[!Type]]=M$1, M$1,"rg:None")</f>
        <v>rg:None</v>
      </c>
      <c r="N172" s="10" t="str">
        <f>IF(Table2[[#This Row],[!Type]]=N$1, N$1,"rg:None")</f>
        <v>rg:None</v>
      </c>
      <c r="O172" s="10" t="str">
        <f>IF(Table2[[#This Row],[!Type]]=O$1, O$1,"rg:None")</f>
        <v>rg:None</v>
      </c>
      <c r="P172" s="5" t="str">
        <f>IF(Table2[[#This Row],[!Type]]=P$1, P$1,"rg:None")</f>
        <v>rg:None</v>
      </c>
      <c r="Q172" s="5" t="str">
        <f>IF(Table2[[#This Row],[!Type]]=Q$1, Q$1,"rg:None")</f>
        <v>ref</v>
      </c>
      <c r="R172" s="5" t="str">
        <f>IF(Table2[[#This Row],[!Type]]=R$1, R$1,"rg:None")</f>
        <v>rg:None</v>
      </c>
      <c r="S172" s="5" t="str">
        <f>IF(Table2[[#This Row],[!Type]]=S$1, S$1,"rg:None")</f>
        <v>rg:None</v>
      </c>
      <c r="T172" s="10" t="str">
        <f>IF(LEN(Table2[[#This Row],[!Length]]) &gt; 0, Table2[[#This Row],[!Length]], "rg:None")</f>
        <v>rg:None</v>
      </c>
      <c r="U172" s="10" t="str">
        <f>IF(LEN(Table2[[#This Row],[!Name]]) &gt; 0, Table2[[#This Row],[!Name]], "rg:None")</f>
        <v>event</v>
      </c>
      <c r="V172" s="10" t="str">
        <f>IF(LEN(Table2[[#This Row],[!Description]]) &gt; 0, Table2[[#This Row],[!Description]], "rg:None")</f>
        <v>rg:None</v>
      </c>
      <c r="W172" s="10" t="str">
        <f>IF(LEN(Table2[[#This Row],[!FK]])&gt;0,Table2[[#This Row],[!FK]],"rg:None")</f>
        <v>NotificationEvent</v>
      </c>
      <c r="X172" s="10" t="str">
        <f>IF(LEN(concatif2(A:A,Table2[[#This Row],[!Table]],G:G,"Y",D:D,",")) &gt; 0,"rg:[ { 'req' : '"&amp;concatif2(A:A,Table2[[#This Row],[!Table]],G:G,"Y",D:D,"' }, { 'req': '")&amp;"'} ]","rg:[]")</f>
        <v>rg:[ { 'req' : 'id'} ]</v>
      </c>
      <c r="Y172" s="10" t="str">
        <f>IF(LEN(Table2[[#This Row],[!Unique]])&gt;0,"rg:True","rg:None")</f>
        <v>rg:None</v>
      </c>
    </row>
    <row r="173" spans="1:25" x14ac:dyDescent="0.3">
      <c r="A173" s="3" t="s">
        <v>102</v>
      </c>
      <c r="B173" s="3" t="s">
        <v>9</v>
      </c>
      <c r="C173" s="3"/>
      <c r="D173" s="3" t="s">
        <v>105</v>
      </c>
      <c r="E173" s="27"/>
      <c r="F173" s="3" t="s">
        <v>104</v>
      </c>
      <c r="G173" s="4"/>
      <c r="H173" s="4"/>
      <c r="I173" s="5" t="str">
        <f t="shared" si="3"/>
        <v>Defs</v>
      </c>
      <c r="J173" t="str">
        <f>IF(Table2[[#This Row],[!Type]]=J$1, J$1,"rg:None")</f>
        <v>rg:None</v>
      </c>
      <c r="K173" t="str">
        <f>IF(Table2[[#This Row],[!Type]]=K$1, K$1,"rg:None")</f>
        <v>rg:None</v>
      </c>
      <c r="L173" t="str">
        <f>IF(Table2[[#This Row],[!Type]]=L$1, L$1,"rg:None")</f>
        <v>rg:None</v>
      </c>
      <c r="M173" t="str">
        <f>IF(Table2[[#This Row],[!Type]]=M$1, M$1,"rg:None")</f>
        <v>rg:None</v>
      </c>
      <c r="N173" s="10" t="str">
        <f>IF(Table2[[#This Row],[!Type]]=N$1, N$1,"rg:None")</f>
        <v>rg:None</v>
      </c>
      <c r="O173" s="10" t="str">
        <f>IF(Table2[[#This Row],[!Type]]=O$1, O$1,"rg:None")</f>
        <v>rg:None</v>
      </c>
      <c r="P173" s="5" t="str">
        <f>IF(Table2[[#This Row],[!Type]]=P$1, P$1,"rg:None")</f>
        <v>rg:None</v>
      </c>
      <c r="Q173" s="5" t="str">
        <f>IF(Table2[[#This Row],[!Type]]=Q$1, Q$1,"rg:None")</f>
        <v>ref</v>
      </c>
      <c r="R173" s="5" t="str">
        <f>IF(Table2[[#This Row],[!Type]]=R$1, R$1,"rg:None")</f>
        <v>rg:None</v>
      </c>
      <c r="S173" s="5" t="str">
        <f>IF(Table2[[#This Row],[!Type]]=S$1, S$1,"rg:None")</f>
        <v>rg:None</v>
      </c>
      <c r="T173" s="10" t="str">
        <f>IF(LEN(Table2[[#This Row],[!Length]]) &gt; 0, Table2[[#This Row],[!Length]], "rg:None")</f>
        <v>rg:None</v>
      </c>
      <c r="U173" s="10" t="str">
        <f>IF(LEN(Table2[[#This Row],[!Name]]) &gt; 0, Table2[[#This Row],[!Name]], "rg:None")</f>
        <v>event2</v>
      </c>
      <c r="V173" s="10" t="str">
        <f>IF(LEN(Table2[[#This Row],[!Description]]) &gt; 0, Table2[[#This Row],[!Description]], "rg:None")</f>
        <v>rg:None</v>
      </c>
      <c r="W173" s="10" t="str">
        <f>IF(LEN(Table2[[#This Row],[!FK]])&gt;0,Table2[[#This Row],[!FK]],"rg:None")</f>
        <v>NotificationEvent</v>
      </c>
      <c r="X173" s="10" t="str">
        <f>IF(LEN(concatif2(A:A,Table2[[#This Row],[!Table]],G:G,"Y",D:D,",")) &gt; 0,"rg:[ { 'req' : '"&amp;concatif2(A:A,Table2[[#This Row],[!Table]],G:G,"Y",D:D,"' }, { 'req': '")&amp;"'} ]","rg:[]")</f>
        <v>rg:[ { 'req' : 'id'} ]</v>
      </c>
      <c r="Y173" s="10" t="str">
        <f>IF(LEN(Table2[[#This Row],[!Unique]])&gt;0,"rg:True","rg:None")</f>
        <v>rg:None</v>
      </c>
    </row>
    <row r="174" spans="1:25" x14ac:dyDescent="0.3">
      <c r="A174" s="3" t="s">
        <v>102</v>
      </c>
      <c r="B174" s="3" t="s">
        <v>14</v>
      </c>
      <c r="C174" s="3"/>
      <c r="D174" s="3" t="s">
        <v>106</v>
      </c>
      <c r="E174" s="43" t="s">
        <v>349</v>
      </c>
      <c r="F174" s="3" t="s">
        <v>6</v>
      </c>
      <c r="G174" s="4"/>
      <c r="H174" s="4"/>
      <c r="I174" s="5" t="str">
        <f t="shared" si="3"/>
        <v>Defs</v>
      </c>
      <c r="J174" t="str">
        <f>IF(Table2[[#This Row],[!Type]]=J$1, J$1,"rg:None")</f>
        <v>boolean</v>
      </c>
      <c r="K174" t="str">
        <f>IF(Table2[[#This Row],[!Type]]=K$1, K$1,"rg:None")</f>
        <v>rg:None</v>
      </c>
      <c r="L174" t="str">
        <f>IF(Table2[[#This Row],[!Type]]=L$1, L$1,"rg:None")</f>
        <v>rg:None</v>
      </c>
      <c r="M174" t="str">
        <f>IF(Table2[[#This Row],[!Type]]=M$1, M$1,"rg:None")</f>
        <v>rg:None</v>
      </c>
      <c r="N174" s="10" t="str">
        <f>IF(Table2[[#This Row],[!Type]]=N$1, N$1,"rg:None")</f>
        <v>rg:None</v>
      </c>
      <c r="O174" s="10" t="str">
        <f>IF(Table2[[#This Row],[!Type]]=O$1, O$1,"rg:None")</f>
        <v>rg:None</v>
      </c>
      <c r="P174" s="5" t="str">
        <f>IF(Table2[[#This Row],[!Type]]=P$1, P$1,"rg:None")</f>
        <v>rg:None</v>
      </c>
      <c r="Q174" s="5" t="str">
        <f>IF(Table2[[#This Row],[!Type]]=Q$1, Q$1,"rg:None")</f>
        <v>rg:None</v>
      </c>
      <c r="R174" s="5" t="str">
        <f>IF(Table2[[#This Row],[!Type]]=R$1, R$1,"rg:None")</f>
        <v>rg:None</v>
      </c>
      <c r="S174" s="5" t="str">
        <f>IF(Table2[[#This Row],[!Type]]=S$1, S$1,"rg:None")</f>
        <v>rg:None</v>
      </c>
      <c r="T174" s="10" t="str">
        <f>IF(LEN(Table2[[#This Row],[!Length]]) &gt; 0, Table2[[#This Row],[!Length]], "rg:None")</f>
        <v>rg:None</v>
      </c>
      <c r="U174" s="10" t="str">
        <f>IF(LEN(Table2[[#This Row],[!Name]]) &gt; 0, Table2[[#This Row],[!Name]], "rg:None")</f>
        <v>hasBeenViewed</v>
      </c>
      <c r="V174" s="10" t="str">
        <f>IF(LEN(Table2[[#This Row],[!Description]]) &gt; 0, Table2[[#This Row],[!Description]], "rg:None")</f>
        <v>True if the user linked to the inspection has read the notification</v>
      </c>
      <c r="W174" s="10" t="str">
        <f>IF(LEN(Table2[[#This Row],[!FK]])&gt;0,Table2[[#This Row],[!FK]],"rg:None")</f>
        <v>rg:None</v>
      </c>
      <c r="X174" s="10" t="str">
        <f>IF(LEN(concatif2(A:A,Table2[[#This Row],[!Table]],G:G,"Y",D:D,",")) &gt; 0,"rg:[ { 'req' : '"&amp;concatif2(A:A,Table2[[#This Row],[!Table]],G:G,"Y",D:D,"' }, { 'req': '")&amp;"'} ]","rg:[]")</f>
        <v>rg:[ { 'req' : 'id'} ]</v>
      </c>
      <c r="Y174" s="10" t="str">
        <f>IF(LEN(Table2[[#This Row],[!Unique]])&gt;0,"rg:True","rg:None")</f>
        <v>rg:None</v>
      </c>
    </row>
    <row r="175" spans="1:25" x14ac:dyDescent="0.3">
      <c r="A175" s="3" t="s">
        <v>102</v>
      </c>
      <c r="B175" s="3" t="s">
        <v>14</v>
      </c>
      <c r="C175" s="3"/>
      <c r="D175" s="3" t="s">
        <v>107</v>
      </c>
      <c r="E175" s="43" t="s">
        <v>350</v>
      </c>
      <c r="F175" s="3" t="s">
        <v>6</v>
      </c>
      <c r="G175" s="4"/>
      <c r="H175" s="4"/>
      <c r="I175" s="5" t="str">
        <f t="shared" si="3"/>
        <v>Defs</v>
      </c>
      <c r="J175" t="str">
        <f>IF(Table2[[#This Row],[!Type]]=J$1, J$1,"rg:None")</f>
        <v>boolean</v>
      </c>
      <c r="K175" t="str">
        <f>IF(Table2[[#This Row],[!Type]]=K$1, K$1,"rg:None")</f>
        <v>rg:None</v>
      </c>
      <c r="L175" t="str">
        <f>IF(Table2[[#This Row],[!Type]]=L$1, L$1,"rg:None")</f>
        <v>rg:None</v>
      </c>
      <c r="M175" t="str">
        <f>IF(Table2[[#This Row],[!Type]]=M$1, M$1,"rg:None")</f>
        <v>rg:None</v>
      </c>
      <c r="N175" s="10" t="str">
        <f>IF(Table2[[#This Row],[!Type]]=N$1, N$1,"rg:None")</f>
        <v>rg:None</v>
      </c>
      <c r="O175" s="10" t="str">
        <f>IF(Table2[[#This Row],[!Type]]=O$1, O$1,"rg:None")</f>
        <v>rg:None</v>
      </c>
      <c r="P175" s="5" t="str">
        <f>IF(Table2[[#This Row],[!Type]]=P$1, P$1,"rg:None")</f>
        <v>rg:None</v>
      </c>
      <c r="Q175" s="5" t="str">
        <f>IF(Table2[[#This Row],[!Type]]=Q$1, Q$1,"rg:None")</f>
        <v>rg:None</v>
      </c>
      <c r="R175" s="5" t="str">
        <f>IF(Table2[[#This Row],[!Type]]=R$1, R$1,"rg:None")</f>
        <v>rg:None</v>
      </c>
      <c r="S175" s="5" t="str">
        <f>IF(Table2[[#This Row],[!Type]]=S$1, S$1,"rg:None")</f>
        <v>rg:None</v>
      </c>
      <c r="T175" s="10" t="str">
        <f>IF(LEN(Table2[[#This Row],[!Length]]) &gt; 0, Table2[[#This Row],[!Length]], "rg:None")</f>
        <v>rg:None</v>
      </c>
      <c r="U175" s="10" t="str">
        <f>IF(LEN(Table2[[#This Row],[!Name]]) &gt; 0, Table2[[#This Row],[!Name]], "rg:None")</f>
        <v>isWatchNotification</v>
      </c>
      <c r="V175" s="10" t="str">
        <f>IF(LEN(Table2[[#This Row],[!Description]]) &gt; 0, Table2[[#This Row],[!Description]], "rg:None")</f>
        <v>TO BE REMOVED</v>
      </c>
      <c r="W175" s="10" t="str">
        <f>IF(LEN(Table2[[#This Row],[!FK]])&gt;0,Table2[[#This Row],[!FK]],"rg:None")</f>
        <v>rg:None</v>
      </c>
      <c r="X175" s="10" t="str">
        <f>IF(LEN(concatif2(A:A,Table2[[#This Row],[!Table]],G:G,"Y",D:D,",")) &gt; 0,"rg:[ { 'req' : '"&amp;concatif2(A:A,Table2[[#This Row],[!Table]],G:G,"Y",D:D,"' }, { 'req': '")&amp;"'} ]","rg:[]")</f>
        <v>rg:[ { 'req' : 'id'} ]</v>
      </c>
      <c r="Y175" s="10" t="str">
        <f>IF(LEN(Table2[[#This Row],[!Unique]])&gt;0,"rg:True","rg:None")</f>
        <v>rg:None</v>
      </c>
    </row>
    <row r="176" spans="1:25" x14ac:dyDescent="0.3">
      <c r="A176" s="3" t="s">
        <v>102</v>
      </c>
      <c r="B176" s="3" t="s">
        <v>14</v>
      </c>
      <c r="C176" s="3"/>
      <c r="D176" s="3" t="s">
        <v>108</v>
      </c>
      <c r="E176" s="43" t="s">
        <v>350</v>
      </c>
      <c r="F176" s="3" t="s">
        <v>6</v>
      </c>
      <c r="G176" s="4"/>
      <c r="H176" s="4"/>
      <c r="I176" s="5" t="str">
        <f t="shared" si="3"/>
        <v>Defs</v>
      </c>
      <c r="J176" t="str">
        <f>IF(Table2[[#This Row],[!Type]]=J$1, J$1,"rg:None")</f>
        <v>boolean</v>
      </c>
      <c r="K176" t="str">
        <f>IF(Table2[[#This Row],[!Type]]=K$1, K$1,"rg:None")</f>
        <v>rg:None</v>
      </c>
      <c r="L176" t="str">
        <f>IF(Table2[[#This Row],[!Type]]=L$1, L$1,"rg:None")</f>
        <v>rg:None</v>
      </c>
      <c r="M176" t="str">
        <f>IF(Table2[[#This Row],[!Type]]=M$1, M$1,"rg:None")</f>
        <v>rg:None</v>
      </c>
      <c r="N176" s="10" t="str">
        <f>IF(Table2[[#This Row],[!Type]]=N$1, N$1,"rg:None")</f>
        <v>rg:None</v>
      </c>
      <c r="O176" s="10" t="str">
        <f>IF(Table2[[#This Row],[!Type]]=O$1, O$1,"rg:None")</f>
        <v>rg:None</v>
      </c>
      <c r="P176" s="5" t="str">
        <f>IF(Table2[[#This Row],[!Type]]=P$1, P$1,"rg:None")</f>
        <v>rg:None</v>
      </c>
      <c r="Q176" s="5" t="str">
        <f>IF(Table2[[#This Row],[!Type]]=Q$1, Q$1,"rg:None")</f>
        <v>rg:None</v>
      </c>
      <c r="R176" s="5" t="str">
        <f>IF(Table2[[#This Row],[!Type]]=R$1, R$1,"rg:None")</f>
        <v>rg:None</v>
      </c>
      <c r="S176" s="5" t="str">
        <f>IF(Table2[[#This Row],[!Type]]=S$1, S$1,"rg:None")</f>
        <v>rg:None</v>
      </c>
      <c r="T176" s="10" t="str">
        <f>IF(LEN(Table2[[#This Row],[!Length]]) &gt; 0, Table2[[#This Row],[!Length]], "rg:None")</f>
        <v>rg:None</v>
      </c>
      <c r="U176" s="10" t="str">
        <f>IF(LEN(Table2[[#This Row],[!Name]]) &gt; 0, Table2[[#This Row],[!Name]], "rg:None")</f>
        <v>isExpired</v>
      </c>
      <c r="V176" s="10" t="str">
        <f>IF(LEN(Table2[[#This Row],[!Description]]) &gt; 0, Table2[[#This Row],[!Description]], "rg:None")</f>
        <v>TO BE REMOVED</v>
      </c>
      <c r="W176" s="10" t="str">
        <f>IF(LEN(Table2[[#This Row],[!FK]])&gt;0,Table2[[#This Row],[!FK]],"rg:None")</f>
        <v>rg:None</v>
      </c>
      <c r="X176" s="10" t="str">
        <f>IF(LEN(concatif2(A:A,Table2[[#This Row],[!Table]],G:G,"Y",D:D,",")) &gt; 0,"rg:[ { 'req' : '"&amp;concatif2(A:A,Table2[[#This Row],[!Table]],G:G,"Y",D:D,"' }, { 'req': '")&amp;"'} ]","rg:[]")</f>
        <v>rg:[ { 'req' : 'id'} ]</v>
      </c>
      <c r="Y176" s="10" t="str">
        <f>IF(LEN(Table2[[#This Row],[!Unique]])&gt;0,"rg:True","rg:None")</f>
        <v>rg:None</v>
      </c>
    </row>
    <row r="177" spans="1:25" x14ac:dyDescent="0.3">
      <c r="A177" s="3" t="s">
        <v>102</v>
      </c>
      <c r="B177" s="3" t="s">
        <v>14</v>
      </c>
      <c r="C177" s="3"/>
      <c r="D177" s="3" t="s">
        <v>109</v>
      </c>
      <c r="E177" s="43" t="s">
        <v>350</v>
      </c>
      <c r="F177" s="3" t="s">
        <v>6</v>
      </c>
      <c r="G177" s="4"/>
      <c r="H177" s="4"/>
      <c r="I177" s="5" t="str">
        <f t="shared" si="3"/>
        <v>Defs</v>
      </c>
      <c r="J177" t="str">
        <f>IF(Table2[[#This Row],[!Type]]=J$1, J$1,"rg:None")</f>
        <v>boolean</v>
      </c>
      <c r="K177" t="str">
        <f>IF(Table2[[#This Row],[!Type]]=K$1, K$1,"rg:None")</f>
        <v>rg:None</v>
      </c>
      <c r="L177" t="str">
        <f>IF(Table2[[#This Row],[!Type]]=L$1, L$1,"rg:None")</f>
        <v>rg:None</v>
      </c>
      <c r="M177" t="str">
        <f>IF(Table2[[#This Row],[!Type]]=M$1, M$1,"rg:None")</f>
        <v>rg:None</v>
      </c>
      <c r="N177" s="10" t="str">
        <f>IF(Table2[[#This Row],[!Type]]=N$1, N$1,"rg:None")</f>
        <v>rg:None</v>
      </c>
      <c r="O177" s="10" t="str">
        <f>IF(Table2[[#This Row],[!Type]]=O$1, O$1,"rg:None")</f>
        <v>rg:None</v>
      </c>
      <c r="P177" s="5" t="str">
        <f>IF(Table2[[#This Row],[!Type]]=P$1, P$1,"rg:None")</f>
        <v>rg:None</v>
      </c>
      <c r="Q177" s="5" t="str">
        <f>IF(Table2[[#This Row],[!Type]]=Q$1, Q$1,"rg:None")</f>
        <v>rg:None</v>
      </c>
      <c r="R177" s="5" t="str">
        <f>IF(Table2[[#This Row],[!Type]]=R$1, R$1,"rg:None")</f>
        <v>rg:None</v>
      </c>
      <c r="S177" s="5" t="str">
        <f>IF(Table2[[#This Row],[!Type]]=S$1, S$1,"rg:None")</f>
        <v>rg:None</v>
      </c>
      <c r="T177" s="10" t="str">
        <f>IF(LEN(Table2[[#This Row],[!Length]]) &gt; 0, Table2[[#This Row],[!Length]], "rg:None")</f>
        <v>rg:None</v>
      </c>
      <c r="U177" s="10" t="str">
        <f>IF(LEN(Table2[[#This Row],[!Name]]) &gt; 0, Table2[[#This Row],[!Name]], "rg:None")</f>
        <v>isAllDay</v>
      </c>
      <c r="V177" s="10" t="str">
        <f>IF(LEN(Table2[[#This Row],[!Description]]) &gt; 0, Table2[[#This Row],[!Description]], "rg:None")</f>
        <v>TO BE REMOVED</v>
      </c>
      <c r="W177" s="10" t="str">
        <f>IF(LEN(Table2[[#This Row],[!FK]])&gt;0,Table2[[#This Row],[!FK]],"rg:None")</f>
        <v>rg:None</v>
      </c>
      <c r="X177" s="10" t="str">
        <f>IF(LEN(concatif2(A:A,Table2[[#This Row],[!Table]],G:G,"Y",D:D,",")) &gt; 0,"rg:[ { 'req' : '"&amp;concatif2(A:A,Table2[[#This Row],[!Table]],G:G,"Y",D:D,"' }, { 'req': '")&amp;"'} ]","rg:[]")</f>
        <v>rg:[ { 'req' : 'id'} ]</v>
      </c>
      <c r="Y177" s="10" t="str">
        <f>IF(LEN(Table2[[#This Row],[!Unique]])&gt;0,"rg:True","rg:None")</f>
        <v>rg:None</v>
      </c>
    </row>
    <row r="178" spans="1:25" x14ac:dyDescent="0.3">
      <c r="A178" s="3" t="s">
        <v>102</v>
      </c>
      <c r="B178" s="3" t="s">
        <v>8</v>
      </c>
      <c r="C178" s="3">
        <v>255</v>
      </c>
      <c r="D178" s="3" t="s">
        <v>110</v>
      </c>
      <c r="E178" s="43" t="s">
        <v>350</v>
      </c>
      <c r="F178" s="3" t="s">
        <v>6</v>
      </c>
      <c r="G178" s="4"/>
      <c r="H178" s="4"/>
      <c r="I178" s="5" t="str">
        <f t="shared" si="3"/>
        <v>Defs</v>
      </c>
      <c r="J178" t="str">
        <f>IF(Table2[[#This Row],[!Type]]=J$1, J$1,"rg:None")</f>
        <v>rg:None</v>
      </c>
      <c r="K178" t="str">
        <f>IF(Table2[[#This Row],[!Type]]=K$1, K$1,"rg:None")</f>
        <v>rg:None</v>
      </c>
      <c r="L178" t="str">
        <f>IF(Table2[[#This Row],[!Type]]=L$1, L$1,"rg:None")</f>
        <v>rg:None</v>
      </c>
      <c r="M178" t="str">
        <f>IF(Table2[[#This Row],[!Type]]=M$1, M$1,"rg:None")</f>
        <v>rg:None</v>
      </c>
      <c r="N178" s="10" t="str">
        <f>IF(Table2[[#This Row],[!Type]]=N$1, N$1,"rg:None")</f>
        <v>rg:None</v>
      </c>
      <c r="O178" s="10" t="str">
        <f>IF(Table2[[#This Row],[!Type]]=O$1, O$1,"rg:None")</f>
        <v>rg:None</v>
      </c>
      <c r="P178" s="5" t="str">
        <f>IF(Table2[[#This Row],[!Type]]=P$1, P$1,"rg:None")</f>
        <v>rg:None</v>
      </c>
      <c r="Q178" s="5" t="str">
        <f>IF(Table2[[#This Row],[!Type]]=Q$1, Q$1,"rg:None")</f>
        <v>rg:None</v>
      </c>
      <c r="R178" s="5" t="str">
        <f>IF(Table2[[#This Row],[!Type]]=R$1, R$1,"rg:None")</f>
        <v>string</v>
      </c>
      <c r="S178" s="5" t="str">
        <f>IF(Table2[[#This Row],[!Type]]=S$1, S$1,"rg:None")</f>
        <v>rg:None</v>
      </c>
      <c r="T178" s="10">
        <f>IF(LEN(Table2[[#This Row],[!Length]]) &gt; 0, Table2[[#This Row],[!Length]], "rg:None")</f>
        <v>255</v>
      </c>
      <c r="U178" s="10" t="str">
        <f>IF(LEN(Table2[[#This Row],[!Name]]) &gt; 0, Table2[[#This Row],[!Name]], "rg:None")</f>
        <v>priorityCode</v>
      </c>
      <c r="V178" s="10" t="str">
        <f>IF(LEN(Table2[[#This Row],[!Description]]) &gt; 0, Table2[[#This Row],[!Description]], "rg:None")</f>
        <v>TO BE REMOVED</v>
      </c>
      <c r="W178" s="10" t="str">
        <f>IF(LEN(Table2[[#This Row],[!FK]])&gt;0,Table2[[#This Row],[!FK]],"rg:None")</f>
        <v>rg:None</v>
      </c>
      <c r="X178" s="10" t="str">
        <f>IF(LEN(concatif2(A:A,Table2[[#This Row],[!Table]],G:G,"Y",D:D,",")) &gt; 0,"rg:[ { 'req' : '"&amp;concatif2(A:A,Table2[[#This Row],[!Table]],G:G,"Y",D:D,"' }, { 'req': '")&amp;"'} ]","rg:[]")</f>
        <v>rg:[ { 'req' : 'id'} ]</v>
      </c>
      <c r="Y178" s="10" t="str">
        <f>IF(LEN(Table2[[#This Row],[!Unique]])&gt;0,"rg:True","rg:None")</f>
        <v>rg:None</v>
      </c>
    </row>
    <row r="179" spans="1:25" x14ac:dyDescent="0.3">
      <c r="A179" s="3" t="s">
        <v>102</v>
      </c>
      <c r="B179" s="3" t="s">
        <v>9</v>
      </c>
      <c r="C179" s="3"/>
      <c r="D179" s="3" t="s">
        <v>111</v>
      </c>
      <c r="E179" s="27"/>
      <c r="F179" s="3" t="s">
        <v>0</v>
      </c>
      <c r="G179" s="4"/>
      <c r="H179" s="4"/>
      <c r="I179" s="5" t="str">
        <f t="shared" si="3"/>
        <v>Defs</v>
      </c>
      <c r="J179" t="str">
        <f>IF(Table2[[#This Row],[!Type]]=J$1, J$1,"rg:None")</f>
        <v>rg:None</v>
      </c>
      <c r="K179" t="str">
        <f>IF(Table2[[#This Row],[!Type]]=K$1, K$1,"rg:None")</f>
        <v>rg:None</v>
      </c>
      <c r="L179" t="str">
        <f>IF(Table2[[#This Row],[!Type]]=L$1, L$1,"rg:None")</f>
        <v>rg:None</v>
      </c>
      <c r="M179" t="str">
        <f>IF(Table2[[#This Row],[!Type]]=M$1, M$1,"rg:None")</f>
        <v>rg:None</v>
      </c>
      <c r="N179" s="10" t="str">
        <f>IF(Table2[[#This Row],[!Type]]=N$1, N$1,"rg:None")</f>
        <v>rg:None</v>
      </c>
      <c r="O179" s="10" t="str">
        <f>IF(Table2[[#This Row],[!Type]]=O$1, O$1,"rg:None")</f>
        <v>rg:None</v>
      </c>
      <c r="P179" s="5" t="str">
        <f>IF(Table2[[#This Row],[!Type]]=P$1, P$1,"rg:None")</f>
        <v>rg:None</v>
      </c>
      <c r="Q179" s="5" t="str">
        <f>IF(Table2[[#This Row],[!Type]]=Q$1, Q$1,"rg:None")</f>
        <v>ref</v>
      </c>
      <c r="R179" s="5" t="str">
        <f>IF(Table2[[#This Row],[!Type]]=R$1, R$1,"rg:None")</f>
        <v>rg:None</v>
      </c>
      <c r="S179" s="5" t="str">
        <f>IF(Table2[[#This Row],[!Type]]=S$1, S$1,"rg:None")</f>
        <v>rg:None</v>
      </c>
      <c r="T179" s="10" t="str">
        <f>IF(LEN(Table2[[#This Row],[!Length]]) &gt; 0, Table2[[#This Row],[!Length]], "rg:None")</f>
        <v>rg:None</v>
      </c>
      <c r="U179" s="10" t="str">
        <f>IF(LEN(Table2[[#This Row],[!Name]]) &gt; 0, Table2[[#This Row],[!Name]], "rg:None")</f>
        <v>user</v>
      </c>
      <c r="V179" s="10" t="str">
        <f>IF(LEN(Table2[[#This Row],[!Description]]) &gt; 0, Table2[[#This Row],[!Description]], "rg:None")</f>
        <v>rg:None</v>
      </c>
      <c r="W179" s="10" t="str">
        <f>IF(LEN(Table2[[#This Row],[!FK]])&gt;0,Table2[[#This Row],[!FK]],"rg:None")</f>
        <v>User</v>
      </c>
      <c r="X179" s="10" t="str">
        <f>IF(LEN(concatif2(A:A,Table2[[#This Row],[!Table]],G:G,"Y",D:D,",")) &gt; 0,"rg:[ { 'req' : '"&amp;concatif2(A:A,Table2[[#This Row],[!Table]],G:G,"Y",D:D,"' }, { 'req': '")&amp;"'} ]","rg:[]")</f>
        <v>rg:[ { 'req' : 'id'} ]</v>
      </c>
      <c r="Y179" s="10" t="str">
        <f>IF(LEN(Table2[[#This Row],[!Unique]])&gt;0,"rg:True","rg:None")</f>
        <v>rg:None</v>
      </c>
    </row>
    <row r="180" spans="1:25" x14ac:dyDescent="0.3">
      <c r="A180" s="3" t="s">
        <v>104</v>
      </c>
      <c r="B180" s="3" t="s">
        <v>5</v>
      </c>
      <c r="C180" s="3"/>
      <c r="D180" s="3" t="s">
        <v>104</v>
      </c>
      <c r="E180" s="43" t="s">
        <v>351</v>
      </c>
      <c r="F180" s="3" t="s">
        <v>6</v>
      </c>
      <c r="G180" s="4"/>
      <c r="H180" s="4"/>
      <c r="I180" s="5" t="str">
        <f t="shared" si="3"/>
        <v>Defs</v>
      </c>
      <c r="J180" t="str">
        <f>IF(Table2[[#This Row],[!Type]]=J$1, J$1,"rg:None")</f>
        <v>rg:None</v>
      </c>
      <c r="K180" t="str">
        <f>IF(Table2[[#This Row],[!Type]]=K$1, K$1,"rg:None")</f>
        <v>rg:None</v>
      </c>
      <c r="L180" t="str">
        <f>IF(Table2[[#This Row],[!Type]]=L$1, L$1,"rg:None")</f>
        <v>rg:None</v>
      </c>
      <c r="M180" t="str">
        <f>IF(Table2[[#This Row],[!Type]]=M$1, M$1,"rg:None")</f>
        <v>rg:None</v>
      </c>
      <c r="N180" s="10" t="str">
        <f>IF(Table2[[#This Row],[!Type]]=N$1, N$1,"rg:None")</f>
        <v>rg:None</v>
      </c>
      <c r="O180" s="10" t="str">
        <f>IF(Table2[[#This Row],[!Type]]=O$1, O$1,"rg:None")</f>
        <v>rg:None</v>
      </c>
      <c r="P180" s="5" t="str">
        <f>IF(Table2[[#This Row],[!Type]]=P$1, P$1,"rg:None")</f>
        <v>rg:None</v>
      </c>
      <c r="Q180" s="5" t="str">
        <f>IF(Table2[[#This Row],[!Type]]=Q$1, Q$1,"rg:None")</f>
        <v>rg:None</v>
      </c>
      <c r="R180" s="5" t="str">
        <f>IF(Table2[[#This Row],[!Type]]=R$1, R$1,"rg:None")</f>
        <v>rg:None</v>
      </c>
      <c r="S180" s="5" t="str">
        <f>IF(Table2[[#This Row],[!Type]]=S$1, S$1,"rg:None")</f>
        <v>table</v>
      </c>
      <c r="T180" s="10" t="str">
        <f>IF(LEN(Table2[[#This Row],[!Length]]) &gt; 0, Table2[[#This Row],[!Length]], "rg:None")</f>
        <v>rg:None</v>
      </c>
      <c r="U180" s="10" t="str">
        <f>IF(LEN(Table2[[#This Row],[!Name]]) &gt; 0, Table2[[#This Row],[!Name]], "rg:None")</f>
        <v>NotificationEvent</v>
      </c>
      <c r="V180" s="10" t="str">
        <f>IF(LEN(Table2[[#This Row],[!Description]]) &gt; 0, Table2[[#This Row],[!Description]], "rg:None")</f>
        <v>Notifications associated about changes (mostly from CCW data) to information related to a specific school bus - e.g. change of owner at ICBC, change in NSC client rating, etc.</v>
      </c>
      <c r="W180" s="10" t="str">
        <f>IF(LEN(Table2[[#This Row],[!FK]])&gt;0,Table2[[#This Row],[!FK]],"rg:None")</f>
        <v>rg:None</v>
      </c>
      <c r="X180" s="10" t="str">
        <f>IF(LEN(concatif2(A:A,Table2[[#This Row],[!Table]],G:G,"Y",D:D,",")) &gt; 0,"rg:[ { 'req' : '"&amp;concatif2(A:A,Table2[[#This Row],[!Table]],G:G,"Y",D:D,"' }, { 'req': '")&amp;"'} ]","rg:[]")</f>
        <v>rg:[ { 'req' : 'id'} ]</v>
      </c>
      <c r="Y180" s="10" t="str">
        <f>IF(LEN(Table2[[#This Row],[!Unique]])&gt;0,"rg:True","rg:None")</f>
        <v>rg:None</v>
      </c>
    </row>
    <row r="181" spans="1:25" x14ac:dyDescent="0.3">
      <c r="A181" s="3" t="s">
        <v>104</v>
      </c>
      <c r="B181" s="3" t="s">
        <v>7</v>
      </c>
      <c r="C181" s="3"/>
      <c r="D181" s="3" t="s">
        <v>7</v>
      </c>
      <c r="E181" s="27" t="s">
        <v>287</v>
      </c>
      <c r="F181" s="3" t="s">
        <v>6</v>
      </c>
      <c r="G181" s="4" t="s">
        <v>136</v>
      </c>
      <c r="H181" s="45" t="s">
        <v>136</v>
      </c>
      <c r="I181" s="5" t="str">
        <f t="shared" si="3"/>
        <v>Defs</v>
      </c>
      <c r="J181" t="str">
        <f>IF(Table2[[#This Row],[!Type]]=J$1, J$1,"rg:None")</f>
        <v>rg:None</v>
      </c>
      <c r="K181" t="str">
        <f>IF(Table2[[#This Row],[!Type]]=K$1, K$1,"rg:None")</f>
        <v>rg:None</v>
      </c>
      <c r="L181" t="str">
        <f>IF(Table2[[#This Row],[!Type]]=L$1, L$1,"rg:None")</f>
        <v>rg:None</v>
      </c>
      <c r="M181" t="str">
        <f>IF(Table2[[#This Row],[!Type]]=M$1, M$1,"rg:None")</f>
        <v>id</v>
      </c>
      <c r="N181" s="10" t="str">
        <f>IF(Table2[[#This Row],[!Type]]=N$1, N$1,"rg:None")</f>
        <v>rg:None</v>
      </c>
      <c r="O181" s="10" t="str">
        <f>IF(Table2[[#This Row],[!Type]]=O$1, O$1,"rg:None")</f>
        <v>rg:None</v>
      </c>
      <c r="P181" s="5" t="str">
        <f>IF(Table2[[#This Row],[!Type]]=P$1, P$1,"rg:None")</f>
        <v>rg:None</v>
      </c>
      <c r="Q181" s="5" t="str">
        <f>IF(Table2[[#This Row],[!Type]]=Q$1, Q$1,"rg:None")</f>
        <v>rg:None</v>
      </c>
      <c r="R181" s="5" t="str">
        <f>IF(Table2[[#This Row],[!Type]]=R$1, R$1,"rg:None")</f>
        <v>rg:None</v>
      </c>
      <c r="S181" s="5" t="str">
        <f>IF(Table2[[#This Row],[!Type]]=S$1, S$1,"rg:None")</f>
        <v>rg:None</v>
      </c>
      <c r="T181" s="10" t="str">
        <f>IF(LEN(Table2[[#This Row],[!Length]]) &gt; 0, Table2[[#This Row],[!Length]], "rg:None")</f>
        <v>rg:None</v>
      </c>
      <c r="U181" s="10" t="str">
        <f>IF(LEN(Table2[[#This Row],[!Name]]) &gt; 0, Table2[[#This Row],[!Name]], "rg:None")</f>
        <v>id</v>
      </c>
      <c r="V181" s="10" t="str">
        <f>IF(LEN(Table2[[#This Row],[!Description]]) &gt; 0, Table2[[#This Row],[!Description]], "rg:None")</f>
        <v>A system-generated unique identifier for a NotificationEvent</v>
      </c>
      <c r="W181" s="10" t="str">
        <f>IF(LEN(Table2[[#This Row],[!FK]])&gt;0,Table2[[#This Row],[!FK]],"rg:None")</f>
        <v>rg:None</v>
      </c>
      <c r="X181" s="10" t="str">
        <f>IF(LEN(concatif2(A:A,Table2[[#This Row],[!Table]],G:G,"Y",D:D,",")) &gt; 0,"rg:[ { 'req' : '"&amp;concatif2(A:A,Table2[[#This Row],[!Table]],G:G,"Y",D:D,"' }, { 'req': '")&amp;"'} ]","rg:[]")</f>
        <v>rg:[ { 'req' : 'id'} ]</v>
      </c>
      <c r="Y181" s="10" t="str">
        <f>IF(LEN(Table2[[#This Row],[!Unique]])&gt;0,"rg:True","rg:None")</f>
        <v>rg:True</v>
      </c>
    </row>
    <row r="182" spans="1:25" x14ac:dyDescent="0.3">
      <c r="A182" s="3" t="s">
        <v>104</v>
      </c>
      <c r="B182" s="8" t="s">
        <v>25</v>
      </c>
      <c r="C182" s="3"/>
      <c r="D182" s="3" t="s">
        <v>112</v>
      </c>
      <c r="E182" s="43" t="s">
        <v>353</v>
      </c>
      <c r="F182" s="3" t="s">
        <v>6</v>
      </c>
      <c r="G182" s="4"/>
      <c r="H182" s="4"/>
      <c r="I182" s="5" t="str">
        <f t="shared" si="3"/>
        <v>Defs</v>
      </c>
      <c r="J182" t="str">
        <f>IF(Table2[[#This Row],[!Type]]=J$1, J$1,"rg:None")</f>
        <v>rg:None</v>
      </c>
      <c r="K182" t="str">
        <f>IF(Table2[[#This Row],[!Type]]=K$1, K$1,"rg:None")</f>
        <v>rg:None</v>
      </c>
      <c r="L182" t="str">
        <f>IF(Table2[[#This Row],[!Type]]=L$1, L$1,"rg:None")</f>
        <v>datetime</v>
      </c>
      <c r="M182" t="str">
        <f>IF(Table2[[#This Row],[!Type]]=M$1, M$1,"rg:None")</f>
        <v>rg:None</v>
      </c>
      <c r="N182" s="10" t="str">
        <f>IF(Table2[[#This Row],[!Type]]=N$1, N$1,"rg:None")</f>
        <v>rg:None</v>
      </c>
      <c r="O182" s="10" t="str">
        <f>IF(Table2[[#This Row],[!Type]]=O$1, O$1,"rg:None")</f>
        <v>rg:None</v>
      </c>
      <c r="P182" s="5" t="str">
        <f>IF(Table2[[#This Row],[!Type]]=P$1, P$1,"rg:None")</f>
        <v>rg:None</v>
      </c>
      <c r="Q182" s="5" t="str">
        <f>IF(Table2[[#This Row],[!Type]]=Q$1, Q$1,"rg:None")</f>
        <v>rg:None</v>
      </c>
      <c r="R182" s="5" t="str">
        <f>IF(Table2[[#This Row],[!Type]]=R$1, R$1,"rg:None")</f>
        <v>rg:None</v>
      </c>
      <c r="S182" s="5" t="str">
        <f>IF(Table2[[#This Row],[!Type]]=S$1, S$1,"rg:None")</f>
        <v>rg:None</v>
      </c>
      <c r="T182" s="10" t="str">
        <f>IF(LEN(Table2[[#This Row],[!Length]]) &gt; 0, Table2[[#This Row],[!Length]], "rg:None")</f>
        <v>rg:None</v>
      </c>
      <c r="U182" s="10" t="str">
        <f>IF(LEN(Table2[[#This Row],[!Name]]) &gt; 0, Table2[[#This Row],[!Name]], "rg:None")</f>
        <v>eventTime</v>
      </c>
      <c r="V182" s="10" t="str">
        <f>IF(LEN(Table2[[#This Row],[!Description]]) &gt; 0, Table2[[#This Row],[!Description]], "rg:None")</f>
        <v>The date/time of the creation of the event that triggered the creation of the notification.</v>
      </c>
      <c r="W182" s="10" t="str">
        <f>IF(LEN(Table2[[#This Row],[!FK]])&gt;0,Table2[[#This Row],[!FK]],"rg:None")</f>
        <v>rg:None</v>
      </c>
      <c r="X182" s="10" t="str">
        <f>IF(LEN(concatif2(A:A,Table2[[#This Row],[!Table]],G:G,"Y",D:D,",")) &gt; 0,"rg:[ { 'req' : '"&amp;concatif2(A:A,Table2[[#This Row],[!Table]],G:G,"Y",D:D,"' }, { 'req': '")&amp;"'} ]","rg:[]")</f>
        <v>rg:[ { 'req' : 'id'} ]</v>
      </c>
      <c r="Y182" s="10" t="str">
        <f>IF(LEN(Table2[[#This Row],[!Unique]])&gt;0,"rg:True","rg:None")</f>
        <v>rg:None</v>
      </c>
    </row>
    <row r="183" spans="1:25" x14ac:dyDescent="0.3">
      <c r="A183" s="3" t="s">
        <v>104</v>
      </c>
      <c r="B183" s="3" t="s">
        <v>8</v>
      </c>
      <c r="C183" s="3">
        <v>255</v>
      </c>
      <c r="D183" s="3" t="s">
        <v>113</v>
      </c>
      <c r="E183" s="43" t="s">
        <v>362</v>
      </c>
      <c r="F183" s="3" t="s">
        <v>6</v>
      </c>
      <c r="G183" s="4"/>
      <c r="H183" s="4"/>
      <c r="I183" s="5" t="str">
        <f t="shared" si="3"/>
        <v>Defs</v>
      </c>
      <c r="J183" t="str">
        <f>IF(Table2[[#This Row],[!Type]]=J$1, J$1,"rg:None")</f>
        <v>rg:None</v>
      </c>
      <c r="K183" t="str">
        <f>IF(Table2[[#This Row],[!Type]]=K$1, K$1,"rg:None")</f>
        <v>rg:None</v>
      </c>
      <c r="L183" t="str">
        <f>IF(Table2[[#This Row],[!Type]]=L$1, L$1,"rg:None")</f>
        <v>rg:None</v>
      </c>
      <c r="M183" t="str">
        <f>IF(Table2[[#This Row],[!Type]]=M$1, M$1,"rg:None")</f>
        <v>rg:None</v>
      </c>
      <c r="N183" s="10" t="str">
        <f>IF(Table2[[#This Row],[!Type]]=N$1, N$1,"rg:None")</f>
        <v>rg:None</v>
      </c>
      <c r="O183" s="10" t="str">
        <f>IF(Table2[[#This Row],[!Type]]=O$1, O$1,"rg:None")</f>
        <v>rg:None</v>
      </c>
      <c r="P183" s="5" t="str">
        <f>IF(Table2[[#This Row],[!Type]]=P$1, P$1,"rg:None")</f>
        <v>rg:None</v>
      </c>
      <c r="Q183" s="5" t="str">
        <f>IF(Table2[[#This Row],[!Type]]=Q$1, Q$1,"rg:None")</f>
        <v>rg:None</v>
      </c>
      <c r="R183" s="5" t="str">
        <f>IF(Table2[[#This Row],[!Type]]=R$1, R$1,"rg:None")</f>
        <v>string</v>
      </c>
      <c r="S183" s="5" t="str">
        <f>IF(Table2[[#This Row],[!Type]]=S$1, S$1,"rg:None")</f>
        <v>rg:None</v>
      </c>
      <c r="T183" s="10">
        <f>IF(LEN(Table2[[#This Row],[!Length]]) &gt; 0, Table2[[#This Row],[!Length]], "rg:None")</f>
        <v>255</v>
      </c>
      <c r="U183" s="10" t="str">
        <f>IF(LEN(Table2[[#This Row],[!Name]]) &gt; 0, Table2[[#This Row],[!Name]], "rg:None")</f>
        <v>eventTypeCode</v>
      </c>
      <c r="V183" s="10" t="str">
        <f>IF(LEN(Table2[[#This Row],[!Description]]) &gt; 0, Table2[[#This Row],[!Description]], "rg:None")</f>
        <v>A categorization of the event for which the notification was created. The categories will be defined over time in code based on the requirements of the business. An example might be "ICBCOwnerNameChange" for when a change in the CCWData ICBC Owner Name field is changed.</v>
      </c>
      <c r="W183" s="10" t="str">
        <f>IF(LEN(Table2[[#This Row],[!FK]])&gt;0,Table2[[#This Row],[!FK]],"rg:None")</f>
        <v>rg:None</v>
      </c>
      <c r="X183" s="10" t="str">
        <f>IF(LEN(concatif2(A:A,Table2[[#This Row],[!Table]],G:G,"Y",D:D,",")) &gt; 0,"rg:[ { 'req' : '"&amp;concatif2(A:A,Table2[[#This Row],[!Table]],G:G,"Y",D:D,"' }, { 'req': '")&amp;"'} ]","rg:[]")</f>
        <v>rg:[ { 'req' : 'id'} ]</v>
      </c>
      <c r="Y183" s="10" t="str">
        <f>IF(LEN(Table2[[#This Row],[!Unique]])&gt;0,"rg:True","rg:None")</f>
        <v>rg:None</v>
      </c>
    </row>
    <row r="184" spans="1:25" x14ac:dyDescent="0.3">
      <c r="A184" s="3" t="s">
        <v>104</v>
      </c>
      <c r="B184" s="3" t="s">
        <v>8</v>
      </c>
      <c r="C184" s="3">
        <v>255</v>
      </c>
      <c r="D184" s="3" t="s">
        <v>114</v>
      </c>
      <c r="E184" s="43" t="s">
        <v>363</v>
      </c>
      <c r="F184" s="3" t="s">
        <v>6</v>
      </c>
      <c r="G184" s="4"/>
      <c r="H184" s="4"/>
      <c r="I184" s="5" t="str">
        <f t="shared" si="3"/>
        <v>Defs</v>
      </c>
      <c r="J184" t="str">
        <f>IF(Table2[[#This Row],[!Type]]=J$1, J$1,"rg:None")</f>
        <v>rg:None</v>
      </c>
      <c r="K184" t="str">
        <f>IF(Table2[[#This Row],[!Type]]=K$1, K$1,"rg:None")</f>
        <v>rg:None</v>
      </c>
      <c r="L184" t="str">
        <f>IF(Table2[[#This Row],[!Type]]=L$1, L$1,"rg:None")</f>
        <v>rg:None</v>
      </c>
      <c r="M184" t="str">
        <f>IF(Table2[[#This Row],[!Type]]=M$1, M$1,"rg:None")</f>
        <v>rg:None</v>
      </c>
      <c r="N184" s="10" t="str">
        <f>IF(Table2[[#This Row],[!Type]]=N$1, N$1,"rg:None")</f>
        <v>rg:None</v>
      </c>
      <c r="O184" s="10" t="str">
        <f>IF(Table2[[#This Row],[!Type]]=O$1, O$1,"rg:None")</f>
        <v>rg:None</v>
      </c>
      <c r="P184" s="5" t="str">
        <f>IF(Table2[[#This Row],[!Type]]=P$1, P$1,"rg:None")</f>
        <v>rg:None</v>
      </c>
      <c r="Q184" s="5" t="str">
        <f>IF(Table2[[#This Row],[!Type]]=Q$1, Q$1,"rg:None")</f>
        <v>rg:None</v>
      </c>
      <c r="R184" s="5" t="str">
        <f>IF(Table2[[#This Row],[!Type]]=R$1, R$1,"rg:None")</f>
        <v>string</v>
      </c>
      <c r="S184" s="5" t="str">
        <f>IF(Table2[[#This Row],[!Type]]=S$1, S$1,"rg:None")</f>
        <v>rg:None</v>
      </c>
      <c r="T184" s="10">
        <f>IF(LEN(Table2[[#This Row],[!Length]]) &gt; 0, Table2[[#This Row],[!Length]], "rg:None")</f>
        <v>255</v>
      </c>
      <c r="U184" s="10" t="str">
        <f>IF(LEN(Table2[[#This Row],[!Name]]) &gt; 0, Table2[[#This Row],[!Name]], "rg:None")</f>
        <v>eventSubTypeCode</v>
      </c>
      <c r="V184" s="10" t="str">
        <f>IF(LEN(Table2[[#This Row],[!Description]]) &gt; 0, Table2[[#This Row],[!Description]], "rg:None")</f>
        <v>A further categorization of the event for which the notification was created.</v>
      </c>
      <c r="W184" s="10" t="str">
        <f>IF(LEN(Table2[[#This Row],[!FK]])&gt;0,Table2[[#This Row],[!FK]],"rg:None")</f>
        <v>rg:None</v>
      </c>
      <c r="X184" s="10" t="str">
        <f>IF(LEN(concatif2(A:A,Table2[[#This Row],[!Table]],G:G,"Y",D:D,",")) &gt; 0,"rg:[ { 'req' : '"&amp;concatif2(A:A,Table2[[#This Row],[!Table]],G:G,"Y",D:D,"' }, { 'req': '")&amp;"'} ]","rg:[]")</f>
        <v>rg:[ { 'req' : 'id'} ]</v>
      </c>
      <c r="Y184" s="10" t="str">
        <f>IF(LEN(Table2[[#This Row],[!Unique]])&gt;0,"rg:True","rg:None")</f>
        <v>rg:None</v>
      </c>
    </row>
    <row r="185" spans="1:25" x14ac:dyDescent="0.3">
      <c r="A185" s="3" t="s">
        <v>104</v>
      </c>
      <c r="B185" s="3" t="s">
        <v>8</v>
      </c>
      <c r="C185" s="3">
        <v>2048</v>
      </c>
      <c r="D185" s="3" t="s">
        <v>54</v>
      </c>
      <c r="E185" s="43" t="s">
        <v>364</v>
      </c>
      <c r="F185" s="3" t="s">
        <v>6</v>
      </c>
      <c r="G185" s="4"/>
      <c r="H185" s="4"/>
      <c r="I185" s="5" t="str">
        <f t="shared" si="3"/>
        <v>Defs</v>
      </c>
      <c r="J185" t="str">
        <f>IF(Table2[[#This Row],[!Type]]=J$1, J$1,"rg:None")</f>
        <v>rg:None</v>
      </c>
      <c r="K185" t="str">
        <f>IF(Table2[[#This Row],[!Type]]=K$1, K$1,"rg:None")</f>
        <v>rg:None</v>
      </c>
      <c r="L185" t="str">
        <f>IF(Table2[[#This Row],[!Type]]=L$1, L$1,"rg:None")</f>
        <v>rg:None</v>
      </c>
      <c r="M185" t="str">
        <f>IF(Table2[[#This Row],[!Type]]=M$1, M$1,"rg:None")</f>
        <v>rg:None</v>
      </c>
      <c r="N185" s="10" t="str">
        <f>IF(Table2[[#This Row],[!Type]]=N$1, N$1,"rg:None")</f>
        <v>rg:None</v>
      </c>
      <c r="O185" s="10" t="str">
        <f>IF(Table2[[#This Row],[!Type]]=O$1, O$1,"rg:None")</f>
        <v>rg:None</v>
      </c>
      <c r="P185" s="5" t="str">
        <f>IF(Table2[[#This Row],[!Type]]=P$1, P$1,"rg:None")</f>
        <v>rg:None</v>
      </c>
      <c r="Q185" s="5" t="str">
        <f>IF(Table2[[#This Row],[!Type]]=Q$1, Q$1,"rg:None")</f>
        <v>rg:None</v>
      </c>
      <c r="R185" s="5" t="str">
        <f>IF(Table2[[#This Row],[!Type]]=R$1, R$1,"rg:None")</f>
        <v>string</v>
      </c>
      <c r="S185" s="5" t="str">
        <f>IF(Table2[[#This Row],[!Type]]=S$1, S$1,"rg:None")</f>
        <v>rg:None</v>
      </c>
      <c r="T185" s="10">
        <f>IF(LEN(Table2[[#This Row],[!Length]]) &gt; 0, Table2[[#This Row],[!Length]], "rg:None")</f>
        <v>2048</v>
      </c>
      <c r="U185" s="10" t="str">
        <f>IF(LEN(Table2[[#This Row],[!Name]]) &gt; 0, Table2[[#This Row],[!Name]], "rg:None")</f>
        <v>notes</v>
      </c>
      <c r="V185" s="10" t="str">
        <f>IF(LEN(Table2[[#This Row],[!Description]]) &gt; 0, Table2[[#This Row],[!Description]], "rg:None")</f>
        <v>An assembled text string about the event that triggered the notification. Includes both static text and data about the notification. User Interface code will be used (based on the eventTypeCode - category) to assemble a dynamic string of information about the event - potentially including links to other relevant data - such as link to the School Bus detail screen.</v>
      </c>
      <c r="W185" s="10" t="str">
        <f>IF(LEN(Table2[[#This Row],[!FK]])&gt;0,Table2[[#This Row],[!FK]],"rg:None")</f>
        <v>rg:None</v>
      </c>
      <c r="X185" s="10" t="str">
        <f>IF(LEN(concatif2(A:A,Table2[[#This Row],[!Table]],G:G,"Y",D:D,",")) &gt; 0,"rg:[ { 'req' : '"&amp;concatif2(A:A,Table2[[#This Row],[!Table]],G:G,"Y",D:D,"' }, { 'req': '")&amp;"'} ]","rg:[]")</f>
        <v>rg:[ { 'req' : 'id'} ]</v>
      </c>
      <c r="Y185" s="10" t="str">
        <f>IF(LEN(Table2[[#This Row],[!Unique]])&gt;0,"rg:True","rg:None")</f>
        <v>rg:None</v>
      </c>
    </row>
    <row r="186" spans="1:25" x14ac:dyDescent="0.3">
      <c r="A186" s="3" t="s">
        <v>104</v>
      </c>
      <c r="B186" s="3" t="s">
        <v>14</v>
      </c>
      <c r="C186" s="3"/>
      <c r="D186" s="3" t="s">
        <v>115</v>
      </c>
      <c r="E186" s="43" t="s">
        <v>350</v>
      </c>
      <c r="F186" s="3" t="s">
        <v>6</v>
      </c>
      <c r="G186" s="4"/>
      <c r="H186" s="4"/>
      <c r="I186" s="5" t="str">
        <f t="shared" si="3"/>
        <v>Defs</v>
      </c>
      <c r="J186" t="str">
        <f>IF(Table2[[#This Row],[!Type]]=J$1, J$1,"rg:None")</f>
        <v>boolean</v>
      </c>
      <c r="K186" t="str">
        <f>IF(Table2[[#This Row],[!Type]]=K$1, K$1,"rg:None")</f>
        <v>rg:None</v>
      </c>
      <c r="L186" t="str">
        <f>IF(Table2[[#This Row],[!Type]]=L$1, L$1,"rg:None")</f>
        <v>rg:None</v>
      </c>
      <c r="M186" t="str">
        <f>IF(Table2[[#This Row],[!Type]]=M$1, M$1,"rg:None")</f>
        <v>rg:None</v>
      </c>
      <c r="N186" s="10" t="str">
        <f>IF(Table2[[#This Row],[!Type]]=N$1, N$1,"rg:None")</f>
        <v>rg:None</v>
      </c>
      <c r="O186" s="10" t="str">
        <f>IF(Table2[[#This Row],[!Type]]=O$1, O$1,"rg:None")</f>
        <v>rg:None</v>
      </c>
      <c r="P186" s="5" t="str">
        <f>IF(Table2[[#This Row],[!Type]]=P$1, P$1,"rg:None")</f>
        <v>rg:None</v>
      </c>
      <c r="Q186" s="5" t="str">
        <f>IF(Table2[[#This Row],[!Type]]=Q$1, Q$1,"rg:None")</f>
        <v>rg:None</v>
      </c>
      <c r="R186" s="5" t="str">
        <f>IF(Table2[[#This Row],[!Type]]=R$1, R$1,"rg:None")</f>
        <v>rg:None</v>
      </c>
      <c r="S186" s="5" t="str">
        <f>IF(Table2[[#This Row],[!Type]]=S$1, S$1,"rg:None")</f>
        <v>rg:None</v>
      </c>
      <c r="T186" s="10" t="str">
        <f>IF(LEN(Table2[[#This Row],[!Length]]) &gt; 0, Table2[[#This Row],[!Length]], "rg:None")</f>
        <v>rg:None</v>
      </c>
      <c r="U186" s="10" t="str">
        <f>IF(LEN(Table2[[#This Row],[!Name]]) &gt; 0, Table2[[#This Row],[!Name]], "rg:None")</f>
        <v>notificationGenerated</v>
      </c>
      <c r="V186" s="10" t="str">
        <f>IF(LEN(Table2[[#This Row],[!Description]]) &gt; 0, Table2[[#This Row],[!Description]], "rg:None")</f>
        <v>TO BE REMOVED</v>
      </c>
      <c r="W186" s="10" t="str">
        <f>IF(LEN(Table2[[#This Row],[!FK]])&gt;0,Table2[[#This Row],[!FK]],"rg:None")</f>
        <v>rg:None</v>
      </c>
      <c r="X186" s="10" t="str">
        <f>IF(LEN(concatif2(A:A,Table2[[#This Row],[!Table]],G:G,"Y",D:D,",")) &gt; 0,"rg:[ { 'req' : '"&amp;concatif2(A:A,Table2[[#This Row],[!Table]],G:G,"Y",D:D,"' }, { 'req': '")&amp;"'} ]","rg:[]")</f>
        <v>rg:[ { 'req' : 'id'} ]</v>
      </c>
      <c r="Y186" s="10" t="str">
        <f>IF(LEN(Table2[[#This Row],[!Unique]])&gt;0,"rg:True","rg:None")</f>
        <v>rg:None</v>
      </c>
    </row>
    <row r="187" spans="1:25" x14ac:dyDescent="0.3">
      <c r="A187" s="3" t="s">
        <v>104</v>
      </c>
      <c r="B187" s="3" t="s">
        <v>9</v>
      </c>
      <c r="C187" s="3"/>
      <c r="D187" s="3" t="s">
        <v>39</v>
      </c>
      <c r="E187" s="27"/>
      <c r="F187" s="3" t="s">
        <v>4</v>
      </c>
      <c r="G187" s="4"/>
      <c r="H187" s="4"/>
      <c r="I187" s="5" t="str">
        <f t="shared" si="3"/>
        <v>Defs</v>
      </c>
      <c r="J187" t="str">
        <f>IF(Table2[[#This Row],[!Type]]=J$1, J$1,"rg:None")</f>
        <v>rg:None</v>
      </c>
      <c r="K187" t="str">
        <f>IF(Table2[[#This Row],[!Type]]=K$1, K$1,"rg:None")</f>
        <v>rg:None</v>
      </c>
      <c r="L187" t="str">
        <f>IF(Table2[[#This Row],[!Type]]=L$1, L$1,"rg:None")</f>
        <v>rg:None</v>
      </c>
      <c r="M187" t="str">
        <f>IF(Table2[[#This Row],[!Type]]=M$1, M$1,"rg:None")</f>
        <v>rg:None</v>
      </c>
      <c r="N187" s="10" t="str">
        <f>IF(Table2[[#This Row],[!Type]]=N$1, N$1,"rg:None")</f>
        <v>rg:None</v>
      </c>
      <c r="O187" s="10" t="str">
        <f>IF(Table2[[#This Row],[!Type]]=O$1, O$1,"rg:None")</f>
        <v>rg:None</v>
      </c>
      <c r="P187" s="5" t="str">
        <f>IF(Table2[[#This Row],[!Type]]=P$1, P$1,"rg:None")</f>
        <v>rg:None</v>
      </c>
      <c r="Q187" s="5" t="str">
        <f>IF(Table2[[#This Row],[!Type]]=Q$1, Q$1,"rg:None")</f>
        <v>ref</v>
      </c>
      <c r="R187" s="5" t="str">
        <f>IF(Table2[[#This Row],[!Type]]=R$1, R$1,"rg:None")</f>
        <v>rg:None</v>
      </c>
      <c r="S187" s="5" t="str">
        <f>IF(Table2[[#This Row],[!Type]]=S$1, S$1,"rg:None")</f>
        <v>rg:None</v>
      </c>
      <c r="T187" s="10" t="str">
        <f>IF(LEN(Table2[[#This Row],[!Length]]) &gt; 0, Table2[[#This Row],[!Length]], "rg:None")</f>
        <v>rg:None</v>
      </c>
      <c r="U187" s="10" t="str">
        <f>IF(LEN(Table2[[#This Row],[!Name]]) &gt; 0, Table2[[#This Row],[!Name]], "rg:None")</f>
        <v>schoolBus</v>
      </c>
      <c r="V187" s="10" t="str">
        <f>IF(LEN(Table2[[#This Row],[!Description]]) &gt; 0, Table2[[#This Row],[!Description]], "rg:None")</f>
        <v>rg:None</v>
      </c>
      <c r="W187" s="10" t="str">
        <f>IF(LEN(Table2[[#This Row],[!FK]])&gt;0,Table2[[#This Row],[!FK]],"rg:None")</f>
        <v>SchoolBus</v>
      </c>
      <c r="X187" s="10" t="str">
        <f>IF(LEN(concatif2(A:A,Table2[[#This Row],[!Table]],G:G,"Y",D:D,",")) &gt; 0,"rg:[ { 'req' : '"&amp;concatif2(A:A,Table2[[#This Row],[!Table]],G:G,"Y",D:D,"' }, { 'req': '")&amp;"'} ]","rg:[]")</f>
        <v>rg:[ { 'req' : 'id'} ]</v>
      </c>
      <c r="Y187" s="10" t="str">
        <f>IF(LEN(Table2[[#This Row],[!Unique]])&gt;0,"rg:True","rg:None")</f>
        <v>rg:None</v>
      </c>
    </row>
    <row r="188" spans="1:25" x14ac:dyDescent="0.3">
      <c r="A188" s="3" t="s">
        <v>0</v>
      </c>
      <c r="B188" s="3" t="s">
        <v>5</v>
      </c>
      <c r="C188" s="3"/>
      <c r="D188" s="3" t="s">
        <v>0</v>
      </c>
      <c r="E188" s="27" t="s">
        <v>175</v>
      </c>
      <c r="F188" s="3" t="s">
        <v>6</v>
      </c>
      <c r="G188" s="4"/>
      <c r="H188" s="4"/>
      <c r="I188" s="5" t="str">
        <f t="shared" si="3"/>
        <v>Defs</v>
      </c>
      <c r="J188" t="str">
        <f>IF(Table2[[#This Row],[!Type]]=J$1, J$1,"rg:None")</f>
        <v>rg:None</v>
      </c>
      <c r="K188" t="str">
        <f>IF(Table2[[#This Row],[!Type]]=K$1, K$1,"rg:None")</f>
        <v>rg:None</v>
      </c>
      <c r="L188" t="str">
        <f>IF(Table2[[#This Row],[!Type]]=L$1, L$1,"rg:None")</f>
        <v>rg:None</v>
      </c>
      <c r="M188" t="str">
        <f>IF(Table2[[#This Row],[!Type]]=M$1, M$1,"rg:None")</f>
        <v>rg:None</v>
      </c>
      <c r="N188" s="10" t="str">
        <f>IF(Table2[[#This Row],[!Type]]=N$1, N$1,"rg:None")</f>
        <v>rg:None</v>
      </c>
      <c r="O188" s="10" t="str">
        <f>IF(Table2[[#This Row],[!Type]]=O$1, O$1,"rg:None")</f>
        <v>rg:None</v>
      </c>
      <c r="P188" s="5" t="str">
        <f>IF(Table2[[#This Row],[!Type]]=P$1, P$1,"rg:None")</f>
        <v>rg:None</v>
      </c>
      <c r="Q188" s="5" t="str">
        <f>IF(Table2[[#This Row],[!Type]]=Q$1, Q$1,"rg:None")</f>
        <v>rg:None</v>
      </c>
      <c r="R188" s="5" t="str">
        <f>IF(Table2[[#This Row],[!Type]]=R$1, R$1,"rg:None")</f>
        <v>rg:None</v>
      </c>
      <c r="S188" s="5" t="str">
        <f>IF(Table2[[#This Row],[!Type]]=S$1, S$1,"rg:None")</f>
        <v>table</v>
      </c>
      <c r="T188" s="10" t="str">
        <f>IF(LEN(Table2[[#This Row],[!Length]]) &gt; 0, Table2[[#This Row],[!Length]], "rg:None")</f>
        <v>rg:None</v>
      </c>
      <c r="U188" s="10" t="str">
        <f>IF(LEN(Table2[[#This Row],[!Name]]) &gt; 0, Table2[[#This Row],[!Name]], "rg:None")</f>
        <v>User</v>
      </c>
      <c r="V188" s="10" t="str">
        <f>IF(LEN(Table2[[#This Row],[!Description]]) &gt; 0, Table2[[#This Row],[!Description]], "rg:None")</f>
        <v>Information about the users of the system.</v>
      </c>
      <c r="W188" s="10" t="str">
        <f>IF(LEN(Table2[[#This Row],[!FK]])&gt;0,Table2[[#This Row],[!FK]],"rg:None")</f>
        <v>rg:None</v>
      </c>
      <c r="X188" s="10" t="str">
        <f>IF(LEN(concatif2(A:A,Table2[[#This Row],[!Table]],G:G,"Y",D:D,",")) &gt; 0,"rg:[ { 'req' : '"&amp;concatif2(A:A,Table2[[#This Row],[!Table]],G:G,"Y",D:D,"' }, { 'req': '")&amp;"'} ]","rg:[]")</f>
        <v>rg:[ { 'req' : 'id' }, { 'req': 'givenName' }, { 'req': 'surname' }, { 'req': 'active'} ]</v>
      </c>
      <c r="Y188" s="10" t="str">
        <f>IF(LEN(Table2[[#This Row],[!Unique]])&gt;0,"rg:True","rg:None")</f>
        <v>rg:None</v>
      </c>
    </row>
    <row r="189" spans="1:25" x14ac:dyDescent="0.3">
      <c r="A189" s="3" t="s">
        <v>0</v>
      </c>
      <c r="B189" s="3" t="s">
        <v>7</v>
      </c>
      <c r="C189" s="3"/>
      <c r="D189" s="3" t="s">
        <v>7</v>
      </c>
      <c r="E189" s="27" t="s">
        <v>288</v>
      </c>
      <c r="F189" s="3" t="s">
        <v>6</v>
      </c>
      <c r="G189" s="4" t="s">
        <v>136</v>
      </c>
      <c r="H189" s="45" t="s">
        <v>136</v>
      </c>
      <c r="I189" s="5" t="str">
        <f t="shared" si="3"/>
        <v>Defs</v>
      </c>
      <c r="J189" t="str">
        <f>IF(Table2[[#This Row],[!Type]]=J$1, J$1,"rg:None")</f>
        <v>rg:None</v>
      </c>
      <c r="K189" t="str">
        <f>IF(Table2[[#This Row],[!Type]]=K$1, K$1,"rg:None")</f>
        <v>rg:None</v>
      </c>
      <c r="L189" t="str">
        <f>IF(Table2[[#This Row],[!Type]]=L$1, L$1,"rg:None")</f>
        <v>rg:None</v>
      </c>
      <c r="M189" t="str">
        <f>IF(Table2[[#This Row],[!Type]]=M$1, M$1,"rg:None")</f>
        <v>id</v>
      </c>
      <c r="N189" s="10" t="str">
        <f>IF(Table2[[#This Row],[!Type]]=N$1, N$1,"rg:None")</f>
        <v>rg:None</v>
      </c>
      <c r="O189" s="10" t="str">
        <f>IF(Table2[[#This Row],[!Type]]=O$1, O$1,"rg:None")</f>
        <v>rg:None</v>
      </c>
      <c r="P189" s="5" t="str">
        <f>IF(Table2[[#This Row],[!Type]]=P$1, P$1,"rg:None")</f>
        <v>rg:None</v>
      </c>
      <c r="Q189" s="5" t="str">
        <f>IF(Table2[[#This Row],[!Type]]=Q$1, Q$1,"rg:None")</f>
        <v>rg:None</v>
      </c>
      <c r="R189" s="5" t="str">
        <f>IF(Table2[[#This Row],[!Type]]=R$1, R$1,"rg:None")</f>
        <v>rg:None</v>
      </c>
      <c r="S189" s="5" t="str">
        <f>IF(Table2[[#This Row],[!Type]]=S$1, S$1,"rg:None")</f>
        <v>rg:None</v>
      </c>
      <c r="T189" s="10" t="str">
        <f>IF(LEN(Table2[[#This Row],[!Length]]) &gt; 0, Table2[[#This Row],[!Length]], "rg:None")</f>
        <v>rg:None</v>
      </c>
      <c r="U189" s="10" t="str">
        <f>IF(LEN(Table2[[#This Row],[!Name]]) &gt; 0, Table2[[#This Row],[!Name]], "rg:None")</f>
        <v>id</v>
      </c>
      <c r="V189" s="10" t="str">
        <f>IF(LEN(Table2[[#This Row],[!Description]]) &gt; 0, Table2[[#This Row],[!Description]], "rg:None")</f>
        <v>A system-generated unique identifier for a User</v>
      </c>
      <c r="W189" s="10" t="str">
        <f>IF(LEN(Table2[[#This Row],[!FK]])&gt;0,Table2[[#This Row],[!FK]],"rg:None")</f>
        <v>rg:None</v>
      </c>
      <c r="X189" s="10" t="str">
        <f>IF(LEN(concatif2(A:A,Table2[[#This Row],[!Table]],G:G,"Y",D:D,",")) &gt; 0,"rg:[ { 'req' : '"&amp;concatif2(A:A,Table2[[#This Row],[!Table]],G:G,"Y",D:D,"' }, { 'req': '")&amp;"'} ]","rg:[]")</f>
        <v>rg:[ { 'req' : 'id' }, { 'req': 'givenName' }, { 'req': 'surname' }, { 'req': 'active'} ]</v>
      </c>
      <c r="Y189" s="10" t="str">
        <f>IF(LEN(Table2[[#This Row],[!Unique]])&gt;0,"rg:True","rg:None")</f>
        <v>rg:True</v>
      </c>
    </row>
    <row r="190" spans="1:25" x14ac:dyDescent="0.3">
      <c r="A190" s="3" t="s">
        <v>0</v>
      </c>
      <c r="B190" s="3" t="s">
        <v>8</v>
      </c>
      <c r="C190" s="3">
        <v>255</v>
      </c>
      <c r="D190" s="3" t="s">
        <v>49</v>
      </c>
      <c r="E190" s="43" t="s">
        <v>355</v>
      </c>
      <c r="F190" s="3" t="s">
        <v>6</v>
      </c>
      <c r="G190" s="45" t="s">
        <v>136</v>
      </c>
      <c r="H190" s="4"/>
      <c r="I190" s="5" t="str">
        <f t="shared" si="3"/>
        <v>Defs</v>
      </c>
      <c r="J190" t="str">
        <f>IF(Table2[[#This Row],[!Type]]=J$1, J$1,"rg:None")</f>
        <v>rg:None</v>
      </c>
      <c r="K190" t="str">
        <f>IF(Table2[[#This Row],[!Type]]=K$1, K$1,"rg:None")</f>
        <v>rg:None</v>
      </c>
      <c r="L190" t="str">
        <f>IF(Table2[[#This Row],[!Type]]=L$1, L$1,"rg:None")</f>
        <v>rg:None</v>
      </c>
      <c r="M190" t="str">
        <f>IF(Table2[[#This Row],[!Type]]=M$1, M$1,"rg:None")</f>
        <v>rg:None</v>
      </c>
      <c r="N190" s="10" t="str">
        <f>IF(Table2[[#This Row],[!Type]]=N$1, N$1,"rg:None")</f>
        <v>rg:None</v>
      </c>
      <c r="O190" s="10" t="str">
        <f>IF(Table2[[#This Row],[!Type]]=O$1, O$1,"rg:None")</f>
        <v>rg:None</v>
      </c>
      <c r="P190" s="5" t="str">
        <f>IF(Table2[[#This Row],[!Type]]=P$1, P$1,"rg:None")</f>
        <v>rg:None</v>
      </c>
      <c r="Q190" s="5" t="str">
        <f>IF(Table2[[#This Row],[!Type]]=Q$1, Q$1,"rg:None")</f>
        <v>rg:None</v>
      </c>
      <c r="R190" s="5" t="str">
        <f>IF(Table2[[#This Row],[!Type]]=R$1, R$1,"rg:None")</f>
        <v>string</v>
      </c>
      <c r="S190" s="5" t="str">
        <f>IF(Table2[[#This Row],[!Type]]=S$1, S$1,"rg:None")</f>
        <v>rg:None</v>
      </c>
      <c r="T190" s="10">
        <f>IF(LEN(Table2[[#This Row],[!Length]]) &gt; 0, Table2[[#This Row],[!Length]], "rg:None")</f>
        <v>255</v>
      </c>
      <c r="U190" s="10" t="str">
        <f>IF(LEN(Table2[[#This Row],[!Name]]) &gt; 0, Table2[[#This Row],[!Name]], "rg:None")</f>
        <v>givenName</v>
      </c>
      <c r="V190" s="10" t="str">
        <f>IF(LEN(Table2[[#This Row],[!Description]]) &gt; 0, Table2[[#This Row],[!Description]], "rg:None")</f>
        <v>Given name of the user.</v>
      </c>
      <c r="W190" s="10" t="str">
        <f>IF(LEN(Table2[[#This Row],[!FK]])&gt;0,Table2[[#This Row],[!FK]],"rg:None")</f>
        <v>rg:None</v>
      </c>
      <c r="X190" s="10" t="str">
        <f>IF(LEN(concatif2(A:A,Table2[[#This Row],[!Table]],G:G,"Y",D:D,",")) &gt; 0,"rg:[ { 'req' : '"&amp;concatif2(A:A,Table2[[#This Row],[!Table]],G:G,"Y",D:D,"' }, { 'req': '")&amp;"'} ]","rg:[]")</f>
        <v>rg:[ { 'req' : 'id' }, { 'req': 'givenName' }, { 'req': 'surname' }, { 'req': 'active'} ]</v>
      </c>
      <c r="Y190" s="10" t="str">
        <f>IF(LEN(Table2[[#This Row],[!Unique]])&gt;0,"rg:True","rg:None")</f>
        <v>rg:None</v>
      </c>
    </row>
    <row r="191" spans="1:25" x14ac:dyDescent="0.3">
      <c r="A191" s="3" t="s">
        <v>0</v>
      </c>
      <c r="B191" s="3" t="s">
        <v>8</v>
      </c>
      <c r="C191" s="3">
        <v>50</v>
      </c>
      <c r="D191" s="3" t="s">
        <v>51</v>
      </c>
      <c r="E191" s="43" t="s">
        <v>354</v>
      </c>
      <c r="F191" s="3" t="s">
        <v>6</v>
      </c>
      <c r="G191" s="45" t="s">
        <v>136</v>
      </c>
      <c r="H191" s="4"/>
      <c r="I191" s="5" t="str">
        <f t="shared" ref="I191:I229" si="7">IF(LEN(A191) &gt; 0,"Defs","-")</f>
        <v>Defs</v>
      </c>
      <c r="J191" t="str">
        <f>IF(Table2[[#This Row],[!Type]]=J$1, J$1,"rg:None")</f>
        <v>rg:None</v>
      </c>
      <c r="K191" t="str">
        <f>IF(Table2[[#This Row],[!Type]]=K$1, K$1,"rg:None")</f>
        <v>rg:None</v>
      </c>
      <c r="L191" t="str">
        <f>IF(Table2[[#This Row],[!Type]]=L$1, L$1,"rg:None")</f>
        <v>rg:None</v>
      </c>
      <c r="M191" t="str">
        <f>IF(Table2[[#This Row],[!Type]]=M$1, M$1,"rg:None")</f>
        <v>rg:None</v>
      </c>
      <c r="N191" s="10" t="str">
        <f>IF(Table2[[#This Row],[!Type]]=N$1, N$1,"rg:None")</f>
        <v>rg:None</v>
      </c>
      <c r="O191" s="10" t="str">
        <f>IF(Table2[[#This Row],[!Type]]=O$1, O$1,"rg:None")</f>
        <v>rg:None</v>
      </c>
      <c r="P191" s="5" t="str">
        <f>IF(Table2[[#This Row],[!Type]]=P$1, P$1,"rg:None")</f>
        <v>rg:None</v>
      </c>
      <c r="Q191" s="5" t="str">
        <f>IF(Table2[[#This Row],[!Type]]=Q$1, Q$1,"rg:None")</f>
        <v>rg:None</v>
      </c>
      <c r="R191" s="5" t="str">
        <f>IF(Table2[[#This Row],[!Type]]=R$1, R$1,"rg:None")</f>
        <v>string</v>
      </c>
      <c r="S191" s="5" t="str">
        <f>IF(Table2[[#This Row],[!Type]]=S$1, S$1,"rg:None")</f>
        <v>rg:None</v>
      </c>
      <c r="T191" s="10">
        <f>IF(LEN(Table2[[#This Row],[!Length]]) &gt; 0, Table2[[#This Row],[!Length]], "rg:None")</f>
        <v>50</v>
      </c>
      <c r="U191" s="10" t="str">
        <f>IF(LEN(Table2[[#This Row],[!Name]]) &gt; 0, Table2[[#This Row],[!Name]], "rg:None")</f>
        <v>surname</v>
      </c>
      <c r="V191" s="10" t="str">
        <f>IF(LEN(Table2[[#This Row],[!Description]]) &gt; 0, Table2[[#This Row],[!Description]], "rg:None")</f>
        <v>Surname of the user.</v>
      </c>
      <c r="W191" s="10" t="str">
        <f>IF(LEN(Table2[[#This Row],[!FK]])&gt;0,Table2[[#This Row],[!FK]],"rg:None")</f>
        <v>rg:None</v>
      </c>
      <c r="X191" s="10" t="str">
        <f>IF(LEN(concatif2(A:A,Table2[[#This Row],[!Table]],G:G,"Y",D:D,",")) &gt; 0,"rg:[ { 'req' : '"&amp;concatif2(A:A,Table2[[#This Row],[!Table]],G:G,"Y",D:D,"' }, { 'req': '")&amp;"'} ]","rg:[]")</f>
        <v>rg:[ { 'req' : 'id' }, { 'req': 'givenName' }, { 'req': 'surname' }, { 'req': 'active'} ]</v>
      </c>
      <c r="Y191" s="10" t="str">
        <f>IF(LEN(Table2[[#This Row],[!Unique]])&gt;0,"rg:True","rg:None")</f>
        <v>rg:None</v>
      </c>
    </row>
    <row r="192" spans="1:25" x14ac:dyDescent="0.3">
      <c r="A192" s="3" t="s">
        <v>0</v>
      </c>
      <c r="B192" s="3" t="s">
        <v>8</v>
      </c>
      <c r="C192" s="3">
        <v>10</v>
      </c>
      <c r="D192" s="3" t="s">
        <v>117</v>
      </c>
      <c r="E192" s="43" t="s">
        <v>356</v>
      </c>
      <c r="F192" s="3" t="s">
        <v>6</v>
      </c>
      <c r="G192" s="4"/>
      <c r="H192" s="4"/>
      <c r="I192" s="5" t="str">
        <f t="shared" si="7"/>
        <v>Defs</v>
      </c>
      <c r="J192" t="str">
        <f>IF(Table2[[#This Row],[!Type]]=J$1, J$1,"rg:None")</f>
        <v>rg:None</v>
      </c>
      <c r="K192" t="str">
        <f>IF(Table2[[#This Row],[!Type]]=K$1, K$1,"rg:None")</f>
        <v>rg:None</v>
      </c>
      <c r="L192" t="str">
        <f>IF(Table2[[#This Row],[!Type]]=L$1, L$1,"rg:None")</f>
        <v>rg:None</v>
      </c>
      <c r="M192" t="str">
        <f>IF(Table2[[#This Row],[!Type]]=M$1, M$1,"rg:None")</f>
        <v>rg:None</v>
      </c>
      <c r="N192" s="10" t="str">
        <f>IF(Table2[[#This Row],[!Type]]=N$1, N$1,"rg:None")</f>
        <v>rg:None</v>
      </c>
      <c r="O192" s="10" t="str">
        <f>IF(Table2[[#This Row],[!Type]]=O$1, O$1,"rg:None")</f>
        <v>rg:None</v>
      </c>
      <c r="P192" s="5" t="str">
        <f>IF(Table2[[#This Row],[!Type]]=P$1, P$1,"rg:None")</f>
        <v>rg:None</v>
      </c>
      <c r="Q192" s="5" t="str">
        <f>IF(Table2[[#This Row],[!Type]]=Q$1, Q$1,"rg:None")</f>
        <v>rg:None</v>
      </c>
      <c r="R192" s="5" t="str">
        <f>IF(Table2[[#This Row],[!Type]]=R$1, R$1,"rg:None")</f>
        <v>string</v>
      </c>
      <c r="S192" s="5" t="str">
        <f>IF(Table2[[#This Row],[!Type]]=S$1, S$1,"rg:None")</f>
        <v>rg:None</v>
      </c>
      <c r="T192" s="10">
        <f>IF(LEN(Table2[[#This Row],[!Length]]) &gt; 0, Table2[[#This Row],[!Length]], "rg:None")</f>
        <v>10</v>
      </c>
      <c r="U192" s="10" t="str">
        <f>IF(LEN(Table2[[#This Row],[!Name]]) &gt; 0, Table2[[#This Row],[!Name]], "rg:None")</f>
        <v>initials</v>
      </c>
      <c r="V192" s="10" t="str">
        <f>IF(LEN(Table2[[#This Row],[!Description]]) &gt; 0, Table2[[#This Row],[!Description]], "rg:None")</f>
        <v>Initials of the user, to be presented where screen space is at a premium.</v>
      </c>
      <c r="W192" s="10" t="str">
        <f>IF(LEN(Table2[[#This Row],[!FK]])&gt;0,Table2[[#This Row],[!FK]],"rg:None")</f>
        <v>rg:None</v>
      </c>
      <c r="X192" s="10" t="str">
        <f>IF(LEN(concatif2(A:A,Table2[[#This Row],[!Table]],G:G,"Y",D:D,",")) &gt; 0,"rg:[ { 'req' : '"&amp;concatif2(A:A,Table2[[#This Row],[!Table]],G:G,"Y",D:D,"' }, { 'req': '")&amp;"'} ]","rg:[]")</f>
        <v>rg:[ { 'req' : 'id' }, { 'req': 'givenName' }, { 'req': 'surname' }, { 'req': 'active'} ]</v>
      </c>
      <c r="Y192" s="10" t="str">
        <f>IF(LEN(Table2[[#This Row],[!Unique]])&gt;0,"rg:True","rg:None")</f>
        <v>rg:None</v>
      </c>
    </row>
    <row r="193" spans="1:25" x14ac:dyDescent="0.3">
      <c r="A193" s="3" t="s">
        <v>0</v>
      </c>
      <c r="B193" s="3" t="s">
        <v>8</v>
      </c>
      <c r="C193" s="3">
        <v>255</v>
      </c>
      <c r="D193" s="3" t="s">
        <v>118</v>
      </c>
      <c r="E193" s="43" t="s">
        <v>357</v>
      </c>
      <c r="F193" s="3" t="s">
        <v>6</v>
      </c>
      <c r="G193" s="4"/>
      <c r="H193" s="4"/>
      <c r="I193" s="5" t="str">
        <f t="shared" si="7"/>
        <v>Defs</v>
      </c>
      <c r="J193" t="str">
        <f>IF(Table2[[#This Row],[!Type]]=J$1, J$1,"rg:None")</f>
        <v>rg:None</v>
      </c>
      <c r="K193" t="str">
        <f>IF(Table2[[#This Row],[!Type]]=K$1, K$1,"rg:None")</f>
        <v>rg:None</v>
      </c>
      <c r="L193" t="str">
        <f>IF(Table2[[#This Row],[!Type]]=L$1, L$1,"rg:None")</f>
        <v>rg:None</v>
      </c>
      <c r="M193" t="str">
        <f>IF(Table2[[#This Row],[!Type]]=M$1, M$1,"rg:None")</f>
        <v>rg:None</v>
      </c>
      <c r="N193" s="10" t="str">
        <f>IF(Table2[[#This Row],[!Type]]=N$1, N$1,"rg:None")</f>
        <v>rg:None</v>
      </c>
      <c r="O193" s="10" t="str">
        <f>IF(Table2[[#This Row],[!Type]]=O$1, O$1,"rg:None")</f>
        <v>rg:None</v>
      </c>
      <c r="P193" s="5" t="str">
        <f>IF(Table2[[#This Row],[!Type]]=P$1, P$1,"rg:None")</f>
        <v>rg:None</v>
      </c>
      <c r="Q193" s="5" t="str">
        <f>IF(Table2[[#This Row],[!Type]]=Q$1, Q$1,"rg:None")</f>
        <v>rg:None</v>
      </c>
      <c r="R193" s="5" t="str">
        <f>IF(Table2[[#This Row],[!Type]]=R$1, R$1,"rg:None")</f>
        <v>string</v>
      </c>
      <c r="S193" s="5" t="str">
        <f>IF(Table2[[#This Row],[!Type]]=S$1, S$1,"rg:None")</f>
        <v>rg:None</v>
      </c>
      <c r="T193" s="10">
        <f>IF(LEN(Table2[[#This Row],[!Length]]) &gt; 0, Table2[[#This Row],[!Length]], "rg:None")</f>
        <v>255</v>
      </c>
      <c r="U193" s="10" t="str">
        <f>IF(LEN(Table2[[#This Row],[!Name]]) &gt; 0, Table2[[#This Row],[!Name]], "rg:None")</f>
        <v>email</v>
      </c>
      <c r="V193" s="10" t="str">
        <f>IF(LEN(Table2[[#This Row],[!Description]]) &gt; 0, Table2[[#This Row],[!Description]], "rg:None")</f>
        <v>The email address of the user in the system.</v>
      </c>
      <c r="W193" s="10" t="str">
        <f>IF(LEN(Table2[[#This Row],[!FK]])&gt;0,Table2[[#This Row],[!FK]],"rg:None")</f>
        <v>rg:None</v>
      </c>
      <c r="X193" s="10" t="str">
        <f>IF(LEN(concatif2(A:A,Table2[[#This Row],[!Table]],G:G,"Y",D:D,",")) &gt; 0,"rg:[ { 'req' : '"&amp;concatif2(A:A,Table2[[#This Row],[!Table]],G:G,"Y",D:D,"' }, { 'req': '")&amp;"'} ]","rg:[]")</f>
        <v>rg:[ { 'req' : 'id' }, { 'req': 'givenName' }, { 'req': 'surname' }, { 'req': 'active'} ]</v>
      </c>
      <c r="Y193" s="10" t="str">
        <f>IF(LEN(Table2[[#This Row],[!Unique]])&gt;0,"rg:True","rg:None")</f>
        <v>rg:None</v>
      </c>
    </row>
    <row r="194" spans="1:25" x14ac:dyDescent="0.3">
      <c r="A194" s="3" t="s">
        <v>0</v>
      </c>
      <c r="B194" s="3" t="s">
        <v>14</v>
      </c>
      <c r="C194" s="3"/>
      <c r="D194" s="3" t="s">
        <v>116</v>
      </c>
      <c r="E194" s="43" t="s">
        <v>365</v>
      </c>
      <c r="F194" s="3" t="s">
        <v>6</v>
      </c>
      <c r="G194" s="4" t="s">
        <v>136</v>
      </c>
      <c r="H194" s="4"/>
      <c r="I194" s="5" t="str">
        <f t="shared" si="7"/>
        <v>Defs</v>
      </c>
      <c r="J194" t="str">
        <f>IF(Table2[[#This Row],[!Type]]=J$1, J$1,"rg:None")</f>
        <v>boolean</v>
      </c>
      <c r="K194" t="str">
        <f>IF(Table2[[#This Row],[!Type]]=K$1, K$1,"rg:None")</f>
        <v>rg:None</v>
      </c>
      <c r="L194" t="str">
        <f>IF(Table2[[#This Row],[!Type]]=L$1, L$1,"rg:None")</f>
        <v>rg:None</v>
      </c>
      <c r="M194" t="str">
        <f>IF(Table2[[#This Row],[!Type]]=M$1, M$1,"rg:None")</f>
        <v>rg:None</v>
      </c>
      <c r="N194" s="10" t="str">
        <f>IF(Table2[[#This Row],[!Type]]=N$1, N$1,"rg:None")</f>
        <v>rg:None</v>
      </c>
      <c r="O194" s="10" t="str">
        <f>IF(Table2[[#This Row],[!Type]]=O$1, O$1,"rg:None")</f>
        <v>rg:None</v>
      </c>
      <c r="P194" s="5" t="str">
        <f>IF(Table2[[#This Row],[!Type]]=P$1, P$1,"rg:None")</f>
        <v>rg:None</v>
      </c>
      <c r="Q194" s="5" t="str">
        <f>IF(Table2[[#This Row],[!Type]]=Q$1, Q$1,"rg:None")</f>
        <v>rg:None</v>
      </c>
      <c r="R194" s="5" t="str">
        <f>IF(Table2[[#This Row],[!Type]]=R$1, R$1,"rg:None")</f>
        <v>rg:None</v>
      </c>
      <c r="S194" s="5" t="str">
        <f>IF(Table2[[#This Row],[!Type]]=S$1, S$1,"rg:None")</f>
        <v>rg:None</v>
      </c>
      <c r="T194" s="10" t="str">
        <f>IF(LEN(Table2[[#This Row],[!Length]]) &gt; 0, Table2[[#This Row],[!Length]], "rg:None")</f>
        <v>rg:None</v>
      </c>
      <c r="U194" s="10" t="str">
        <f>IF(LEN(Table2[[#This Row],[!Name]]) &gt; 0, Table2[[#This Row],[!Name]], "rg:None")</f>
        <v>active</v>
      </c>
      <c r="V194" s="10" t="str">
        <f>IF(LEN(Table2[[#This Row],[!Description]]) &gt; 0, Table2[[#This Row],[!Description]], "rg:None")</f>
        <v>A flag indicating the User is active in the system. Set false to remove access to the system for the user.</v>
      </c>
      <c r="W194" s="10" t="str">
        <f>IF(LEN(Table2[[#This Row],[!FK]])&gt;0,Table2[[#This Row],[!FK]],"rg:None")</f>
        <v>rg:None</v>
      </c>
      <c r="X194" s="10" t="str">
        <f>IF(LEN(concatif2(A:A,Table2[[#This Row],[!Table]],G:G,"Y",D:D,",")) &gt; 0,"rg:[ { 'req' : '"&amp;concatif2(A:A,Table2[[#This Row],[!Table]],G:G,"Y",D:D,"' }, { 'req': '")&amp;"'} ]","rg:[]")</f>
        <v>rg:[ { 'req' : 'id' }, { 'req': 'givenName' }, { 'req': 'surname' }, { 'req': 'active'} ]</v>
      </c>
      <c r="Y194" s="10" t="str">
        <f>IF(LEN(Table2[[#This Row],[!Unique]])&gt;0,"rg:True","rg:None")</f>
        <v>rg:None</v>
      </c>
    </row>
    <row r="195" spans="1:25" x14ac:dyDescent="0.3">
      <c r="A195" s="3" t="s">
        <v>0</v>
      </c>
      <c r="B195" s="3" t="s">
        <v>8</v>
      </c>
      <c r="C195" s="3">
        <v>255</v>
      </c>
      <c r="D195" s="3" t="s">
        <v>119</v>
      </c>
      <c r="E195" s="27" t="s">
        <v>120</v>
      </c>
      <c r="F195" s="3" t="s">
        <v>6</v>
      </c>
      <c r="G195" s="4"/>
      <c r="H195" s="4"/>
      <c r="I195" s="5" t="str">
        <f t="shared" si="7"/>
        <v>Defs</v>
      </c>
      <c r="J195" t="str">
        <f>IF(Table2[[#This Row],[!Type]]=J$1, J$1,"rg:None")</f>
        <v>rg:None</v>
      </c>
      <c r="K195" t="str">
        <f>IF(Table2[[#This Row],[!Type]]=K$1, K$1,"rg:None")</f>
        <v>rg:None</v>
      </c>
      <c r="L195" t="str">
        <f>IF(Table2[[#This Row],[!Type]]=L$1, L$1,"rg:None")</f>
        <v>rg:None</v>
      </c>
      <c r="M195" t="str">
        <f>IF(Table2[[#This Row],[!Type]]=M$1, M$1,"rg:None")</f>
        <v>rg:None</v>
      </c>
      <c r="N195" s="10" t="str">
        <f>IF(Table2[[#This Row],[!Type]]=N$1, N$1,"rg:None")</f>
        <v>rg:None</v>
      </c>
      <c r="O195" s="10" t="str">
        <f>IF(Table2[[#This Row],[!Type]]=O$1, O$1,"rg:None")</f>
        <v>rg:None</v>
      </c>
      <c r="P195" s="5" t="str">
        <f>IF(Table2[[#This Row],[!Type]]=P$1, P$1,"rg:None")</f>
        <v>rg:None</v>
      </c>
      <c r="Q195" s="5" t="str">
        <f>IF(Table2[[#This Row],[!Type]]=Q$1, Q$1,"rg:None")</f>
        <v>rg:None</v>
      </c>
      <c r="R195" s="5" t="str">
        <f>IF(Table2[[#This Row],[!Type]]=R$1, R$1,"rg:None")</f>
        <v>string</v>
      </c>
      <c r="S195" s="5" t="str">
        <f>IF(Table2[[#This Row],[!Type]]=S$1, S$1,"rg:None")</f>
        <v>rg:None</v>
      </c>
      <c r="T195" s="10">
        <f>IF(LEN(Table2[[#This Row],[!Length]]) &gt; 0, Table2[[#This Row],[!Length]], "rg:None")</f>
        <v>255</v>
      </c>
      <c r="U195" s="10" t="str">
        <f>IF(LEN(Table2[[#This Row],[!Name]]) &gt; 0, Table2[[#This Row],[!Name]], "rg:None")</f>
        <v>smUserId</v>
      </c>
      <c r="V195" s="10" t="str">
        <f>IF(LEN(Table2[[#This Row],[!Description]]) &gt; 0, Table2[[#This Row],[!Description]], "rg:None")</f>
        <v>Security Manager User ID</v>
      </c>
      <c r="W195" s="10" t="str">
        <f>IF(LEN(Table2[[#This Row],[!FK]])&gt;0,Table2[[#This Row],[!FK]],"rg:None")</f>
        <v>rg:None</v>
      </c>
      <c r="X195" s="10" t="str">
        <f>IF(LEN(concatif2(A:A,Table2[[#This Row],[!Table]],G:G,"Y",D:D,",")) &gt; 0,"rg:[ { 'req' : '"&amp;concatif2(A:A,Table2[[#This Row],[!Table]],G:G,"Y",D:D,"' }, { 'req': '")&amp;"'} ]","rg:[]")</f>
        <v>rg:[ { 'req' : 'id' }, { 'req': 'givenName' }, { 'req': 'surname' }, { 'req': 'active'} ]</v>
      </c>
      <c r="Y195" s="10" t="str">
        <f>IF(LEN(Table2[[#This Row],[!Unique]])&gt;0,"rg:True","rg:None")</f>
        <v>rg:None</v>
      </c>
    </row>
    <row r="196" spans="1:25" x14ac:dyDescent="0.3">
      <c r="A196" s="3" t="s">
        <v>0</v>
      </c>
      <c r="B196" s="3" t="s">
        <v>8</v>
      </c>
      <c r="C196" s="3">
        <v>255</v>
      </c>
      <c r="D196" s="3" t="s">
        <v>121</v>
      </c>
      <c r="E196" s="43" t="s">
        <v>366</v>
      </c>
      <c r="F196" s="3" t="s">
        <v>6</v>
      </c>
      <c r="G196" s="4"/>
      <c r="H196" s="4"/>
      <c r="I196" s="5" t="str">
        <f t="shared" si="7"/>
        <v>Defs</v>
      </c>
      <c r="J196" t="str">
        <f>IF(Table2[[#This Row],[!Type]]=J$1, J$1,"rg:None")</f>
        <v>rg:None</v>
      </c>
      <c r="K196" t="str">
        <f>IF(Table2[[#This Row],[!Type]]=K$1, K$1,"rg:None")</f>
        <v>rg:None</v>
      </c>
      <c r="L196" t="str">
        <f>IF(Table2[[#This Row],[!Type]]=L$1, L$1,"rg:None")</f>
        <v>rg:None</v>
      </c>
      <c r="M196" t="str">
        <f>IF(Table2[[#This Row],[!Type]]=M$1, M$1,"rg:None")</f>
        <v>rg:None</v>
      </c>
      <c r="N196" s="10" t="str">
        <f>IF(Table2[[#This Row],[!Type]]=N$1, N$1,"rg:None")</f>
        <v>rg:None</v>
      </c>
      <c r="O196" s="10" t="str">
        <f>IF(Table2[[#This Row],[!Type]]=O$1, O$1,"rg:None")</f>
        <v>rg:None</v>
      </c>
      <c r="P196" s="5" t="str">
        <f>IF(Table2[[#This Row],[!Type]]=P$1, P$1,"rg:None")</f>
        <v>rg:None</v>
      </c>
      <c r="Q196" s="5" t="str">
        <f>IF(Table2[[#This Row],[!Type]]=Q$1, Q$1,"rg:None")</f>
        <v>rg:None</v>
      </c>
      <c r="R196" s="5" t="str">
        <f>IF(Table2[[#This Row],[!Type]]=R$1, R$1,"rg:None")</f>
        <v>string</v>
      </c>
      <c r="S196" s="5" t="str">
        <f>IF(Table2[[#This Row],[!Type]]=S$1, S$1,"rg:None")</f>
        <v>rg:None</v>
      </c>
      <c r="T196" s="10">
        <f>IF(LEN(Table2[[#This Row],[!Length]]) &gt; 0, Table2[[#This Row],[!Length]], "rg:None")</f>
        <v>255</v>
      </c>
      <c r="U196" s="10" t="str">
        <f>IF(LEN(Table2[[#This Row],[!Name]]) &gt; 0, Table2[[#This Row],[!Name]], "rg:None")</f>
        <v>guid</v>
      </c>
      <c r="V196" s="10" t="str">
        <f>IF(LEN(Table2[[#This Row],[!Description]]) &gt; 0, Table2[[#This Row],[!Description]], "rg:None")</f>
        <v>The GUID unique to the user as provided by the authentication system. In this case, authentication is done by Siteminder and the GUID uniquely identifies the user within the user directories managed by Siteminder - e.g. IDIR and BCeID. The GUID is equivalent to the IDIR Id, but is guaranteed unique to a person, while the IDIR ID is not - IDIR IDs can be recycled.</v>
      </c>
      <c r="W196" s="10" t="str">
        <f>IF(LEN(Table2[[#This Row],[!FK]])&gt;0,Table2[[#This Row],[!FK]],"rg:None")</f>
        <v>rg:None</v>
      </c>
      <c r="X196" s="10" t="str">
        <f>IF(LEN(concatif2(A:A,Table2[[#This Row],[!Table]],G:G,"Y",D:D,",")) &gt; 0,"rg:[ { 'req' : '"&amp;concatif2(A:A,Table2[[#This Row],[!Table]],G:G,"Y",D:D,"' }, { 'req': '")&amp;"'} ]","rg:[]")</f>
        <v>rg:[ { 'req' : 'id' }, { 'req': 'givenName' }, { 'req': 'surname' }, { 'req': 'active'} ]</v>
      </c>
      <c r="Y196" s="10" t="str">
        <f>IF(LEN(Table2[[#This Row],[!Unique]])&gt;0,"rg:True","rg:None")</f>
        <v>rg:None</v>
      </c>
    </row>
    <row r="197" spans="1:25" x14ac:dyDescent="0.3">
      <c r="A197" s="3" t="s">
        <v>0</v>
      </c>
      <c r="B197" s="3" t="s">
        <v>8</v>
      </c>
      <c r="C197" s="3">
        <v>255</v>
      </c>
      <c r="D197" s="3" t="s">
        <v>122</v>
      </c>
      <c r="E197" s="43" t="s">
        <v>367</v>
      </c>
      <c r="F197" s="3" t="s">
        <v>6</v>
      </c>
      <c r="G197" s="4"/>
      <c r="H197" s="4"/>
      <c r="I197" s="5" t="str">
        <f t="shared" si="7"/>
        <v>Defs</v>
      </c>
      <c r="J197" t="str">
        <f>IF(Table2[[#This Row],[!Type]]=J$1, J$1,"rg:None")</f>
        <v>rg:None</v>
      </c>
      <c r="K197" t="str">
        <f>IF(Table2[[#This Row],[!Type]]=K$1, K$1,"rg:None")</f>
        <v>rg:None</v>
      </c>
      <c r="L197" t="str">
        <f>IF(Table2[[#This Row],[!Type]]=L$1, L$1,"rg:None")</f>
        <v>rg:None</v>
      </c>
      <c r="M197" t="str">
        <f>IF(Table2[[#This Row],[!Type]]=M$1, M$1,"rg:None")</f>
        <v>rg:None</v>
      </c>
      <c r="N197" s="10" t="str">
        <f>IF(Table2[[#This Row],[!Type]]=N$1, N$1,"rg:None")</f>
        <v>rg:None</v>
      </c>
      <c r="O197" s="10" t="str">
        <f>IF(Table2[[#This Row],[!Type]]=O$1, O$1,"rg:None")</f>
        <v>rg:None</v>
      </c>
      <c r="P197" s="5" t="str">
        <f>IF(Table2[[#This Row],[!Type]]=P$1, P$1,"rg:None")</f>
        <v>rg:None</v>
      </c>
      <c r="Q197" s="5" t="str">
        <f>IF(Table2[[#This Row],[!Type]]=Q$1, Q$1,"rg:None")</f>
        <v>rg:None</v>
      </c>
      <c r="R197" s="5" t="str">
        <f>IF(Table2[[#This Row],[!Type]]=R$1, R$1,"rg:None")</f>
        <v>string</v>
      </c>
      <c r="S197" s="5" t="str">
        <f>IF(Table2[[#This Row],[!Type]]=S$1, S$1,"rg:None")</f>
        <v>rg:None</v>
      </c>
      <c r="T197" s="10">
        <f>IF(LEN(Table2[[#This Row],[!Length]]) &gt; 0, Table2[[#This Row],[!Length]], "rg:None")</f>
        <v>255</v>
      </c>
      <c r="U197" s="10" t="str">
        <f>IF(LEN(Table2[[#This Row],[!Name]]) &gt; 0, Table2[[#This Row],[!Name]], "rg:None")</f>
        <v>smAuthorizationDirectory</v>
      </c>
      <c r="V197" s="10" t="str">
        <f>IF(LEN(Table2[[#This Row],[!Description]]) &gt; 0, Table2[[#This Row],[!Description]], "rg:None")</f>
        <v>The user directory service used by Siteminder to authenticate the user - usually IDIR or BCeID.</v>
      </c>
      <c r="W197" s="10" t="str">
        <f>IF(LEN(Table2[[#This Row],[!FK]])&gt;0,Table2[[#This Row],[!FK]],"rg:None")</f>
        <v>rg:None</v>
      </c>
      <c r="X197" s="10" t="str">
        <f>IF(LEN(concatif2(A:A,Table2[[#This Row],[!Table]],G:G,"Y",D:D,",")) &gt; 0,"rg:[ { 'req' : '"&amp;concatif2(A:A,Table2[[#This Row],[!Table]],G:G,"Y",D:D,"' }, { 'req': '")&amp;"'} ]","rg:[]")</f>
        <v>rg:[ { 'req' : 'id' }, { 'req': 'givenName' }, { 'req': 'surname' }, { 'req': 'active'} ]</v>
      </c>
      <c r="Y197" s="10" t="str">
        <f>IF(LEN(Table2[[#This Row],[!Unique]])&gt;0,"rg:True","rg:None")</f>
        <v>rg:None</v>
      </c>
    </row>
    <row r="198" spans="1:25" x14ac:dyDescent="0.3">
      <c r="A198" s="34" t="s">
        <v>0</v>
      </c>
      <c r="B198" s="34" t="s">
        <v>55</v>
      </c>
      <c r="C198" s="3"/>
      <c r="D198" s="35" t="s">
        <v>123</v>
      </c>
      <c r="F198" s="36" t="s">
        <v>124</v>
      </c>
      <c r="G198" s="19"/>
      <c r="H198" s="19"/>
      <c r="I198" s="4" t="str">
        <f>IF(LEN(A198) &gt; 0,"Defs","-")</f>
        <v>Defs</v>
      </c>
      <c r="J198" s="16" t="str">
        <f>IF(Table2[[#This Row],[!Type]]=J$1, J$1,"rg:None")</f>
        <v>rg:None</v>
      </c>
      <c r="K198" s="33" t="str">
        <f>IF(Table2[[#This Row],[!Type]]=K$1, K$1,"rg:None")</f>
        <v>rg:None</v>
      </c>
      <c r="L198" s="16" t="str">
        <f>IF(Table2[[#This Row],[!Type]]=L$1, L$1,"rg:None")</f>
        <v>rg:None</v>
      </c>
      <c r="M198" s="16" t="str">
        <f>IF(Table2[[#This Row],[!Type]]=M$1, M$1,"rg:None")</f>
        <v>rg:None</v>
      </c>
      <c r="N198" s="16" t="str">
        <f>IF(Table2[[#This Row],[!Type]]=N$1, N$1,"rg:None")</f>
        <v>rg:None</v>
      </c>
      <c r="O198" s="16" t="str">
        <f>IF(Table2[[#This Row],[!Type]]=O$1, O$1,"rg:None")</f>
        <v>rg:None</v>
      </c>
      <c r="P198" s="4" t="str">
        <f>IF(Table2[[#This Row],[!Type]]=P$1, P$1,"rg:None")</f>
        <v>links</v>
      </c>
      <c r="Q198" s="4" t="str">
        <f>IF(Table2[[#This Row],[!Type]]=Q$1, Q$1,"rg:None")</f>
        <v>rg:None</v>
      </c>
      <c r="R198" s="4" t="str">
        <f>IF(Table2[[#This Row],[!Type]]=R$1, R$1,"rg:None")</f>
        <v>rg:None</v>
      </c>
      <c r="S198" s="4" t="str">
        <f>IF(Table2[[#This Row],[!Type]]=S$1, S$1,"rg:None")</f>
        <v>rg:None</v>
      </c>
      <c r="T198" s="16" t="str">
        <f>IF(LEN(Table2[[#This Row],[!Length]]) &gt; 0, Table2[[#This Row],[!Length]], "rg:None")</f>
        <v>rg:None</v>
      </c>
      <c r="U198" s="16" t="str">
        <f>IF(LEN(Table2[[#This Row],[!Name]]) &gt; 0, Table2[[#This Row],[!Name]], "rg:None")</f>
        <v>userRoles</v>
      </c>
      <c r="V198" s="16" t="str">
        <f>IF(LEN(Table2[[#This Row],[!Description]]) &gt; 0, Table2[[#This Row],[!Description]], "rg:None")</f>
        <v>rg:None</v>
      </c>
      <c r="W198" s="16" t="str">
        <f>IF(LEN(Table2[[#This Row],[!FK]])&gt;0,Table2[[#This Row],[!FK]],"rg:None")</f>
        <v>UserRole</v>
      </c>
      <c r="X198" s="16" t="str">
        <f>IF(LEN(concatif2(A:A,Table2[[#This Row],[!Table]],G:G,"Y",D:D,",")) &gt; 0,"rg:[ { 'req' : '"&amp;concatif2(A:A,Table2[[#This Row],[!Table]],G:G,"Y",D:D,"' }, { 'req': '")&amp;"'} ]","rg:[]")</f>
        <v>rg:[ { 'req' : 'id' }, { 'req': 'givenName' }, { 'req': 'surname' }, { 'req': 'active'} ]</v>
      </c>
      <c r="Y198" s="16" t="str">
        <f>IF(LEN(Table2[[#This Row],[!Unique]])&gt;0,"rg:True","rg:None")</f>
        <v>rg:None</v>
      </c>
    </row>
    <row r="199" spans="1:25" x14ac:dyDescent="0.3">
      <c r="A199" s="34" t="s">
        <v>0</v>
      </c>
      <c r="B199" s="34" t="s">
        <v>55</v>
      </c>
      <c r="C199" s="3"/>
      <c r="D199" s="34" t="s">
        <v>272</v>
      </c>
      <c r="F199" s="36" t="s">
        <v>133</v>
      </c>
      <c r="G199" s="19"/>
      <c r="H199" s="19"/>
      <c r="I199" s="4" t="str">
        <f>IF(LEN(A199) &gt; 0,"Defs","-")</f>
        <v>Defs</v>
      </c>
      <c r="J199" s="16" t="str">
        <f>IF(Table2[[#This Row],[!Type]]=J$1, J$1,"rg:None")</f>
        <v>rg:None</v>
      </c>
      <c r="K199" s="33" t="str">
        <f>IF(Table2[[#This Row],[!Type]]=K$1, K$1,"rg:None")</f>
        <v>rg:None</v>
      </c>
      <c r="L199" s="16" t="str">
        <f>IF(Table2[[#This Row],[!Type]]=L$1, L$1,"rg:None")</f>
        <v>rg:None</v>
      </c>
      <c r="M199" s="16" t="str">
        <f>IF(Table2[[#This Row],[!Type]]=M$1, M$1,"rg:None")</f>
        <v>rg:None</v>
      </c>
      <c r="N199" s="16" t="str">
        <f>IF(Table2[[#This Row],[!Type]]=N$1, N$1,"rg:None")</f>
        <v>rg:None</v>
      </c>
      <c r="O199" s="16" t="str">
        <f>IF(Table2[[#This Row],[!Type]]=O$1, O$1,"rg:None")</f>
        <v>rg:None</v>
      </c>
      <c r="P199" s="4" t="str">
        <f>IF(Table2[[#This Row],[!Type]]=P$1, P$1,"rg:None")</f>
        <v>links</v>
      </c>
      <c r="Q199" s="4" t="str">
        <f>IF(Table2[[#This Row],[!Type]]=Q$1, Q$1,"rg:None")</f>
        <v>rg:None</v>
      </c>
      <c r="R199" s="4" t="str">
        <f>IF(Table2[[#This Row],[!Type]]=R$1, R$1,"rg:None")</f>
        <v>rg:None</v>
      </c>
      <c r="S199" s="4" t="str">
        <f>IF(Table2[[#This Row],[!Type]]=S$1, S$1,"rg:None")</f>
        <v>rg:None</v>
      </c>
      <c r="T199" s="16" t="str">
        <f>IF(LEN(Table2[[#This Row],[!Length]]) &gt; 0, Table2[[#This Row],[!Length]], "rg:None")</f>
        <v>rg:None</v>
      </c>
      <c r="U199" s="16" t="str">
        <f>IF(LEN(Table2[[#This Row],[!Name]]) &gt; 0, Table2[[#This Row],[!Name]], "rg:None")</f>
        <v>groupMemberships</v>
      </c>
      <c r="V199" s="16" t="str">
        <f>IF(LEN(Table2[[#This Row],[!Description]]) &gt; 0, Table2[[#This Row],[!Description]], "rg:None")</f>
        <v>rg:None</v>
      </c>
      <c r="W199" s="16" t="str">
        <f>IF(LEN(Table2[[#This Row],[!FK]])&gt;0,Table2[[#This Row],[!FK]],"rg:None")</f>
        <v>GroupMembership</v>
      </c>
      <c r="X199" s="16" t="str">
        <f>IF(LEN(concatif2(A:A,Table2[[#This Row],[!Table]],G:G,"Y",D:D,",")) &gt; 0,"rg:[ { 'req' : '"&amp;concatif2(A:A,Table2[[#This Row],[!Table]],G:G,"Y",D:D,"' }, { 'req': '")&amp;"'} ]","rg:[]")</f>
        <v>rg:[ { 'req' : 'id' }, { 'req': 'givenName' }, { 'req': 'surname' }, { 'req': 'active'} ]</v>
      </c>
      <c r="Y199" s="16" t="str">
        <f>IF(LEN(Table2[[#This Row],[!Unique]])&gt;0,"rg:True","rg:None")</f>
        <v>rg:None</v>
      </c>
    </row>
    <row r="200" spans="1:25" x14ac:dyDescent="0.3">
      <c r="A200" s="54" t="s">
        <v>0</v>
      </c>
      <c r="B200" s="54" t="s">
        <v>9</v>
      </c>
      <c r="C200" s="3"/>
      <c r="D200" s="54" t="s">
        <v>96</v>
      </c>
      <c r="E200" s="54" t="s">
        <v>400</v>
      </c>
      <c r="F200" s="55" t="s">
        <v>87</v>
      </c>
      <c r="G200" s="19"/>
      <c r="H200" s="19"/>
      <c r="I200" s="4" t="str">
        <f>IF(LEN(A200) &gt; 0,"Defs","-")</f>
        <v>Defs</v>
      </c>
      <c r="J200" s="16" t="str">
        <f>IF(Table2[[#This Row],[!Type]]=J$1, J$1,"rg:None")</f>
        <v>rg:None</v>
      </c>
      <c r="K200" s="33" t="str">
        <f>IF(Table2[[#This Row],[!Type]]=K$1, K$1,"rg:None")</f>
        <v>rg:None</v>
      </c>
      <c r="L200" s="16" t="str">
        <f>IF(Table2[[#This Row],[!Type]]=L$1, L$1,"rg:None")</f>
        <v>rg:None</v>
      </c>
      <c r="M200" s="16" t="str">
        <f>IF(Table2[[#This Row],[!Type]]=M$1, M$1,"rg:None")</f>
        <v>rg:None</v>
      </c>
      <c r="N200" s="16" t="str">
        <f>IF(Table2[[#This Row],[!Type]]=N$1, N$1,"rg:None")</f>
        <v>rg:None</v>
      </c>
      <c r="O200" s="16" t="str">
        <f>IF(Table2[[#This Row],[!Type]]=O$1, O$1,"rg:None")</f>
        <v>rg:None</v>
      </c>
      <c r="P200" s="4" t="str">
        <f>IF(Table2[[#This Row],[!Type]]=P$1, P$1,"rg:None")</f>
        <v>rg:None</v>
      </c>
      <c r="Q200" s="4" t="str">
        <f>IF(Table2[[#This Row],[!Type]]=Q$1, Q$1,"rg:None")</f>
        <v>ref</v>
      </c>
      <c r="R200" s="4" t="str">
        <f>IF(Table2[[#This Row],[!Type]]=R$1, R$1,"rg:None")</f>
        <v>rg:None</v>
      </c>
      <c r="S200" s="4" t="str">
        <f>IF(Table2[[#This Row],[!Type]]=S$1, S$1,"rg:None")</f>
        <v>rg:None</v>
      </c>
      <c r="T200" s="16" t="str">
        <f>IF(LEN(Table2[[#This Row],[!Length]]) &gt; 0, Table2[[#This Row],[!Length]], "rg:None")</f>
        <v>rg:None</v>
      </c>
      <c r="U200" s="16" t="str">
        <f>IF(LEN(Table2[[#This Row],[!Name]]) &gt; 0, Table2[[#This Row],[!Name]], "rg:None")</f>
        <v>district</v>
      </c>
      <c r="V200" s="16" t="str">
        <f>IF(LEN(Table2[[#This Row],[!Description]]) &gt; 0, Table2[[#This Row],[!Description]], "rg:None")</f>
        <v>The District that the User belongs to</v>
      </c>
      <c r="W200" s="16" t="str">
        <f>IF(LEN(Table2[[#This Row],[!FK]])&gt;0,Table2[[#This Row],[!FK]],"rg:None")</f>
        <v>District</v>
      </c>
      <c r="X200" s="16" t="str">
        <f>IF(LEN(concatif2(A:A,Table2[[#This Row],[!Table]],G:G,"Y",D:D,",")) &gt; 0,"rg:[ { 'req' : '"&amp;concatif2(A:A,Table2[[#This Row],[!Table]],G:G,"Y",D:D,"' }, { 'req': '")&amp;"'} ]","rg:[]")</f>
        <v>rg:[ { 'req' : 'id' }, { 'req': 'givenName' }, { 'req': 'surname' }, { 'req': 'active'} ]</v>
      </c>
      <c r="Y200" s="16" t="str">
        <f>IF(LEN(Table2[[#This Row],[!Unique]])&gt;0,"rg:True","rg:None")</f>
        <v>rg:None</v>
      </c>
    </row>
    <row r="201" spans="1:25" x14ac:dyDescent="0.3">
      <c r="A201" s="3" t="s">
        <v>124</v>
      </c>
      <c r="B201" s="3" t="s">
        <v>5</v>
      </c>
      <c r="C201" s="3"/>
      <c r="D201" s="3" t="s">
        <v>124</v>
      </c>
      <c r="E201" s="43" t="s">
        <v>374</v>
      </c>
      <c r="F201" s="3" t="s">
        <v>6</v>
      </c>
      <c r="G201" s="4"/>
      <c r="H201" s="4"/>
      <c r="I201" s="5" t="str">
        <f t="shared" si="7"/>
        <v>Defs</v>
      </c>
      <c r="J201" t="str">
        <f>IF(Table2[[#This Row],[!Type]]=J$1, J$1,"rg:None")</f>
        <v>rg:None</v>
      </c>
      <c r="K201" t="str">
        <f>IF(Table2[[#This Row],[!Type]]=K$1, K$1,"rg:None")</f>
        <v>rg:None</v>
      </c>
      <c r="L201" t="str">
        <f>IF(Table2[[#This Row],[!Type]]=L$1, L$1,"rg:None")</f>
        <v>rg:None</v>
      </c>
      <c r="M201" t="str">
        <f>IF(Table2[[#This Row],[!Type]]=M$1, M$1,"rg:None")</f>
        <v>rg:None</v>
      </c>
      <c r="N201" s="10" t="str">
        <f>IF(Table2[[#This Row],[!Type]]=N$1, N$1,"rg:None")</f>
        <v>rg:None</v>
      </c>
      <c r="O201" s="10" t="str">
        <f>IF(Table2[[#This Row],[!Type]]=O$1, O$1,"rg:None")</f>
        <v>rg:None</v>
      </c>
      <c r="P201" s="5" t="str">
        <f>IF(Table2[[#This Row],[!Type]]=P$1, P$1,"rg:None")</f>
        <v>rg:None</v>
      </c>
      <c r="Q201" s="5" t="str">
        <f>IF(Table2[[#This Row],[!Type]]=Q$1, Q$1,"rg:None")</f>
        <v>rg:None</v>
      </c>
      <c r="R201" s="5" t="str">
        <f>IF(Table2[[#This Row],[!Type]]=R$1, R$1,"rg:None")</f>
        <v>rg:None</v>
      </c>
      <c r="S201" s="5" t="str">
        <f>IF(Table2[[#This Row],[!Type]]=S$1, S$1,"rg:None")</f>
        <v>table</v>
      </c>
      <c r="T201" s="10" t="str">
        <f>IF(LEN(Table2[[#This Row],[!Length]]) &gt; 0, Table2[[#This Row],[!Length]], "rg:None")</f>
        <v>rg:None</v>
      </c>
      <c r="U201" s="10" t="str">
        <f>IF(LEN(Table2[[#This Row],[!Name]]) &gt; 0, Table2[[#This Row],[!Name]], "rg:None")</f>
        <v>UserRole</v>
      </c>
      <c r="V201" s="10" t="str">
        <f>IF(LEN(Table2[[#This Row],[!Description]]) &gt; 0, Table2[[#This Row],[!Description]], "rg:None")</f>
        <v xml:space="preserve">A join table that provides allows each user to have any number of Roles in the system.  At login time the user is given the sum of the permissions of the roles assigned to that user. </v>
      </c>
      <c r="W201" s="10" t="str">
        <f>IF(LEN(Table2[[#This Row],[!FK]])&gt;0,Table2[[#This Row],[!FK]],"rg:None")</f>
        <v>rg:None</v>
      </c>
      <c r="X201" s="10" t="str">
        <f>IF(LEN(concatif2(A:A,Table2[[#This Row],[!Table]],G:G,"Y",D:D,",")) &gt; 0,"rg:[ { 'req' : '"&amp;concatif2(A:A,Table2[[#This Row],[!Table]],G:G,"Y",D:D,"' }, { 'req': '")&amp;"'} ]","rg:[]")</f>
        <v>rg:[ { 'req' : 'id' }, { 'req': 'effectiveDate'} ]</v>
      </c>
      <c r="Y201" s="10" t="str">
        <f>IF(LEN(Table2[[#This Row],[!Unique]])&gt;0,"rg:True","rg:None")</f>
        <v>rg:None</v>
      </c>
    </row>
    <row r="202" spans="1:25" x14ac:dyDescent="0.3">
      <c r="A202" s="3" t="s">
        <v>124</v>
      </c>
      <c r="B202" s="3" t="s">
        <v>7</v>
      </c>
      <c r="C202" s="3"/>
      <c r="D202" s="3" t="s">
        <v>7</v>
      </c>
      <c r="E202" s="27" t="s">
        <v>289</v>
      </c>
      <c r="F202" s="3" t="s">
        <v>6</v>
      </c>
      <c r="G202" s="4" t="s">
        <v>136</v>
      </c>
      <c r="H202" s="4"/>
      <c r="I202" s="5" t="str">
        <f t="shared" si="7"/>
        <v>Defs</v>
      </c>
      <c r="J202" t="str">
        <f>IF(Table2[[#This Row],[!Type]]=J$1, J$1,"rg:None")</f>
        <v>rg:None</v>
      </c>
      <c r="K202" t="str">
        <f>IF(Table2[[#This Row],[!Type]]=K$1, K$1,"rg:None")</f>
        <v>rg:None</v>
      </c>
      <c r="L202" t="str">
        <f>IF(Table2[[#This Row],[!Type]]=L$1, L$1,"rg:None")</f>
        <v>rg:None</v>
      </c>
      <c r="M202" t="str">
        <f>IF(Table2[[#This Row],[!Type]]=M$1, M$1,"rg:None")</f>
        <v>id</v>
      </c>
      <c r="N202" s="10" t="str">
        <f>IF(Table2[[#This Row],[!Type]]=N$1, N$1,"rg:None")</f>
        <v>rg:None</v>
      </c>
      <c r="O202" s="10" t="str">
        <f>IF(Table2[[#This Row],[!Type]]=O$1, O$1,"rg:None")</f>
        <v>rg:None</v>
      </c>
      <c r="P202" s="5" t="str">
        <f>IF(Table2[[#This Row],[!Type]]=P$1, P$1,"rg:None")</f>
        <v>rg:None</v>
      </c>
      <c r="Q202" s="5" t="str">
        <f>IF(Table2[[#This Row],[!Type]]=Q$1, Q$1,"rg:None")</f>
        <v>rg:None</v>
      </c>
      <c r="R202" s="5" t="str">
        <f>IF(Table2[[#This Row],[!Type]]=R$1, R$1,"rg:None")</f>
        <v>rg:None</v>
      </c>
      <c r="S202" s="5" t="str">
        <f>IF(Table2[[#This Row],[!Type]]=S$1, S$1,"rg:None")</f>
        <v>rg:None</v>
      </c>
      <c r="T202" s="10" t="str">
        <f>IF(LEN(Table2[[#This Row],[!Length]]) &gt; 0, Table2[[#This Row],[!Length]], "rg:None")</f>
        <v>rg:None</v>
      </c>
      <c r="U202" s="10" t="str">
        <f>IF(LEN(Table2[[#This Row],[!Name]]) &gt; 0, Table2[[#This Row],[!Name]], "rg:None")</f>
        <v>id</v>
      </c>
      <c r="V202" s="10" t="str">
        <f>IF(LEN(Table2[[#This Row],[!Description]]) &gt; 0, Table2[[#This Row],[!Description]], "rg:None")</f>
        <v>A system-generated unique identifier for a UserRole</v>
      </c>
      <c r="W202" s="10" t="str">
        <f>IF(LEN(Table2[[#This Row],[!FK]])&gt;0,Table2[[#This Row],[!FK]],"rg:None")</f>
        <v>rg:None</v>
      </c>
      <c r="X202" s="10" t="str">
        <f>IF(LEN(concatif2(A:A,Table2[[#This Row],[!Table]],G:G,"Y",D:D,",")) &gt; 0,"rg:[ { 'req' : '"&amp;concatif2(A:A,Table2[[#This Row],[!Table]],G:G,"Y",D:D,"' }, { 'req': '")&amp;"'} ]","rg:[]")</f>
        <v>rg:[ { 'req' : 'id' }, { 'req': 'effectiveDate'} ]</v>
      </c>
      <c r="Y202" s="10" t="str">
        <f>IF(LEN(Table2[[#This Row],[!Unique]])&gt;0,"rg:True","rg:None")</f>
        <v>rg:None</v>
      </c>
    </row>
    <row r="203" spans="1:25" x14ac:dyDescent="0.3">
      <c r="A203" s="3" t="s">
        <v>124</v>
      </c>
      <c r="B203" s="3" t="s">
        <v>25</v>
      </c>
      <c r="C203" s="3"/>
      <c r="D203" s="3" t="s">
        <v>125</v>
      </c>
      <c r="E203" s="43" t="s">
        <v>368</v>
      </c>
      <c r="F203" s="3" t="s">
        <v>6</v>
      </c>
      <c r="G203" s="4" t="s">
        <v>136</v>
      </c>
      <c r="H203" s="4"/>
      <c r="I203" s="5" t="str">
        <f t="shared" si="7"/>
        <v>Defs</v>
      </c>
      <c r="J203" t="str">
        <f>IF(Table2[[#This Row],[!Type]]=J$1, J$1,"rg:None")</f>
        <v>rg:None</v>
      </c>
      <c r="K203" t="str">
        <f>IF(Table2[[#This Row],[!Type]]=K$1, K$1,"rg:None")</f>
        <v>rg:None</v>
      </c>
      <c r="L203" t="str">
        <f>IF(Table2[[#This Row],[!Type]]=L$1, L$1,"rg:None")</f>
        <v>datetime</v>
      </c>
      <c r="M203" t="str">
        <f>IF(Table2[[#This Row],[!Type]]=M$1, M$1,"rg:None")</f>
        <v>rg:None</v>
      </c>
      <c r="N203" s="10" t="str">
        <f>IF(Table2[[#This Row],[!Type]]=N$1, N$1,"rg:None")</f>
        <v>rg:None</v>
      </c>
      <c r="O203" s="10" t="str">
        <f>IF(Table2[[#This Row],[!Type]]=O$1, O$1,"rg:None")</f>
        <v>rg:None</v>
      </c>
      <c r="P203" s="5" t="str">
        <f>IF(Table2[[#This Row],[!Type]]=P$1, P$1,"rg:None")</f>
        <v>rg:None</v>
      </c>
      <c r="Q203" s="5" t="str">
        <f>IF(Table2[[#This Row],[!Type]]=Q$1, Q$1,"rg:None")</f>
        <v>rg:None</v>
      </c>
      <c r="R203" s="5" t="str">
        <f>IF(Table2[[#This Row],[!Type]]=R$1, R$1,"rg:None")</f>
        <v>rg:None</v>
      </c>
      <c r="S203" s="5" t="str">
        <f>IF(Table2[[#This Row],[!Type]]=S$1, S$1,"rg:None")</f>
        <v>rg:None</v>
      </c>
      <c r="T203" s="10" t="str">
        <f>IF(LEN(Table2[[#This Row],[!Length]]) &gt; 0, Table2[[#This Row],[!Length]], "rg:None")</f>
        <v>rg:None</v>
      </c>
      <c r="U203" s="10" t="str">
        <f>IF(LEN(Table2[[#This Row],[!Name]]) &gt; 0, Table2[[#This Row],[!Name]], "rg:None")</f>
        <v>effectiveDate</v>
      </c>
      <c r="V203" s="10" t="str">
        <f>IF(LEN(Table2[[#This Row],[!Description]]) &gt; 0, Table2[[#This Row],[!Description]], "rg:None")</f>
        <v>The date on which the user was given the related role.</v>
      </c>
      <c r="W203" s="10" t="str">
        <f>IF(LEN(Table2[[#This Row],[!FK]])&gt;0,Table2[[#This Row],[!FK]],"rg:None")</f>
        <v>rg:None</v>
      </c>
      <c r="X203" s="10" t="str">
        <f>IF(LEN(concatif2(A:A,Table2[[#This Row],[!Table]],G:G,"Y",D:D,",")) &gt; 0,"rg:[ { 'req' : '"&amp;concatif2(A:A,Table2[[#This Row],[!Table]],G:G,"Y",D:D,"' }, { 'req': '")&amp;"'} ]","rg:[]")</f>
        <v>rg:[ { 'req' : 'id' }, { 'req': 'effectiveDate'} ]</v>
      </c>
      <c r="Y203" s="10" t="str">
        <f>IF(LEN(Table2[[#This Row],[!Unique]])&gt;0,"rg:True","rg:None")</f>
        <v>rg:None</v>
      </c>
    </row>
    <row r="204" spans="1:25" x14ac:dyDescent="0.3">
      <c r="A204" s="3" t="s">
        <v>124</v>
      </c>
      <c r="B204" s="3" t="s">
        <v>25</v>
      </c>
      <c r="C204" s="3"/>
      <c r="D204" s="3" t="s">
        <v>126</v>
      </c>
      <c r="E204" s="43" t="s">
        <v>369</v>
      </c>
      <c r="F204" s="3" t="s">
        <v>6</v>
      </c>
      <c r="G204" s="4"/>
      <c r="H204" s="4"/>
      <c r="I204" s="5" t="str">
        <f t="shared" si="7"/>
        <v>Defs</v>
      </c>
      <c r="J204" t="str">
        <f>IF(Table2[[#This Row],[!Type]]=J$1, J$1,"rg:None")</f>
        <v>rg:None</v>
      </c>
      <c r="K204" t="str">
        <f>IF(Table2[[#This Row],[!Type]]=K$1, K$1,"rg:None")</f>
        <v>rg:None</v>
      </c>
      <c r="L204" t="str">
        <f>IF(Table2[[#This Row],[!Type]]=L$1, L$1,"rg:None")</f>
        <v>datetime</v>
      </c>
      <c r="M204" t="str">
        <f>IF(Table2[[#This Row],[!Type]]=M$1, M$1,"rg:None")</f>
        <v>rg:None</v>
      </c>
      <c r="N204" s="10" t="str">
        <f>IF(Table2[[#This Row],[!Type]]=N$1, N$1,"rg:None")</f>
        <v>rg:None</v>
      </c>
      <c r="O204" s="10" t="str">
        <f>IF(Table2[[#This Row],[!Type]]=O$1, O$1,"rg:None")</f>
        <v>rg:None</v>
      </c>
      <c r="P204" s="5" t="str">
        <f>IF(Table2[[#This Row],[!Type]]=P$1, P$1,"rg:None")</f>
        <v>rg:None</v>
      </c>
      <c r="Q204" s="5" t="str">
        <f>IF(Table2[[#This Row],[!Type]]=Q$1, Q$1,"rg:None")</f>
        <v>rg:None</v>
      </c>
      <c r="R204" s="5" t="str">
        <f>IF(Table2[[#This Row],[!Type]]=R$1, R$1,"rg:None")</f>
        <v>rg:None</v>
      </c>
      <c r="S204" s="5" t="str">
        <f>IF(Table2[[#This Row],[!Type]]=S$1, S$1,"rg:None")</f>
        <v>rg:None</v>
      </c>
      <c r="T204" s="10" t="str">
        <f>IF(LEN(Table2[[#This Row],[!Length]]) &gt; 0, Table2[[#This Row],[!Length]], "rg:None")</f>
        <v>rg:None</v>
      </c>
      <c r="U204" s="10" t="str">
        <f>IF(LEN(Table2[[#This Row],[!Name]]) &gt; 0, Table2[[#This Row],[!Name]], "rg:None")</f>
        <v>expiryDate</v>
      </c>
      <c r="V204" s="10" t="str">
        <f>IF(LEN(Table2[[#This Row],[!Description]]) &gt; 0, Table2[[#This Row],[!Description]], "rg:None")</f>
        <v>The date on which a role previously assigned to a user was removed from that user.</v>
      </c>
      <c r="W204" s="10" t="str">
        <f>IF(LEN(Table2[[#This Row],[!FK]])&gt;0,Table2[[#This Row],[!FK]],"rg:None")</f>
        <v>rg:None</v>
      </c>
      <c r="X204" s="10" t="str">
        <f>IF(LEN(concatif2(A:A,Table2[[#This Row],[!Table]],G:G,"Y",D:D,",")) &gt; 0,"rg:[ { 'req' : '"&amp;concatif2(A:A,Table2[[#This Row],[!Table]],G:G,"Y",D:D,"' }, { 'req': '")&amp;"'} ]","rg:[]")</f>
        <v>rg:[ { 'req' : 'id' }, { 'req': 'effectiveDate'} ]</v>
      </c>
      <c r="Y204" s="10" t="str">
        <f>IF(LEN(Table2[[#This Row],[!Unique]])&gt;0,"rg:True","rg:None")</f>
        <v>rg:None</v>
      </c>
    </row>
    <row r="205" spans="1:25" x14ac:dyDescent="0.3">
      <c r="A205" s="3" t="s">
        <v>124</v>
      </c>
      <c r="B205" s="3" t="s">
        <v>9</v>
      </c>
      <c r="C205" s="3"/>
      <c r="D205" s="3" t="s">
        <v>53</v>
      </c>
      <c r="E205" s="27"/>
      <c r="F205" s="3" t="s">
        <v>127</v>
      </c>
      <c r="G205" s="4"/>
      <c r="H205" s="4"/>
      <c r="I205" s="5" t="str">
        <f t="shared" si="7"/>
        <v>Defs</v>
      </c>
      <c r="J205" t="str">
        <f>IF(Table2[[#This Row],[!Type]]=J$1, J$1,"rg:None")</f>
        <v>rg:None</v>
      </c>
      <c r="K205" t="str">
        <f>IF(Table2[[#This Row],[!Type]]=K$1, K$1,"rg:None")</f>
        <v>rg:None</v>
      </c>
      <c r="L205" t="str">
        <f>IF(Table2[[#This Row],[!Type]]=L$1, L$1,"rg:None")</f>
        <v>rg:None</v>
      </c>
      <c r="M205" t="str">
        <f>IF(Table2[[#This Row],[!Type]]=M$1, M$1,"rg:None")</f>
        <v>rg:None</v>
      </c>
      <c r="N205" s="10" t="str">
        <f>IF(Table2[[#This Row],[!Type]]=N$1, N$1,"rg:None")</f>
        <v>rg:None</v>
      </c>
      <c r="O205" s="10" t="str">
        <f>IF(Table2[[#This Row],[!Type]]=O$1, O$1,"rg:None")</f>
        <v>rg:None</v>
      </c>
      <c r="P205" s="5" t="str">
        <f>IF(Table2[[#This Row],[!Type]]=P$1, P$1,"rg:None")</f>
        <v>rg:None</v>
      </c>
      <c r="Q205" s="5" t="str">
        <f>IF(Table2[[#This Row],[!Type]]=Q$1, Q$1,"rg:None")</f>
        <v>ref</v>
      </c>
      <c r="R205" s="5" t="str">
        <f>IF(Table2[[#This Row],[!Type]]=R$1, R$1,"rg:None")</f>
        <v>rg:None</v>
      </c>
      <c r="S205" s="5" t="str">
        <f>IF(Table2[[#This Row],[!Type]]=S$1, S$1,"rg:None")</f>
        <v>rg:None</v>
      </c>
      <c r="T205" s="10" t="str">
        <f>IF(LEN(Table2[[#This Row],[!Length]]) &gt; 0, Table2[[#This Row],[!Length]], "rg:None")</f>
        <v>rg:None</v>
      </c>
      <c r="U205" s="10" t="str">
        <f>IF(LEN(Table2[[#This Row],[!Name]]) &gt; 0, Table2[[#This Row],[!Name]], "rg:None")</f>
        <v>role</v>
      </c>
      <c r="V205" s="10" t="str">
        <f>IF(LEN(Table2[[#This Row],[!Description]]) &gt; 0, Table2[[#This Row],[!Description]], "rg:None")</f>
        <v>rg:None</v>
      </c>
      <c r="W205" s="10" t="str">
        <f>IF(LEN(Table2[[#This Row],[!FK]])&gt;0,Table2[[#This Row],[!FK]],"rg:None")</f>
        <v>Role</v>
      </c>
      <c r="X205" s="10" t="str">
        <f>IF(LEN(concatif2(A:A,Table2[[#This Row],[!Table]],G:G,"Y",D:D,",")) &gt; 0,"rg:[ { 'req' : '"&amp;concatif2(A:A,Table2[[#This Row],[!Table]],G:G,"Y",D:D,"' }, { 'req': '")&amp;"'} ]","rg:[]")</f>
        <v>rg:[ { 'req' : 'id' }, { 'req': 'effectiveDate'} ]</v>
      </c>
      <c r="Y205" s="10" t="str">
        <f>IF(LEN(Table2[[#This Row],[!Unique]])&gt;0,"rg:True","rg:None")</f>
        <v>rg:None</v>
      </c>
    </row>
    <row r="206" spans="1:25" x14ac:dyDescent="0.3">
      <c r="A206" s="3" t="s">
        <v>127</v>
      </c>
      <c r="B206" s="3" t="s">
        <v>5</v>
      </c>
      <c r="C206" s="3"/>
      <c r="D206" s="3" t="s">
        <v>127</v>
      </c>
      <c r="E206" s="43" t="s">
        <v>370</v>
      </c>
      <c r="F206" s="3" t="s">
        <v>6</v>
      </c>
      <c r="G206" s="4"/>
      <c r="H206" s="4"/>
      <c r="I206" s="5" t="str">
        <f t="shared" si="7"/>
        <v>Defs</v>
      </c>
      <c r="J206" t="str">
        <f>IF(Table2[[#This Row],[!Type]]=J$1, J$1,"rg:None")</f>
        <v>rg:None</v>
      </c>
      <c r="K206" t="str">
        <f>IF(Table2[[#This Row],[!Type]]=K$1, K$1,"rg:None")</f>
        <v>rg:None</v>
      </c>
      <c r="L206" t="str">
        <f>IF(Table2[[#This Row],[!Type]]=L$1, L$1,"rg:None")</f>
        <v>rg:None</v>
      </c>
      <c r="M206" t="str">
        <f>IF(Table2[[#This Row],[!Type]]=M$1, M$1,"rg:None")</f>
        <v>rg:None</v>
      </c>
      <c r="N206" s="10" t="str">
        <f>IF(Table2[[#This Row],[!Type]]=N$1, N$1,"rg:None")</f>
        <v>rg:None</v>
      </c>
      <c r="O206" s="10" t="str">
        <f>IF(Table2[[#This Row],[!Type]]=O$1, O$1,"rg:None")</f>
        <v>rg:None</v>
      </c>
      <c r="P206" s="5" t="str">
        <f>IF(Table2[[#This Row],[!Type]]=P$1, P$1,"rg:None")</f>
        <v>rg:None</v>
      </c>
      <c r="Q206" s="5" t="str">
        <f>IF(Table2[[#This Row],[!Type]]=Q$1, Q$1,"rg:None")</f>
        <v>rg:None</v>
      </c>
      <c r="R206" s="5" t="str">
        <f>IF(Table2[[#This Row],[!Type]]=R$1, R$1,"rg:None")</f>
        <v>rg:None</v>
      </c>
      <c r="S206" s="5" t="str">
        <f>IF(Table2[[#This Row],[!Type]]=S$1, S$1,"rg:None")</f>
        <v>table</v>
      </c>
      <c r="T206" s="10" t="str">
        <f>IF(LEN(Table2[[#This Row],[!Length]]) &gt; 0, Table2[[#This Row],[!Length]], "rg:None")</f>
        <v>rg:None</v>
      </c>
      <c r="U206" s="10" t="str">
        <f>IF(LEN(Table2[[#This Row],[!Name]]) &gt; 0, Table2[[#This Row],[!Name]], "rg:None")</f>
        <v>Role</v>
      </c>
      <c r="V206" s="10" t="str">
        <f>IF(LEN(Table2[[#This Row],[!Description]]) &gt; 0, Table2[[#This Row],[!Description]], "rg:None")</f>
        <v>A table managed in the application by authorized users to create named Roles that can be assigned to Users as needed. Roles can be created as needed to support the users of the system and the roles they perform within the organization.</v>
      </c>
      <c r="W206" s="10" t="str">
        <f>IF(LEN(Table2[[#This Row],[!FK]])&gt;0,Table2[[#This Row],[!FK]],"rg:None")</f>
        <v>rg:None</v>
      </c>
      <c r="X206" s="10" t="str">
        <f>IF(LEN(concatif2(A:A,Table2[[#This Row],[!Table]],G:G,"Y",D:D,",")) &gt; 0,"rg:[ { 'req' : '"&amp;concatif2(A:A,Table2[[#This Row],[!Table]],G:G,"Y",D:D,"' }, { 'req': '")&amp;"'} ]","rg:[]")</f>
        <v>rg:[ { 'req' : 'id' }, { 'req': 'name' }, { 'req': 'description'} ]</v>
      </c>
      <c r="Y206" s="10" t="str">
        <f>IF(LEN(Table2[[#This Row],[!Unique]])&gt;0,"rg:True","rg:None")</f>
        <v>rg:None</v>
      </c>
    </row>
    <row r="207" spans="1:25" x14ac:dyDescent="0.3">
      <c r="A207" s="3" t="s">
        <v>127</v>
      </c>
      <c r="B207" s="3" t="s">
        <v>7</v>
      </c>
      <c r="C207" s="3"/>
      <c r="D207" s="3" t="s">
        <v>7</v>
      </c>
      <c r="E207" s="27" t="s">
        <v>290</v>
      </c>
      <c r="F207" s="3" t="s">
        <v>6</v>
      </c>
      <c r="G207" s="4" t="s">
        <v>136</v>
      </c>
      <c r="H207" s="4"/>
      <c r="I207" s="5" t="str">
        <f t="shared" si="7"/>
        <v>Defs</v>
      </c>
      <c r="J207" t="str">
        <f>IF(Table2[[#This Row],[!Type]]=J$1, J$1,"rg:None")</f>
        <v>rg:None</v>
      </c>
      <c r="K207" t="str">
        <f>IF(Table2[[#This Row],[!Type]]=K$1, K$1,"rg:None")</f>
        <v>rg:None</v>
      </c>
      <c r="L207" t="str">
        <f>IF(Table2[[#This Row],[!Type]]=L$1, L$1,"rg:None")</f>
        <v>rg:None</v>
      </c>
      <c r="M207" t="str">
        <f>IF(Table2[[#This Row],[!Type]]=M$1, M$1,"rg:None")</f>
        <v>id</v>
      </c>
      <c r="N207" s="10" t="str">
        <f>IF(Table2[[#This Row],[!Type]]=N$1, N$1,"rg:None")</f>
        <v>rg:None</v>
      </c>
      <c r="O207" s="10" t="str">
        <f>IF(Table2[[#This Row],[!Type]]=O$1, O$1,"rg:None")</f>
        <v>rg:None</v>
      </c>
      <c r="P207" s="5" t="str">
        <f>IF(Table2[[#This Row],[!Type]]=P$1, P$1,"rg:None")</f>
        <v>rg:None</v>
      </c>
      <c r="Q207" s="5" t="str">
        <f>IF(Table2[[#This Row],[!Type]]=Q$1, Q$1,"rg:None")</f>
        <v>rg:None</v>
      </c>
      <c r="R207" s="5" t="str">
        <f>IF(Table2[[#This Row],[!Type]]=R$1, R$1,"rg:None")</f>
        <v>rg:None</v>
      </c>
      <c r="S207" s="5" t="str">
        <f>IF(Table2[[#This Row],[!Type]]=S$1, S$1,"rg:None")</f>
        <v>rg:None</v>
      </c>
      <c r="T207" s="10" t="str">
        <f>IF(LEN(Table2[[#This Row],[!Length]]) &gt; 0, Table2[[#This Row],[!Length]], "rg:None")</f>
        <v>rg:None</v>
      </c>
      <c r="U207" s="10" t="str">
        <f>IF(LEN(Table2[[#This Row],[!Name]]) &gt; 0, Table2[[#This Row],[!Name]], "rg:None")</f>
        <v>id</v>
      </c>
      <c r="V207" s="10" t="str">
        <f>IF(LEN(Table2[[#This Row],[!Description]]) &gt; 0, Table2[[#This Row],[!Description]], "rg:None")</f>
        <v>A system-generated unique identifier for a Role</v>
      </c>
      <c r="W207" s="10" t="str">
        <f>IF(LEN(Table2[[#This Row],[!FK]])&gt;0,Table2[[#This Row],[!FK]],"rg:None")</f>
        <v>rg:None</v>
      </c>
      <c r="X207" s="10" t="str">
        <f>IF(LEN(concatif2(A:A,Table2[[#This Row],[!Table]],G:G,"Y",D:D,",")) &gt; 0,"rg:[ { 'req' : '"&amp;concatif2(A:A,Table2[[#This Row],[!Table]],G:G,"Y",D:D,"' }, { 'req': '")&amp;"'} ]","rg:[]")</f>
        <v>rg:[ { 'req' : 'id' }, { 'req': 'name' }, { 'req': 'description'} ]</v>
      </c>
      <c r="Y207" s="10" t="str">
        <f>IF(LEN(Table2[[#This Row],[!Unique]])&gt;0,"rg:True","rg:None")</f>
        <v>rg:None</v>
      </c>
    </row>
    <row r="208" spans="1:25" x14ac:dyDescent="0.3">
      <c r="A208" s="3" t="s">
        <v>127</v>
      </c>
      <c r="B208" s="3" t="s">
        <v>8</v>
      </c>
      <c r="C208" s="3">
        <v>255</v>
      </c>
      <c r="D208" s="3" t="s">
        <v>42</v>
      </c>
      <c r="E208" s="43" t="s">
        <v>371</v>
      </c>
      <c r="F208" s="3" t="s">
        <v>6</v>
      </c>
      <c r="G208" s="4" t="s">
        <v>136</v>
      </c>
      <c r="H208" s="4"/>
      <c r="I208" s="5" t="str">
        <f t="shared" si="7"/>
        <v>Defs</v>
      </c>
      <c r="J208" t="str">
        <f>IF(Table2[[#This Row],[!Type]]=J$1, J$1,"rg:None")</f>
        <v>rg:None</v>
      </c>
      <c r="K208" t="str">
        <f>IF(Table2[[#This Row],[!Type]]=K$1, K$1,"rg:None")</f>
        <v>rg:None</v>
      </c>
      <c r="L208" t="str">
        <f>IF(Table2[[#This Row],[!Type]]=L$1, L$1,"rg:None")</f>
        <v>rg:None</v>
      </c>
      <c r="M208" t="str">
        <f>IF(Table2[[#This Row],[!Type]]=M$1, M$1,"rg:None")</f>
        <v>rg:None</v>
      </c>
      <c r="N208" s="10" t="str">
        <f>IF(Table2[[#This Row],[!Type]]=N$1, N$1,"rg:None")</f>
        <v>rg:None</v>
      </c>
      <c r="O208" s="10" t="str">
        <f>IF(Table2[[#This Row],[!Type]]=O$1, O$1,"rg:None")</f>
        <v>rg:None</v>
      </c>
      <c r="P208" s="5" t="str">
        <f>IF(Table2[[#This Row],[!Type]]=P$1, P$1,"rg:None")</f>
        <v>rg:None</v>
      </c>
      <c r="Q208" s="5" t="str">
        <f>IF(Table2[[#This Row],[!Type]]=Q$1, Q$1,"rg:None")</f>
        <v>rg:None</v>
      </c>
      <c r="R208" s="5" t="str">
        <f>IF(Table2[[#This Row],[!Type]]=R$1, R$1,"rg:None")</f>
        <v>string</v>
      </c>
      <c r="S208" s="5" t="str">
        <f>IF(Table2[[#This Row],[!Type]]=S$1, S$1,"rg:None")</f>
        <v>rg:None</v>
      </c>
      <c r="T208" s="10">
        <f>IF(LEN(Table2[[#This Row],[!Length]]) &gt; 0, Table2[[#This Row],[!Length]], "rg:None")</f>
        <v>255</v>
      </c>
      <c r="U208" s="10" t="str">
        <f>IF(LEN(Table2[[#This Row],[!Name]]) &gt; 0, Table2[[#This Row],[!Name]], "rg:None")</f>
        <v>name</v>
      </c>
      <c r="V208" s="10" t="str">
        <f>IF(LEN(Table2[[#This Row],[!Description]]) &gt; 0, Table2[[#This Row],[!Description]], "rg:None")</f>
        <v>The name of the Role, as established by the user creating the role.</v>
      </c>
      <c r="W208" s="10" t="str">
        <f>IF(LEN(Table2[[#This Row],[!FK]])&gt;0,Table2[[#This Row],[!FK]],"rg:None")</f>
        <v>rg:None</v>
      </c>
      <c r="X208" s="10" t="str">
        <f>IF(LEN(concatif2(A:A,Table2[[#This Row],[!Table]],G:G,"Y",D:D,",")) &gt; 0,"rg:[ { 'req' : '"&amp;concatif2(A:A,Table2[[#This Row],[!Table]],G:G,"Y",D:D,"' }, { 'req': '")&amp;"'} ]","rg:[]")</f>
        <v>rg:[ { 'req' : 'id' }, { 'req': 'name' }, { 'req': 'description'} ]</v>
      </c>
      <c r="Y208" s="10" t="str">
        <f>IF(LEN(Table2[[#This Row],[!Unique]])&gt;0,"rg:True","rg:None")</f>
        <v>rg:None</v>
      </c>
    </row>
    <row r="209" spans="1:25" x14ac:dyDescent="0.3">
      <c r="A209" s="3" t="s">
        <v>127</v>
      </c>
      <c r="B209" s="3" t="s">
        <v>8</v>
      </c>
      <c r="C209" s="3">
        <v>255</v>
      </c>
      <c r="D209" s="3" t="s">
        <v>40</v>
      </c>
      <c r="E209" s="43" t="s">
        <v>372</v>
      </c>
      <c r="F209" s="3" t="s">
        <v>6</v>
      </c>
      <c r="G209" s="4" t="s">
        <v>136</v>
      </c>
      <c r="H209" s="4"/>
      <c r="I209" s="5" t="str">
        <f t="shared" si="7"/>
        <v>Defs</v>
      </c>
      <c r="J209" t="str">
        <f>IF(Table2[[#This Row],[!Type]]=J$1, J$1,"rg:None")</f>
        <v>rg:None</v>
      </c>
      <c r="K209" t="str">
        <f>IF(Table2[[#This Row],[!Type]]=K$1, K$1,"rg:None")</f>
        <v>rg:None</v>
      </c>
      <c r="L209" t="str">
        <f>IF(Table2[[#This Row],[!Type]]=L$1, L$1,"rg:None")</f>
        <v>rg:None</v>
      </c>
      <c r="M209" t="str">
        <f>IF(Table2[[#This Row],[!Type]]=M$1, M$1,"rg:None")</f>
        <v>rg:None</v>
      </c>
      <c r="N209" s="10" t="str">
        <f>IF(Table2[[#This Row],[!Type]]=N$1, N$1,"rg:None")</f>
        <v>rg:None</v>
      </c>
      <c r="O209" s="10" t="str">
        <f>IF(Table2[[#This Row],[!Type]]=O$1, O$1,"rg:None")</f>
        <v>rg:None</v>
      </c>
      <c r="P209" s="5" t="str">
        <f>IF(Table2[[#This Row],[!Type]]=P$1, P$1,"rg:None")</f>
        <v>rg:None</v>
      </c>
      <c r="Q209" s="5" t="str">
        <f>IF(Table2[[#This Row],[!Type]]=Q$1, Q$1,"rg:None")</f>
        <v>rg:None</v>
      </c>
      <c r="R209" s="5" t="str">
        <f>IF(Table2[[#This Row],[!Type]]=R$1, R$1,"rg:None")</f>
        <v>string</v>
      </c>
      <c r="S209" s="5" t="str">
        <f>IF(Table2[[#This Row],[!Type]]=S$1, S$1,"rg:None")</f>
        <v>rg:None</v>
      </c>
      <c r="T209" s="10">
        <f>IF(LEN(Table2[[#This Row],[!Length]]) &gt; 0, Table2[[#This Row],[!Length]], "rg:None")</f>
        <v>255</v>
      </c>
      <c r="U209" s="10" t="str">
        <f>IF(LEN(Table2[[#This Row],[!Name]]) &gt; 0, Table2[[#This Row],[!Name]], "rg:None")</f>
        <v>description</v>
      </c>
      <c r="V209" s="10" t="str">
        <f>IF(LEN(Table2[[#This Row],[!Description]]) &gt; 0, Table2[[#This Row],[!Description]], "rg:None")</f>
        <v>A description of the role as set by the user creating/updating the role.</v>
      </c>
      <c r="W209" s="10" t="str">
        <f>IF(LEN(Table2[[#This Row],[!FK]])&gt;0,Table2[[#This Row],[!FK]],"rg:None")</f>
        <v>rg:None</v>
      </c>
      <c r="X209" s="10" t="str">
        <f>IF(LEN(concatif2(A:A,Table2[[#This Row],[!Table]],G:G,"Y",D:D,",")) &gt; 0,"rg:[ { 'req' : '"&amp;concatif2(A:A,Table2[[#This Row],[!Table]],G:G,"Y",D:D,"' }, { 'req': '")&amp;"'} ]","rg:[]")</f>
        <v>rg:[ { 'req' : 'id' }, { 'req': 'name' }, { 'req': 'description'} ]</v>
      </c>
      <c r="Y209" s="10" t="str">
        <f>IF(LEN(Table2[[#This Row],[!Unique]])&gt;0,"rg:True","rg:None")</f>
        <v>rg:None</v>
      </c>
    </row>
    <row r="210" spans="1:25" x14ac:dyDescent="0.3">
      <c r="A210" s="3" t="s">
        <v>127</v>
      </c>
      <c r="B210" s="3" t="s">
        <v>55</v>
      </c>
      <c r="C210" s="3"/>
      <c r="D210" s="3" t="s">
        <v>128</v>
      </c>
      <c r="E210" s="27"/>
      <c r="F210" s="3" t="s">
        <v>129</v>
      </c>
      <c r="G210" s="4"/>
      <c r="H210" s="4"/>
      <c r="I210" s="5" t="str">
        <f t="shared" si="7"/>
        <v>Defs</v>
      </c>
      <c r="J210" t="str">
        <f>IF(Table2[[#This Row],[!Type]]=J$1, J$1,"rg:None")</f>
        <v>rg:None</v>
      </c>
      <c r="K210" t="str">
        <f>IF(Table2[[#This Row],[!Type]]=K$1, K$1,"rg:None")</f>
        <v>rg:None</v>
      </c>
      <c r="L210" t="str">
        <f>IF(Table2[[#This Row],[!Type]]=L$1, L$1,"rg:None")</f>
        <v>rg:None</v>
      </c>
      <c r="M210" t="str">
        <f>IF(Table2[[#This Row],[!Type]]=M$1, M$1,"rg:None")</f>
        <v>rg:None</v>
      </c>
      <c r="N210" s="10" t="str">
        <f>IF(Table2[[#This Row],[!Type]]=N$1, N$1,"rg:None")</f>
        <v>rg:None</v>
      </c>
      <c r="O210" s="10" t="str">
        <f>IF(Table2[[#This Row],[!Type]]=O$1, O$1,"rg:None")</f>
        <v>rg:None</v>
      </c>
      <c r="P210" s="5" t="str">
        <f>IF(Table2[[#This Row],[!Type]]=P$1, P$1,"rg:None")</f>
        <v>links</v>
      </c>
      <c r="Q210" s="5" t="str">
        <f>IF(Table2[[#This Row],[!Type]]=Q$1, Q$1,"rg:None")</f>
        <v>rg:None</v>
      </c>
      <c r="R210" s="5" t="str">
        <f>IF(Table2[[#This Row],[!Type]]=R$1, R$1,"rg:None")</f>
        <v>rg:None</v>
      </c>
      <c r="S210" s="5" t="str">
        <f>IF(Table2[[#This Row],[!Type]]=S$1, S$1,"rg:None")</f>
        <v>rg:None</v>
      </c>
      <c r="T210" s="10" t="str">
        <f>IF(LEN(Table2[[#This Row],[!Length]]) &gt; 0, Table2[[#This Row],[!Length]], "rg:None")</f>
        <v>rg:None</v>
      </c>
      <c r="U210" s="10" t="str">
        <f>IF(LEN(Table2[[#This Row],[!Name]]) &gt; 0, Table2[[#This Row],[!Name]], "rg:None")</f>
        <v>rolePermissions</v>
      </c>
      <c r="V210" s="10" t="str">
        <f>IF(LEN(Table2[[#This Row],[!Description]]) &gt; 0, Table2[[#This Row],[!Description]], "rg:None")</f>
        <v>rg:None</v>
      </c>
      <c r="W210" s="10" t="str">
        <f>IF(LEN(Table2[[#This Row],[!FK]])&gt;0,Table2[[#This Row],[!FK]],"rg:None")</f>
        <v>RolePermission</v>
      </c>
      <c r="X210" s="10" t="str">
        <f>IF(LEN(concatif2(A:A,Table2[[#This Row],[!Table]],G:G,"Y",D:D,",")) &gt; 0,"rg:[ { 'req' : '"&amp;concatif2(A:A,Table2[[#This Row],[!Table]],G:G,"Y",D:D,"' }, { 'req': '")&amp;"'} ]","rg:[]")</f>
        <v>rg:[ { 'req' : 'id' }, { 'req': 'name' }, { 'req': 'description'} ]</v>
      </c>
      <c r="Y210" s="10" t="str">
        <f>IF(LEN(Table2[[#This Row],[!Unique]])&gt;0,"rg:True","rg:None")</f>
        <v>rg:None</v>
      </c>
    </row>
    <row r="211" spans="1:25" x14ac:dyDescent="0.3">
      <c r="A211" s="3" t="s">
        <v>127</v>
      </c>
      <c r="B211" s="3" t="s">
        <v>55</v>
      </c>
      <c r="C211" s="3"/>
      <c r="D211" s="3" t="s">
        <v>123</v>
      </c>
      <c r="E211" s="27"/>
      <c r="F211" s="3" t="s">
        <v>124</v>
      </c>
      <c r="G211" s="4"/>
      <c r="H211" s="4"/>
      <c r="I211" s="5" t="str">
        <f t="shared" si="7"/>
        <v>Defs</v>
      </c>
      <c r="J211" t="str">
        <f>IF(Table2[[#This Row],[!Type]]=J$1, J$1,"rg:None")</f>
        <v>rg:None</v>
      </c>
      <c r="K211" t="str">
        <f>IF(Table2[[#This Row],[!Type]]=K$1, K$1,"rg:None")</f>
        <v>rg:None</v>
      </c>
      <c r="L211" t="str">
        <f>IF(Table2[[#This Row],[!Type]]=L$1, L$1,"rg:None")</f>
        <v>rg:None</v>
      </c>
      <c r="M211" t="str">
        <f>IF(Table2[[#This Row],[!Type]]=M$1, M$1,"rg:None")</f>
        <v>rg:None</v>
      </c>
      <c r="N211" s="10" t="str">
        <f>IF(Table2[[#This Row],[!Type]]=N$1, N$1,"rg:None")</f>
        <v>rg:None</v>
      </c>
      <c r="O211" s="10" t="str">
        <f>IF(Table2[[#This Row],[!Type]]=O$1, O$1,"rg:None")</f>
        <v>rg:None</v>
      </c>
      <c r="P211" s="5" t="str">
        <f>IF(Table2[[#This Row],[!Type]]=P$1, P$1,"rg:None")</f>
        <v>links</v>
      </c>
      <c r="Q211" s="5" t="str">
        <f>IF(Table2[[#This Row],[!Type]]=Q$1, Q$1,"rg:None")</f>
        <v>rg:None</v>
      </c>
      <c r="R211" s="5" t="str">
        <f>IF(Table2[[#This Row],[!Type]]=R$1, R$1,"rg:None")</f>
        <v>rg:None</v>
      </c>
      <c r="S211" s="5" t="str">
        <f>IF(Table2[[#This Row],[!Type]]=S$1, S$1,"rg:None")</f>
        <v>rg:None</v>
      </c>
      <c r="T211" s="10" t="str">
        <f>IF(LEN(Table2[[#This Row],[!Length]]) &gt; 0, Table2[[#This Row],[!Length]], "rg:None")</f>
        <v>rg:None</v>
      </c>
      <c r="U211" s="10" t="str">
        <f>IF(LEN(Table2[[#This Row],[!Name]]) &gt; 0, Table2[[#This Row],[!Name]], "rg:None")</f>
        <v>userRoles</v>
      </c>
      <c r="V211" s="10" t="str">
        <f>IF(LEN(Table2[[#This Row],[!Description]]) &gt; 0, Table2[[#This Row],[!Description]], "rg:None")</f>
        <v>rg:None</v>
      </c>
      <c r="W211" s="10" t="str">
        <f>IF(LEN(Table2[[#This Row],[!FK]])&gt;0,Table2[[#This Row],[!FK]],"rg:None")</f>
        <v>UserRole</v>
      </c>
      <c r="X211" s="10" t="str">
        <f>IF(LEN(concatif2(A:A,Table2[[#This Row],[!Table]],G:G,"Y",D:D,",")) &gt; 0,"rg:[ { 'req' : '"&amp;concatif2(A:A,Table2[[#This Row],[!Table]],G:G,"Y",D:D,"' }, { 'req': '")&amp;"'} ]","rg:[]")</f>
        <v>rg:[ { 'req' : 'id' }, { 'req': 'name' }, { 'req': 'description'} ]</v>
      </c>
      <c r="Y211" s="10" t="str">
        <f>IF(LEN(Table2[[#This Row],[!Unique]])&gt;0,"rg:True","rg:None")</f>
        <v>rg:None</v>
      </c>
    </row>
    <row r="212" spans="1:25" x14ac:dyDescent="0.3">
      <c r="A212" s="3" t="s">
        <v>129</v>
      </c>
      <c r="B212" s="3" t="s">
        <v>5</v>
      </c>
      <c r="C212" s="3"/>
      <c r="D212" s="3" t="s">
        <v>129</v>
      </c>
      <c r="E212" s="43" t="s">
        <v>373</v>
      </c>
      <c r="F212" s="3" t="s">
        <v>6</v>
      </c>
      <c r="G212" s="4"/>
      <c r="H212" s="4"/>
      <c r="I212" s="5" t="str">
        <f t="shared" si="7"/>
        <v>Defs</v>
      </c>
      <c r="J212" t="str">
        <f>IF(Table2[[#This Row],[!Type]]=J$1, J$1,"rg:None")</f>
        <v>rg:None</v>
      </c>
      <c r="K212" t="str">
        <f>IF(Table2[[#This Row],[!Type]]=K$1, K$1,"rg:None")</f>
        <v>rg:None</v>
      </c>
      <c r="L212" t="str">
        <f>IF(Table2[[#This Row],[!Type]]=L$1, L$1,"rg:None")</f>
        <v>rg:None</v>
      </c>
      <c r="M212" t="str">
        <f>IF(Table2[[#This Row],[!Type]]=M$1, M$1,"rg:None")</f>
        <v>rg:None</v>
      </c>
      <c r="N212" s="10" t="str">
        <f>IF(Table2[[#This Row],[!Type]]=N$1, N$1,"rg:None")</f>
        <v>rg:None</v>
      </c>
      <c r="O212" s="10" t="str">
        <f>IF(Table2[[#This Row],[!Type]]=O$1, O$1,"rg:None")</f>
        <v>rg:None</v>
      </c>
      <c r="P212" s="5" t="str">
        <f>IF(Table2[[#This Row],[!Type]]=P$1, P$1,"rg:None")</f>
        <v>rg:None</v>
      </c>
      <c r="Q212" s="5" t="str">
        <f>IF(Table2[[#This Row],[!Type]]=Q$1, Q$1,"rg:None")</f>
        <v>rg:None</v>
      </c>
      <c r="R212" s="5" t="str">
        <f>IF(Table2[[#This Row],[!Type]]=R$1, R$1,"rg:None")</f>
        <v>rg:None</v>
      </c>
      <c r="S212" s="5" t="str">
        <f>IF(Table2[[#This Row],[!Type]]=S$1, S$1,"rg:None")</f>
        <v>table</v>
      </c>
      <c r="T212" s="10" t="str">
        <f>IF(LEN(Table2[[#This Row],[!Length]]) &gt; 0, Table2[[#This Row],[!Length]], "rg:None")</f>
        <v>rg:None</v>
      </c>
      <c r="U212" s="10" t="str">
        <f>IF(LEN(Table2[[#This Row],[!Name]]) &gt; 0, Table2[[#This Row],[!Name]], "rg:None")</f>
        <v>RolePermission</v>
      </c>
      <c r="V212" s="10" t="str">
        <f>IF(LEN(Table2[[#This Row],[!Description]]) &gt; 0, Table2[[#This Row],[!Description]], "rg:None")</f>
        <v>The collection of permissions included in a role.</v>
      </c>
      <c r="W212" s="10" t="str">
        <f>IF(LEN(Table2[[#This Row],[!FK]])&gt;0,Table2[[#This Row],[!FK]],"rg:None")</f>
        <v>rg:None</v>
      </c>
      <c r="X212" s="10" t="str">
        <f>IF(LEN(concatif2(A:A,Table2[[#This Row],[!Table]],G:G,"Y",D:D,",")) &gt; 0,"rg:[ { 'req' : '"&amp;concatif2(A:A,Table2[[#This Row],[!Table]],G:G,"Y",D:D,"' }, { 'req': '")&amp;"'} ]","rg:[]")</f>
        <v>rg:[ { 'req' : 'id'} ]</v>
      </c>
      <c r="Y212" s="10" t="str">
        <f>IF(LEN(Table2[[#This Row],[!Unique]])&gt;0,"rg:True","rg:None")</f>
        <v>rg:None</v>
      </c>
    </row>
    <row r="213" spans="1:25" x14ac:dyDescent="0.3">
      <c r="A213" s="3" t="s">
        <v>129</v>
      </c>
      <c r="B213" s="3" t="s">
        <v>7</v>
      </c>
      <c r="C213" s="3"/>
      <c r="D213" s="3" t="s">
        <v>7</v>
      </c>
      <c r="E213" s="27" t="s">
        <v>291</v>
      </c>
      <c r="F213" s="3" t="s">
        <v>6</v>
      </c>
      <c r="G213" s="4" t="s">
        <v>136</v>
      </c>
      <c r="H213" s="4"/>
      <c r="I213" s="5" t="str">
        <f t="shared" si="7"/>
        <v>Defs</v>
      </c>
      <c r="J213" t="str">
        <f>IF(Table2[[#This Row],[!Type]]=J$1, J$1,"rg:None")</f>
        <v>rg:None</v>
      </c>
      <c r="K213" t="str">
        <f>IF(Table2[[#This Row],[!Type]]=K$1, K$1,"rg:None")</f>
        <v>rg:None</v>
      </c>
      <c r="L213" t="str">
        <f>IF(Table2[[#This Row],[!Type]]=L$1, L$1,"rg:None")</f>
        <v>rg:None</v>
      </c>
      <c r="M213" t="str">
        <f>IF(Table2[[#This Row],[!Type]]=M$1, M$1,"rg:None")</f>
        <v>id</v>
      </c>
      <c r="N213" s="10" t="str">
        <f>IF(Table2[[#This Row],[!Type]]=N$1, N$1,"rg:None")</f>
        <v>rg:None</v>
      </c>
      <c r="O213" s="10" t="str">
        <f>IF(Table2[[#This Row],[!Type]]=O$1, O$1,"rg:None")</f>
        <v>rg:None</v>
      </c>
      <c r="P213" s="5" t="str">
        <f>IF(Table2[[#This Row],[!Type]]=P$1, P$1,"rg:None")</f>
        <v>rg:None</v>
      </c>
      <c r="Q213" s="5" t="str">
        <f>IF(Table2[[#This Row],[!Type]]=Q$1, Q$1,"rg:None")</f>
        <v>rg:None</v>
      </c>
      <c r="R213" s="5" t="str">
        <f>IF(Table2[[#This Row],[!Type]]=R$1, R$1,"rg:None")</f>
        <v>rg:None</v>
      </c>
      <c r="S213" s="5" t="str">
        <f>IF(Table2[[#This Row],[!Type]]=S$1, S$1,"rg:None")</f>
        <v>rg:None</v>
      </c>
      <c r="T213" s="10" t="str">
        <f>IF(LEN(Table2[[#This Row],[!Length]]) &gt; 0, Table2[[#This Row],[!Length]], "rg:None")</f>
        <v>rg:None</v>
      </c>
      <c r="U213" s="10" t="str">
        <f>IF(LEN(Table2[[#This Row],[!Name]]) &gt; 0, Table2[[#This Row],[!Name]], "rg:None")</f>
        <v>id</v>
      </c>
      <c r="V213" s="10" t="str">
        <f>IF(LEN(Table2[[#This Row],[!Description]]) &gt; 0, Table2[[#This Row],[!Description]], "rg:None")</f>
        <v>A system-generated unique identifier for a RolePermission</v>
      </c>
      <c r="W213" s="10" t="str">
        <f>IF(LEN(Table2[[#This Row],[!FK]])&gt;0,Table2[[#This Row],[!FK]],"rg:None")</f>
        <v>rg:None</v>
      </c>
      <c r="X213" s="10" t="str">
        <f>IF(LEN(concatif2(A:A,Table2[[#This Row],[!Table]],G:G,"Y",D:D,",")) &gt; 0,"rg:[ { 'req' : '"&amp;concatif2(A:A,Table2[[#This Row],[!Table]],G:G,"Y",D:D,"' }, { 'req': '")&amp;"'} ]","rg:[]")</f>
        <v>rg:[ { 'req' : 'id'} ]</v>
      </c>
      <c r="Y213" s="10" t="str">
        <f>IF(LEN(Table2[[#This Row],[!Unique]])&gt;0,"rg:True","rg:None")</f>
        <v>rg:None</v>
      </c>
    </row>
    <row r="214" spans="1:25" x14ac:dyDescent="0.3">
      <c r="A214" s="3" t="s">
        <v>129</v>
      </c>
      <c r="B214" s="3" t="s">
        <v>9</v>
      </c>
      <c r="C214" s="3"/>
      <c r="D214" s="3" t="s">
        <v>53</v>
      </c>
      <c r="E214" s="27"/>
      <c r="F214" s="3" t="s">
        <v>127</v>
      </c>
      <c r="G214" s="4"/>
      <c r="H214" s="4"/>
      <c r="I214" s="5" t="str">
        <f t="shared" si="7"/>
        <v>Defs</v>
      </c>
      <c r="J214" t="str">
        <f>IF(Table2[[#This Row],[!Type]]=J$1, J$1,"rg:None")</f>
        <v>rg:None</v>
      </c>
      <c r="K214" t="str">
        <f>IF(Table2[[#This Row],[!Type]]=K$1, K$1,"rg:None")</f>
        <v>rg:None</v>
      </c>
      <c r="L214" t="str">
        <f>IF(Table2[[#This Row],[!Type]]=L$1, L$1,"rg:None")</f>
        <v>rg:None</v>
      </c>
      <c r="M214" t="str">
        <f>IF(Table2[[#This Row],[!Type]]=M$1, M$1,"rg:None")</f>
        <v>rg:None</v>
      </c>
      <c r="N214" s="10" t="str">
        <f>IF(Table2[[#This Row],[!Type]]=N$1, N$1,"rg:None")</f>
        <v>rg:None</v>
      </c>
      <c r="O214" s="10" t="str">
        <f>IF(Table2[[#This Row],[!Type]]=O$1, O$1,"rg:None")</f>
        <v>rg:None</v>
      </c>
      <c r="P214" s="5" t="str">
        <f>IF(Table2[[#This Row],[!Type]]=P$1, P$1,"rg:None")</f>
        <v>rg:None</v>
      </c>
      <c r="Q214" s="5" t="str">
        <f>IF(Table2[[#This Row],[!Type]]=Q$1, Q$1,"rg:None")</f>
        <v>ref</v>
      </c>
      <c r="R214" s="5" t="str">
        <f>IF(Table2[[#This Row],[!Type]]=R$1, R$1,"rg:None")</f>
        <v>rg:None</v>
      </c>
      <c r="S214" s="5" t="str">
        <f>IF(Table2[[#This Row],[!Type]]=S$1, S$1,"rg:None")</f>
        <v>rg:None</v>
      </c>
      <c r="T214" s="10" t="str">
        <f>IF(LEN(Table2[[#This Row],[!Length]]) &gt; 0, Table2[[#This Row],[!Length]], "rg:None")</f>
        <v>rg:None</v>
      </c>
      <c r="U214" s="10" t="str">
        <f>IF(LEN(Table2[[#This Row],[!Name]]) &gt; 0, Table2[[#This Row],[!Name]], "rg:None")</f>
        <v>role</v>
      </c>
      <c r="V214" s="10" t="str">
        <f>IF(LEN(Table2[[#This Row],[!Description]]) &gt; 0, Table2[[#This Row],[!Description]], "rg:None")</f>
        <v>rg:None</v>
      </c>
      <c r="W214" s="10" t="str">
        <f>IF(LEN(Table2[[#This Row],[!FK]])&gt;0,Table2[[#This Row],[!FK]],"rg:None")</f>
        <v>Role</v>
      </c>
      <c r="X214" s="10" t="str">
        <f>IF(LEN(concatif2(A:A,Table2[[#This Row],[!Table]],G:G,"Y",D:D,",")) &gt; 0,"rg:[ { 'req' : '"&amp;concatif2(A:A,Table2[[#This Row],[!Table]],G:G,"Y",D:D,"' }, { 'req': '")&amp;"'} ]","rg:[]")</f>
        <v>rg:[ { 'req' : 'id'} ]</v>
      </c>
      <c r="Y214" s="10" t="str">
        <f>IF(LEN(Table2[[#This Row],[!Unique]])&gt;0,"rg:True","rg:None")</f>
        <v>rg:None</v>
      </c>
    </row>
    <row r="215" spans="1:25" x14ac:dyDescent="0.3">
      <c r="A215" s="3" t="s">
        <v>129</v>
      </c>
      <c r="B215" s="3" t="s">
        <v>9</v>
      </c>
      <c r="C215" s="3"/>
      <c r="D215" s="3" t="s">
        <v>130</v>
      </c>
      <c r="E215" s="27"/>
      <c r="F215" s="3" t="s">
        <v>131</v>
      </c>
      <c r="G215" s="4"/>
      <c r="H215" s="4"/>
      <c r="I215" s="5" t="str">
        <f t="shared" si="7"/>
        <v>Defs</v>
      </c>
      <c r="J215" t="str">
        <f>IF(Table2[[#This Row],[!Type]]=J$1, J$1,"rg:None")</f>
        <v>rg:None</v>
      </c>
      <c r="K215" t="str">
        <f>IF(Table2[[#This Row],[!Type]]=K$1, K$1,"rg:None")</f>
        <v>rg:None</v>
      </c>
      <c r="L215" t="str">
        <f>IF(Table2[[#This Row],[!Type]]=L$1, L$1,"rg:None")</f>
        <v>rg:None</v>
      </c>
      <c r="M215" t="str">
        <f>IF(Table2[[#This Row],[!Type]]=M$1, M$1,"rg:None")</f>
        <v>rg:None</v>
      </c>
      <c r="N215" s="10" t="str">
        <f>IF(Table2[[#This Row],[!Type]]=N$1, N$1,"rg:None")</f>
        <v>rg:None</v>
      </c>
      <c r="O215" s="10" t="str">
        <f>IF(Table2[[#This Row],[!Type]]=O$1, O$1,"rg:None")</f>
        <v>rg:None</v>
      </c>
      <c r="P215" s="5" t="str">
        <f>IF(Table2[[#This Row],[!Type]]=P$1, P$1,"rg:None")</f>
        <v>rg:None</v>
      </c>
      <c r="Q215" s="5" t="str">
        <f>IF(Table2[[#This Row],[!Type]]=Q$1, Q$1,"rg:None")</f>
        <v>ref</v>
      </c>
      <c r="R215" s="5" t="str">
        <f>IF(Table2[[#This Row],[!Type]]=R$1, R$1,"rg:None")</f>
        <v>rg:None</v>
      </c>
      <c r="S215" s="5" t="str">
        <f>IF(Table2[[#This Row],[!Type]]=S$1, S$1,"rg:None")</f>
        <v>rg:None</v>
      </c>
      <c r="T215" s="10" t="str">
        <f>IF(LEN(Table2[[#This Row],[!Length]]) &gt; 0, Table2[[#This Row],[!Length]], "rg:None")</f>
        <v>rg:None</v>
      </c>
      <c r="U215" s="10" t="str">
        <f>IF(LEN(Table2[[#This Row],[!Name]]) &gt; 0, Table2[[#This Row],[!Name]], "rg:None")</f>
        <v>permission</v>
      </c>
      <c r="V215" s="10" t="str">
        <f>IF(LEN(Table2[[#This Row],[!Description]]) &gt; 0, Table2[[#This Row],[!Description]], "rg:None")</f>
        <v>rg:None</v>
      </c>
      <c r="W215" s="10" t="str">
        <f>IF(LEN(Table2[[#This Row],[!FK]])&gt;0,Table2[[#This Row],[!FK]],"rg:None")</f>
        <v>Permission</v>
      </c>
      <c r="X215" s="10" t="str">
        <f>IF(LEN(concatif2(A:A,Table2[[#This Row],[!Table]],G:G,"Y",D:D,",")) &gt; 0,"rg:[ { 'req' : '"&amp;concatif2(A:A,Table2[[#This Row],[!Table]],G:G,"Y",D:D,"' }, { 'req': '")&amp;"'} ]","rg:[]")</f>
        <v>rg:[ { 'req' : 'id'} ]</v>
      </c>
      <c r="Y215" s="10" t="str">
        <f>IF(LEN(Table2[[#This Row],[!Unique]])&gt;0,"rg:True","rg:None")</f>
        <v>rg:None</v>
      </c>
    </row>
    <row r="216" spans="1:25" x14ac:dyDescent="0.3">
      <c r="A216" s="3" t="s">
        <v>131</v>
      </c>
      <c r="B216" s="3" t="s">
        <v>5</v>
      </c>
      <c r="C216" s="3"/>
      <c r="D216" s="3" t="s">
        <v>131</v>
      </c>
      <c r="E216" s="43" t="s">
        <v>375</v>
      </c>
      <c r="F216" s="3" t="s">
        <v>6</v>
      </c>
      <c r="G216" s="4"/>
      <c r="H216" s="4"/>
      <c r="I216" s="5" t="str">
        <f t="shared" si="7"/>
        <v>Defs</v>
      </c>
      <c r="J216" t="str">
        <f>IF(Table2[[#This Row],[!Type]]=J$1, J$1,"rg:None")</f>
        <v>rg:None</v>
      </c>
      <c r="K216" t="str">
        <f>IF(Table2[[#This Row],[!Type]]=K$1, K$1,"rg:None")</f>
        <v>rg:None</v>
      </c>
      <c r="L216" t="str">
        <f>IF(Table2[[#This Row],[!Type]]=L$1, L$1,"rg:None")</f>
        <v>rg:None</v>
      </c>
      <c r="M216" t="str">
        <f>IF(Table2[[#This Row],[!Type]]=M$1, M$1,"rg:None")</f>
        <v>rg:None</v>
      </c>
      <c r="N216" s="10" t="str">
        <f>IF(Table2[[#This Row],[!Type]]=N$1, N$1,"rg:None")</f>
        <v>rg:None</v>
      </c>
      <c r="O216" s="10" t="str">
        <f>IF(Table2[[#This Row],[!Type]]=O$1, O$1,"rg:None")</f>
        <v>rg:None</v>
      </c>
      <c r="P216" s="5" t="str">
        <f>IF(Table2[[#This Row],[!Type]]=P$1, P$1,"rg:None")</f>
        <v>rg:None</v>
      </c>
      <c r="Q216" s="5" t="str">
        <f>IF(Table2[[#This Row],[!Type]]=Q$1, Q$1,"rg:None")</f>
        <v>rg:None</v>
      </c>
      <c r="R216" s="5" t="str">
        <f>IF(Table2[[#This Row],[!Type]]=R$1, R$1,"rg:None")</f>
        <v>rg:None</v>
      </c>
      <c r="S216" s="5" t="str">
        <f>IF(Table2[[#This Row],[!Type]]=S$1, S$1,"rg:None")</f>
        <v>table</v>
      </c>
      <c r="T216" s="10" t="str">
        <f>IF(LEN(Table2[[#This Row],[!Length]]) &gt; 0, Table2[[#This Row],[!Length]], "rg:None")</f>
        <v>rg:None</v>
      </c>
      <c r="U216" s="10" t="str">
        <f>IF(LEN(Table2[[#This Row],[!Name]]) &gt; 0, Table2[[#This Row],[!Name]], "rg:None")</f>
        <v>Permission</v>
      </c>
      <c r="V216" s="10" t="str">
        <f>IF(LEN(Table2[[#This Row],[!Description]]) &gt; 0, Table2[[#This Row],[!Description]], "rg:None")</f>
        <v>The set of permissions defined in the application. Each permission is given a name and triggers some behavior defined in the application. For example, a permission might allow users to see data or to have access to functionality restricted to users without that permission. Permissions are created as needed to the application and are added to the permissions table by data migrations executed at the time the software that uses the permission is deployed.</v>
      </c>
      <c r="W216" s="10" t="str">
        <f>IF(LEN(Table2[[#This Row],[!FK]])&gt;0,Table2[[#This Row],[!FK]],"rg:None")</f>
        <v>rg:None</v>
      </c>
      <c r="X216" s="10" t="str">
        <f>IF(LEN(concatif2(A:A,Table2[[#This Row],[!Table]],G:G,"Y",D:D,",")) &gt; 0,"rg:[ { 'req' : '"&amp;concatif2(A:A,Table2[[#This Row],[!Table]],G:G,"Y",D:D,"' }, { 'req': '")&amp;"'} ]","rg:[]")</f>
        <v>rg:[ { 'req' : 'id' }, { 'req': 'code' }, { 'req': 'name' }, { 'req': 'description'} ]</v>
      </c>
      <c r="Y216" s="10" t="str">
        <f>IF(LEN(Table2[[#This Row],[!Unique]])&gt;0,"rg:True","rg:None")</f>
        <v>rg:None</v>
      </c>
    </row>
    <row r="217" spans="1:25" x14ac:dyDescent="0.3">
      <c r="A217" s="3" t="s">
        <v>131</v>
      </c>
      <c r="B217" s="3" t="s">
        <v>7</v>
      </c>
      <c r="C217" s="3"/>
      <c r="D217" s="3" t="s">
        <v>7</v>
      </c>
      <c r="E217" s="27" t="s">
        <v>292</v>
      </c>
      <c r="F217" s="3" t="s">
        <v>6</v>
      </c>
      <c r="G217" s="4" t="s">
        <v>136</v>
      </c>
      <c r="H217" s="4"/>
      <c r="I217" s="5" t="str">
        <f t="shared" si="7"/>
        <v>Defs</v>
      </c>
      <c r="J217" t="str">
        <f>IF(Table2[[#This Row],[!Type]]=J$1, J$1,"rg:None")</f>
        <v>rg:None</v>
      </c>
      <c r="K217" t="str">
        <f>IF(Table2[[#This Row],[!Type]]=K$1, K$1,"rg:None")</f>
        <v>rg:None</v>
      </c>
      <c r="L217" t="str">
        <f>IF(Table2[[#This Row],[!Type]]=L$1, L$1,"rg:None")</f>
        <v>rg:None</v>
      </c>
      <c r="M217" t="str">
        <f>IF(Table2[[#This Row],[!Type]]=M$1, M$1,"rg:None")</f>
        <v>id</v>
      </c>
      <c r="N217" s="10" t="str">
        <f>IF(Table2[[#This Row],[!Type]]=N$1, N$1,"rg:None")</f>
        <v>rg:None</v>
      </c>
      <c r="O217" s="10" t="str">
        <f>IF(Table2[[#This Row],[!Type]]=O$1, O$1,"rg:None")</f>
        <v>rg:None</v>
      </c>
      <c r="P217" s="5" t="str">
        <f>IF(Table2[[#This Row],[!Type]]=P$1, P$1,"rg:None")</f>
        <v>rg:None</v>
      </c>
      <c r="Q217" s="5" t="str">
        <f>IF(Table2[[#This Row],[!Type]]=Q$1, Q$1,"rg:None")</f>
        <v>rg:None</v>
      </c>
      <c r="R217" s="5" t="str">
        <f>IF(Table2[[#This Row],[!Type]]=R$1, R$1,"rg:None")</f>
        <v>rg:None</v>
      </c>
      <c r="S217" s="5" t="str">
        <f>IF(Table2[[#This Row],[!Type]]=S$1, S$1,"rg:None")</f>
        <v>rg:None</v>
      </c>
      <c r="T217" s="10" t="str">
        <f>IF(LEN(Table2[[#This Row],[!Length]]) &gt; 0, Table2[[#This Row],[!Length]], "rg:None")</f>
        <v>rg:None</v>
      </c>
      <c r="U217" s="10" t="str">
        <f>IF(LEN(Table2[[#This Row],[!Name]]) &gt; 0, Table2[[#This Row],[!Name]], "rg:None")</f>
        <v>id</v>
      </c>
      <c r="V217" s="10" t="str">
        <f>IF(LEN(Table2[[#This Row],[!Description]]) &gt; 0, Table2[[#This Row],[!Description]], "rg:None")</f>
        <v>A system-generated unique identifier for a Permission</v>
      </c>
      <c r="W217" s="10" t="str">
        <f>IF(LEN(Table2[[#This Row],[!FK]])&gt;0,Table2[[#This Row],[!FK]],"rg:None")</f>
        <v>rg:None</v>
      </c>
      <c r="X217" s="10" t="str">
        <f>IF(LEN(concatif2(A:A,Table2[[#This Row],[!Table]],G:G,"Y",D:D,",")) &gt; 0,"rg:[ { 'req' : '"&amp;concatif2(A:A,Table2[[#This Row],[!Table]],G:G,"Y",D:D,"' }, { 'req': '")&amp;"'} ]","rg:[]")</f>
        <v>rg:[ { 'req' : 'id' }, { 'req': 'code' }, { 'req': 'name' }, { 'req': 'description'} ]</v>
      </c>
      <c r="Y217" s="10" t="str">
        <f>IF(LEN(Table2[[#This Row],[!Unique]])&gt;0,"rg:True","rg:None")</f>
        <v>rg:None</v>
      </c>
    </row>
    <row r="218" spans="1:25" x14ac:dyDescent="0.3">
      <c r="A218" s="3" t="s">
        <v>131</v>
      </c>
      <c r="B218" s="3" t="s">
        <v>8</v>
      </c>
      <c r="C218" s="3">
        <v>255</v>
      </c>
      <c r="D218" s="3" t="s">
        <v>132</v>
      </c>
      <c r="E218" s="43" t="s">
        <v>376</v>
      </c>
      <c r="F218" s="3" t="s">
        <v>6</v>
      </c>
      <c r="G218" s="4" t="s">
        <v>136</v>
      </c>
      <c r="H218" s="4"/>
      <c r="I218" s="5" t="str">
        <f t="shared" si="7"/>
        <v>Defs</v>
      </c>
      <c r="J218" t="str">
        <f>IF(Table2[[#This Row],[!Type]]=J$1, J$1,"rg:None")</f>
        <v>rg:None</v>
      </c>
      <c r="K218" t="str">
        <f>IF(Table2[[#This Row],[!Type]]=K$1, K$1,"rg:None")</f>
        <v>rg:None</v>
      </c>
      <c r="L218" t="str">
        <f>IF(Table2[[#This Row],[!Type]]=L$1, L$1,"rg:None")</f>
        <v>rg:None</v>
      </c>
      <c r="M218" t="str">
        <f>IF(Table2[[#This Row],[!Type]]=M$1, M$1,"rg:None")</f>
        <v>rg:None</v>
      </c>
      <c r="N218" s="10" t="str">
        <f>IF(Table2[[#This Row],[!Type]]=N$1, N$1,"rg:None")</f>
        <v>rg:None</v>
      </c>
      <c r="O218" s="10" t="str">
        <f>IF(Table2[[#This Row],[!Type]]=O$1, O$1,"rg:None")</f>
        <v>rg:None</v>
      </c>
      <c r="P218" s="5" t="str">
        <f>IF(Table2[[#This Row],[!Type]]=P$1, P$1,"rg:None")</f>
        <v>rg:None</v>
      </c>
      <c r="Q218" s="5" t="str">
        <f>IF(Table2[[#This Row],[!Type]]=Q$1, Q$1,"rg:None")</f>
        <v>rg:None</v>
      </c>
      <c r="R218" s="5" t="str">
        <f>IF(Table2[[#This Row],[!Type]]=R$1, R$1,"rg:None")</f>
        <v>string</v>
      </c>
      <c r="S218" s="5" t="str">
        <f>IF(Table2[[#This Row],[!Type]]=S$1, S$1,"rg:None")</f>
        <v>rg:None</v>
      </c>
      <c r="T218" s="10">
        <f>IF(LEN(Table2[[#This Row],[!Length]]) &gt; 0, Table2[[#This Row],[!Length]], "rg:None")</f>
        <v>255</v>
      </c>
      <c r="U218" s="10" t="str">
        <f>IF(LEN(Table2[[#This Row],[!Name]]) &gt; 0, Table2[[#This Row],[!Name]], "rg:None")</f>
        <v>code</v>
      </c>
      <c r="V218" s="10" t="str">
        <f>IF(LEN(Table2[[#This Row],[!Description]]) &gt; 0, Table2[[#This Row],[!Description]], "rg:None")</f>
        <v>The name of the permission referenced in the software of the application.</v>
      </c>
      <c r="W218" s="10" t="str">
        <f>IF(LEN(Table2[[#This Row],[!FK]])&gt;0,Table2[[#This Row],[!FK]],"rg:None")</f>
        <v>rg:None</v>
      </c>
      <c r="X218" s="10" t="str">
        <f>IF(LEN(concatif2(A:A,Table2[[#This Row],[!Table]],G:G,"Y",D:D,",")) &gt; 0,"rg:[ { 'req' : '"&amp;concatif2(A:A,Table2[[#This Row],[!Table]],G:G,"Y",D:D,"' }, { 'req': '")&amp;"'} ]","rg:[]")</f>
        <v>rg:[ { 'req' : 'id' }, { 'req': 'code' }, { 'req': 'name' }, { 'req': 'description'} ]</v>
      </c>
      <c r="Y218" s="10" t="str">
        <f>IF(LEN(Table2[[#This Row],[!Unique]])&gt;0,"rg:True","rg:None")</f>
        <v>rg:None</v>
      </c>
    </row>
    <row r="219" spans="1:25" x14ac:dyDescent="0.3">
      <c r="A219" s="3" t="s">
        <v>131</v>
      </c>
      <c r="B219" s="3" t="s">
        <v>8</v>
      </c>
      <c r="C219" s="3">
        <v>255</v>
      </c>
      <c r="D219" s="3" t="s">
        <v>42</v>
      </c>
      <c r="E219" s="43" t="s">
        <v>377</v>
      </c>
      <c r="F219" s="3" t="s">
        <v>6</v>
      </c>
      <c r="G219" s="4" t="s">
        <v>136</v>
      </c>
      <c r="H219" s="4"/>
      <c r="I219" s="5" t="str">
        <f t="shared" si="7"/>
        <v>Defs</v>
      </c>
      <c r="J219" t="str">
        <f>IF(Table2[[#This Row],[!Type]]=J$1, J$1,"rg:None")</f>
        <v>rg:None</v>
      </c>
      <c r="K219" t="str">
        <f>IF(Table2[[#This Row],[!Type]]=K$1, K$1,"rg:None")</f>
        <v>rg:None</v>
      </c>
      <c r="L219" t="str">
        <f>IF(Table2[[#This Row],[!Type]]=L$1, L$1,"rg:None")</f>
        <v>rg:None</v>
      </c>
      <c r="M219" t="str">
        <f>IF(Table2[[#This Row],[!Type]]=M$1, M$1,"rg:None")</f>
        <v>rg:None</v>
      </c>
      <c r="N219" s="10" t="str">
        <f>IF(Table2[[#This Row],[!Type]]=N$1, N$1,"rg:None")</f>
        <v>rg:None</v>
      </c>
      <c r="O219" s="10" t="str">
        <f>IF(Table2[[#This Row],[!Type]]=O$1, O$1,"rg:None")</f>
        <v>rg:None</v>
      </c>
      <c r="P219" s="5" t="str">
        <f>IF(Table2[[#This Row],[!Type]]=P$1, P$1,"rg:None")</f>
        <v>rg:None</v>
      </c>
      <c r="Q219" s="5" t="str">
        <f>IF(Table2[[#This Row],[!Type]]=Q$1, Q$1,"rg:None")</f>
        <v>rg:None</v>
      </c>
      <c r="R219" s="5" t="str">
        <f>IF(Table2[[#This Row],[!Type]]=R$1, R$1,"rg:None")</f>
        <v>string</v>
      </c>
      <c r="S219" s="5" t="str">
        <f>IF(Table2[[#This Row],[!Type]]=S$1, S$1,"rg:None")</f>
        <v>rg:None</v>
      </c>
      <c r="T219" s="10">
        <f>IF(LEN(Table2[[#This Row],[!Length]]) &gt; 0, Table2[[#This Row],[!Length]], "rg:None")</f>
        <v>255</v>
      </c>
      <c r="U219" s="10" t="str">
        <f>IF(LEN(Table2[[#This Row],[!Name]]) &gt; 0, Table2[[#This Row],[!Name]], "rg:None")</f>
        <v>name</v>
      </c>
      <c r="V219" s="10" t="str">
        <f>IF(LEN(Table2[[#This Row],[!Description]]) &gt; 0, Table2[[#This Row],[!Description]], "rg:None")</f>
        <v>The 'user friendly' name of the permission exposed to the user selecting the permissions to be included in a Role.</v>
      </c>
      <c r="W219" s="10" t="str">
        <f>IF(LEN(Table2[[#This Row],[!FK]])&gt;0,Table2[[#This Row],[!FK]],"rg:None")</f>
        <v>rg:None</v>
      </c>
      <c r="X219" s="10" t="str">
        <f>IF(LEN(concatif2(A:A,Table2[[#This Row],[!Table]],G:G,"Y",D:D,",")) &gt; 0,"rg:[ { 'req' : '"&amp;concatif2(A:A,Table2[[#This Row],[!Table]],G:G,"Y",D:D,"' }, { 'req': '")&amp;"'} ]","rg:[]")</f>
        <v>rg:[ { 'req' : 'id' }, { 'req': 'code' }, { 'req': 'name' }, { 'req': 'description'} ]</v>
      </c>
      <c r="Y219" s="10" t="str">
        <f>IF(LEN(Table2[[#This Row],[!Unique]])&gt;0,"rg:True","rg:None")</f>
        <v>rg:None</v>
      </c>
    </row>
    <row r="220" spans="1:25" x14ac:dyDescent="0.3">
      <c r="A220" s="3" t="s">
        <v>131</v>
      </c>
      <c r="B220" s="3" t="s">
        <v>8</v>
      </c>
      <c r="C220" s="3">
        <v>255</v>
      </c>
      <c r="D220" s="3" t="s">
        <v>40</v>
      </c>
      <c r="E220" s="43" t="s">
        <v>378</v>
      </c>
      <c r="F220" s="3" t="s">
        <v>6</v>
      </c>
      <c r="G220" s="4" t="s">
        <v>136</v>
      </c>
      <c r="H220" s="4"/>
      <c r="I220" s="5" t="str">
        <f t="shared" si="7"/>
        <v>Defs</v>
      </c>
      <c r="J220" t="str">
        <f>IF(Table2[[#This Row],[!Type]]=J$1, J$1,"rg:None")</f>
        <v>rg:None</v>
      </c>
      <c r="K220" t="str">
        <f>IF(Table2[[#This Row],[!Type]]=K$1, K$1,"rg:None")</f>
        <v>rg:None</v>
      </c>
      <c r="L220" t="str">
        <f>IF(Table2[[#This Row],[!Type]]=L$1, L$1,"rg:None")</f>
        <v>rg:None</v>
      </c>
      <c r="M220" t="str">
        <f>IF(Table2[[#This Row],[!Type]]=M$1, M$1,"rg:None")</f>
        <v>rg:None</v>
      </c>
      <c r="N220" s="10" t="str">
        <f>IF(Table2[[#This Row],[!Type]]=N$1, N$1,"rg:None")</f>
        <v>rg:None</v>
      </c>
      <c r="O220" s="10" t="str">
        <f>IF(Table2[[#This Row],[!Type]]=O$1, O$1,"rg:None")</f>
        <v>rg:None</v>
      </c>
      <c r="P220" s="5" t="str">
        <f>IF(Table2[[#This Row],[!Type]]=P$1, P$1,"rg:None")</f>
        <v>rg:None</v>
      </c>
      <c r="Q220" s="5" t="str">
        <f>IF(Table2[[#This Row],[!Type]]=Q$1, Q$1,"rg:None")</f>
        <v>rg:None</v>
      </c>
      <c r="R220" s="5" t="str">
        <f>IF(Table2[[#This Row],[!Type]]=R$1, R$1,"rg:None")</f>
        <v>string</v>
      </c>
      <c r="S220" s="5" t="str">
        <f>IF(Table2[[#This Row],[!Type]]=S$1, S$1,"rg:None")</f>
        <v>rg:None</v>
      </c>
      <c r="T220" s="10">
        <f>IF(LEN(Table2[[#This Row],[!Length]]) &gt; 0, Table2[[#This Row],[!Length]], "rg:None")</f>
        <v>255</v>
      </c>
      <c r="U220" s="10" t="str">
        <f>IF(LEN(Table2[[#This Row],[!Name]]) &gt; 0, Table2[[#This Row],[!Name]], "rg:None")</f>
        <v>description</v>
      </c>
      <c r="V220" s="10" t="str">
        <f>IF(LEN(Table2[[#This Row],[!Description]]) &gt; 0, Table2[[#This Row],[!Description]], "rg:None")</f>
        <v>A description of the purpose of the permission and exposed to the user selecting the permissions to be included in a Role.</v>
      </c>
      <c r="W220" s="10" t="str">
        <f>IF(LEN(Table2[[#This Row],[!FK]])&gt;0,Table2[[#This Row],[!FK]],"rg:None")</f>
        <v>rg:None</v>
      </c>
      <c r="X220" s="10" t="str">
        <f>IF(LEN(concatif2(A:A,Table2[[#This Row],[!Table]],G:G,"Y",D:D,",")) &gt; 0,"rg:[ { 'req' : '"&amp;concatif2(A:A,Table2[[#This Row],[!Table]],G:G,"Y",D:D,"' }, { 'req': '")&amp;"'} ]","rg:[]")</f>
        <v>rg:[ { 'req' : 'id' }, { 'req': 'code' }, { 'req': 'name' }, { 'req': 'description'} ]</v>
      </c>
      <c r="Y220" s="10" t="str">
        <f>IF(LEN(Table2[[#This Row],[!Unique]])&gt;0,"rg:True","rg:None")</f>
        <v>rg:None</v>
      </c>
    </row>
    <row r="221" spans="1:25" x14ac:dyDescent="0.3">
      <c r="A221" s="3" t="s">
        <v>133</v>
      </c>
      <c r="B221" s="3" t="s">
        <v>5</v>
      </c>
      <c r="C221" s="3"/>
      <c r="D221" s="3" t="s">
        <v>133</v>
      </c>
      <c r="E221" s="43" t="s">
        <v>379</v>
      </c>
      <c r="F221" s="3" t="s">
        <v>6</v>
      </c>
      <c r="G221" s="4"/>
      <c r="H221" s="4"/>
      <c r="I221" s="5" t="str">
        <f t="shared" si="7"/>
        <v>Defs</v>
      </c>
      <c r="J221" t="str">
        <f>IF(Table2[[#This Row],[!Type]]=J$1, J$1,"rg:None")</f>
        <v>rg:None</v>
      </c>
      <c r="K221" t="str">
        <f>IF(Table2[[#This Row],[!Type]]=K$1, K$1,"rg:None")</f>
        <v>rg:None</v>
      </c>
      <c r="L221" t="str">
        <f>IF(Table2[[#This Row],[!Type]]=L$1, L$1,"rg:None")</f>
        <v>rg:None</v>
      </c>
      <c r="M221" t="str">
        <f>IF(Table2[[#This Row],[!Type]]=M$1, M$1,"rg:None")</f>
        <v>rg:None</v>
      </c>
      <c r="N221" s="10" t="str">
        <f>IF(Table2[[#This Row],[!Type]]=N$1, N$1,"rg:None")</f>
        <v>rg:None</v>
      </c>
      <c r="O221" s="10" t="str">
        <f>IF(Table2[[#This Row],[!Type]]=O$1, O$1,"rg:None")</f>
        <v>rg:None</v>
      </c>
      <c r="P221" s="5" t="str">
        <f>IF(Table2[[#This Row],[!Type]]=P$1, P$1,"rg:None")</f>
        <v>rg:None</v>
      </c>
      <c r="Q221" s="5" t="str">
        <f>IF(Table2[[#This Row],[!Type]]=Q$1, Q$1,"rg:None")</f>
        <v>rg:None</v>
      </c>
      <c r="R221" s="5" t="str">
        <f>IF(Table2[[#This Row],[!Type]]=R$1, R$1,"rg:None")</f>
        <v>rg:None</v>
      </c>
      <c r="S221" s="5" t="str">
        <f>IF(Table2[[#This Row],[!Type]]=S$1, S$1,"rg:None")</f>
        <v>table</v>
      </c>
      <c r="T221" s="10" t="str">
        <f>IF(LEN(Table2[[#This Row],[!Length]]) &gt; 0, Table2[[#This Row],[!Length]], "rg:None")</f>
        <v>rg:None</v>
      </c>
      <c r="U221" s="10" t="str">
        <f>IF(LEN(Table2[[#This Row],[!Name]]) &gt; 0, Table2[[#This Row],[!Name]], "rg:None")</f>
        <v>GroupMembership</v>
      </c>
      <c r="V221" s="10" t="str">
        <f>IF(LEN(Table2[[#This Row],[!Description]]) &gt; 0, Table2[[#This Row],[!Description]], "rg:None")</f>
        <v>The users associated with a given group that has been defined in the application.</v>
      </c>
      <c r="W221" s="10" t="str">
        <f>IF(LEN(Table2[[#This Row],[!FK]])&gt;0,Table2[[#This Row],[!FK]],"rg:None")</f>
        <v>rg:None</v>
      </c>
      <c r="X221" s="10" t="str">
        <f>IF(LEN(concatif2(A:A,Table2[[#This Row],[!Table]],G:G,"Y",D:D,",")) &gt; 0,"rg:[ { 'req' : '"&amp;concatif2(A:A,Table2[[#This Row],[!Table]],G:G,"Y",D:D,"' }, { 'req': '")&amp;"'} ]","rg:[]")</f>
        <v>rg:[ { 'req' : 'id' }, { 'req': 'active'} ]</v>
      </c>
      <c r="Y221" s="10" t="str">
        <f>IF(LEN(Table2[[#This Row],[!Unique]])&gt;0,"rg:True","rg:None")</f>
        <v>rg:None</v>
      </c>
    </row>
    <row r="222" spans="1:25" x14ac:dyDescent="0.3">
      <c r="A222" s="3" t="s">
        <v>133</v>
      </c>
      <c r="B222" s="3" t="s">
        <v>7</v>
      </c>
      <c r="C222" s="3"/>
      <c r="D222" s="3" t="s">
        <v>7</v>
      </c>
      <c r="E222" s="27" t="s">
        <v>293</v>
      </c>
      <c r="F222" s="3" t="s">
        <v>6</v>
      </c>
      <c r="G222" s="4" t="s">
        <v>136</v>
      </c>
      <c r="H222" s="4"/>
      <c r="I222" s="5" t="str">
        <f t="shared" si="7"/>
        <v>Defs</v>
      </c>
      <c r="J222" t="str">
        <f>IF(Table2[[#This Row],[!Type]]=J$1, J$1,"rg:None")</f>
        <v>rg:None</v>
      </c>
      <c r="K222" t="str">
        <f>IF(Table2[[#This Row],[!Type]]=K$1, K$1,"rg:None")</f>
        <v>rg:None</v>
      </c>
      <c r="L222" t="str">
        <f>IF(Table2[[#This Row],[!Type]]=L$1, L$1,"rg:None")</f>
        <v>rg:None</v>
      </c>
      <c r="M222" t="str">
        <f>IF(Table2[[#This Row],[!Type]]=M$1, M$1,"rg:None")</f>
        <v>id</v>
      </c>
      <c r="N222" s="10" t="str">
        <f>IF(Table2[[#This Row],[!Type]]=N$1, N$1,"rg:None")</f>
        <v>rg:None</v>
      </c>
      <c r="O222" s="10" t="str">
        <f>IF(Table2[[#This Row],[!Type]]=O$1, O$1,"rg:None")</f>
        <v>rg:None</v>
      </c>
      <c r="P222" s="5" t="str">
        <f>IF(Table2[[#This Row],[!Type]]=P$1, P$1,"rg:None")</f>
        <v>rg:None</v>
      </c>
      <c r="Q222" s="5" t="str">
        <f>IF(Table2[[#This Row],[!Type]]=Q$1, Q$1,"rg:None")</f>
        <v>rg:None</v>
      </c>
      <c r="R222" s="5" t="str">
        <f>IF(Table2[[#This Row],[!Type]]=R$1, R$1,"rg:None")</f>
        <v>rg:None</v>
      </c>
      <c r="S222" s="5" t="str">
        <f>IF(Table2[[#This Row],[!Type]]=S$1, S$1,"rg:None")</f>
        <v>rg:None</v>
      </c>
      <c r="T222" s="10" t="str">
        <f>IF(LEN(Table2[[#This Row],[!Length]]) &gt; 0, Table2[[#This Row],[!Length]], "rg:None")</f>
        <v>rg:None</v>
      </c>
      <c r="U222" s="10" t="str">
        <f>IF(LEN(Table2[[#This Row],[!Name]]) &gt; 0, Table2[[#This Row],[!Name]], "rg:None")</f>
        <v>id</v>
      </c>
      <c r="V222" s="10" t="str">
        <f>IF(LEN(Table2[[#This Row],[!Description]]) &gt; 0, Table2[[#This Row],[!Description]], "rg:None")</f>
        <v>A system-generated unique identifier for a GroupMembership</v>
      </c>
      <c r="W222" s="10" t="str">
        <f>IF(LEN(Table2[[#This Row],[!FK]])&gt;0,Table2[[#This Row],[!FK]],"rg:None")</f>
        <v>rg:None</v>
      </c>
      <c r="X222" s="10" t="str">
        <f>IF(LEN(concatif2(A:A,Table2[[#This Row],[!Table]],G:G,"Y",D:D,",")) &gt; 0,"rg:[ { 'req' : '"&amp;concatif2(A:A,Table2[[#This Row],[!Table]],G:G,"Y",D:D,"' }, { 'req': '")&amp;"'} ]","rg:[]")</f>
        <v>rg:[ { 'req' : 'id' }, { 'req': 'active'} ]</v>
      </c>
      <c r="Y222" s="10" t="str">
        <f>IF(LEN(Table2[[#This Row],[!Unique]])&gt;0,"rg:True","rg:None")</f>
        <v>rg:None</v>
      </c>
    </row>
    <row r="223" spans="1:25" x14ac:dyDescent="0.3">
      <c r="A223" s="3" t="s">
        <v>133</v>
      </c>
      <c r="B223" s="3" t="s">
        <v>14</v>
      </c>
      <c r="C223" s="3"/>
      <c r="D223" s="3" t="s">
        <v>116</v>
      </c>
      <c r="E223" s="43" t="s">
        <v>380</v>
      </c>
      <c r="F223" s="3" t="s">
        <v>6</v>
      </c>
      <c r="G223" s="4" t="s">
        <v>136</v>
      </c>
      <c r="H223" s="4"/>
      <c r="I223" s="5" t="str">
        <f t="shared" si="7"/>
        <v>Defs</v>
      </c>
      <c r="J223" t="str">
        <f>IF(Table2[[#This Row],[!Type]]=J$1, J$1,"rg:None")</f>
        <v>boolean</v>
      </c>
      <c r="K223" t="str">
        <f>IF(Table2[[#This Row],[!Type]]=K$1, K$1,"rg:None")</f>
        <v>rg:None</v>
      </c>
      <c r="L223" t="str">
        <f>IF(Table2[[#This Row],[!Type]]=L$1, L$1,"rg:None")</f>
        <v>rg:None</v>
      </c>
      <c r="M223" t="str">
        <f>IF(Table2[[#This Row],[!Type]]=M$1, M$1,"rg:None")</f>
        <v>rg:None</v>
      </c>
      <c r="N223" s="10" t="str">
        <f>IF(Table2[[#This Row],[!Type]]=N$1, N$1,"rg:None")</f>
        <v>rg:None</v>
      </c>
      <c r="O223" s="10" t="str">
        <f>IF(Table2[[#This Row],[!Type]]=O$1, O$1,"rg:None")</f>
        <v>rg:None</v>
      </c>
      <c r="P223" s="5" t="str">
        <f>IF(Table2[[#This Row],[!Type]]=P$1, P$1,"rg:None")</f>
        <v>rg:None</v>
      </c>
      <c r="Q223" s="5" t="str">
        <f>IF(Table2[[#This Row],[!Type]]=Q$1, Q$1,"rg:None")</f>
        <v>rg:None</v>
      </c>
      <c r="R223" s="5" t="str">
        <f>IF(Table2[[#This Row],[!Type]]=R$1, R$1,"rg:None")</f>
        <v>rg:None</v>
      </c>
      <c r="S223" s="5" t="str">
        <f>IF(Table2[[#This Row],[!Type]]=S$1, S$1,"rg:None")</f>
        <v>rg:None</v>
      </c>
      <c r="T223" s="10" t="str">
        <f>IF(LEN(Table2[[#This Row],[!Length]]) &gt; 0, Table2[[#This Row],[!Length]], "rg:None")</f>
        <v>rg:None</v>
      </c>
      <c r="U223" s="10" t="str">
        <f>IF(LEN(Table2[[#This Row],[!Name]]) &gt; 0, Table2[[#This Row],[!Name]], "rg:None")</f>
        <v>active</v>
      </c>
      <c r="V223" s="10" t="str">
        <f>IF(LEN(Table2[[#This Row],[!Description]]) &gt; 0, Table2[[#This Row],[!Description]], "rg:None")</f>
        <v>A flag indicating the User is active in the group. Set false to remove the user from the designated group.</v>
      </c>
      <c r="W223" s="10" t="str">
        <f>IF(LEN(Table2[[#This Row],[!FK]])&gt;0,Table2[[#This Row],[!FK]],"rg:None")</f>
        <v>rg:None</v>
      </c>
      <c r="X223" s="10" t="str">
        <f>IF(LEN(concatif2(A:A,Table2[[#This Row],[!Table]],G:G,"Y",D:D,",")) &gt; 0,"rg:[ { 'req' : '"&amp;concatif2(A:A,Table2[[#This Row],[!Table]],G:G,"Y",D:D,"' }, { 'req': '")&amp;"'} ]","rg:[]")</f>
        <v>rg:[ { 'req' : 'id' }, { 'req': 'active'} ]</v>
      </c>
      <c r="Y223" s="10" t="str">
        <f>IF(LEN(Table2[[#This Row],[!Unique]])&gt;0,"rg:True","rg:None")</f>
        <v>rg:None</v>
      </c>
    </row>
    <row r="224" spans="1:25" x14ac:dyDescent="0.3">
      <c r="A224" s="3" t="s">
        <v>133</v>
      </c>
      <c r="B224" s="3" t="s">
        <v>9</v>
      </c>
      <c r="C224" s="3"/>
      <c r="D224" s="3" t="s">
        <v>134</v>
      </c>
      <c r="E224" s="27"/>
      <c r="F224" s="3" t="s">
        <v>135</v>
      </c>
      <c r="G224" s="4"/>
      <c r="H224" s="4"/>
      <c r="I224" s="5" t="str">
        <f t="shared" si="7"/>
        <v>Defs</v>
      </c>
      <c r="J224" t="str">
        <f>IF(Table2[[#This Row],[!Type]]=J$1, J$1,"rg:None")</f>
        <v>rg:None</v>
      </c>
      <c r="K224" t="str">
        <f>IF(Table2[[#This Row],[!Type]]=K$1, K$1,"rg:None")</f>
        <v>rg:None</v>
      </c>
      <c r="L224" t="str">
        <f>IF(Table2[[#This Row],[!Type]]=L$1, L$1,"rg:None")</f>
        <v>rg:None</v>
      </c>
      <c r="M224" t="str">
        <f>IF(Table2[[#This Row],[!Type]]=M$1, M$1,"rg:None")</f>
        <v>rg:None</v>
      </c>
      <c r="N224" s="10" t="str">
        <f>IF(Table2[[#This Row],[!Type]]=N$1, N$1,"rg:None")</f>
        <v>rg:None</v>
      </c>
      <c r="O224" s="10" t="str">
        <f>IF(Table2[[#This Row],[!Type]]=O$1, O$1,"rg:None")</f>
        <v>rg:None</v>
      </c>
      <c r="P224" s="5" t="str">
        <f>IF(Table2[[#This Row],[!Type]]=P$1, P$1,"rg:None")</f>
        <v>rg:None</v>
      </c>
      <c r="Q224" s="5" t="str">
        <f>IF(Table2[[#This Row],[!Type]]=Q$1, Q$1,"rg:None")</f>
        <v>ref</v>
      </c>
      <c r="R224" s="5" t="str">
        <f>IF(Table2[[#This Row],[!Type]]=R$1, R$1,"rg:None")</f>
        <v>rg:None</v>
      </c>
      <c r="S224" s="5" t="str">
        <f>IF(Table2[[#This Row],[!Type]]=S$1, S$1,"rg:None")</f>
        <v>rg:None</v>
      </c>
      <c r="T224" s="10" t="str">
        <f>IF(LEN(Table2[[#This Row],[!Length]]) &gt; 0, Table2[[#This Row],[!Length]], "rg:None")</f>
        <v>rg:None</v>
      </c>
      <c r="U224" s="10" t="str">
        <f>IF(LEN(Table2[[#This Row],[!Name]]) &gt; 0, Table2[[#This Row],[!Name]], "rg:None")</f>
        <v>group</v>
      </c>
      <c r="V224" s="10" t="str">
        <f>IF(LEN(Table2[[#This Row],[!Description]]) &gt; 0, Table2[[#This Row],[!Description]], "rg:None")</f>
        <v>rg:None</v>
      </c>
      <c r="W224" s="10" t="str">
        <f>IF(LEN(Table2[[#This Row],[!FK]])&gt;0,Table2[[#This Row],[!FK]],"rg:None")</f>
        <v>Group</v>
      </c>
      <c r="X224" s="10" t="str">
        <f>IF(LEN(concatif2(A:A,Table2[[#This Row],[!Table]],G:G,"Y",D:D,",")) &gt; 0,"rg:[ { 'req' : '"&amp;concatif2(A:A,Table2[[#This Row],[!Table]],G:G,"Y",D:D,"' }, { 'req': '")&amp;"'} ]","rg:[]")</f>
        <v>rg:[ { 'req' : 'id' }, { 'req': 'active'} ]</v>
      </c>
      <c r="Y224" s="10" t="str">
        <f>IF(LEN(Table2[[#This Row],[!Unique]])&gt;0,"rg:True","rg:None")</f>
        <v>rg:None</v>
      </c>
    </row>
    <row r="225" spans="1:25" x14ac:dyDescent="0.3">
      <c r="A225" s="3" t="s">
        <v>133</v>
      </c>
      <c r="B225" s="3" t="s">
        <v>9</v>
      </c>
      <c r="C225" s="3"/>
      <c r="D225" s="3" t="s">
        <v>111</v>
      </c>
      <c r="E225" s="27"/>
      <c r="F225" s="3" t="s">
        <v>0</v>
      </c>
      <c r="G225" s="4"/>
      <c r="H225" s="4"/>
      <c r="I225" s="5" t="str">
        <f t="shared" si="7"/>
        <v>Defs</v>
      </c>
      <c r="J225" t="str">
        <f>IF(Table2[[#This Row],[!Type]]=J$1, J$1,"rg:None")</f>
        <v>rg:None</v>
      </c>
      <c r="K225" t="str">
        <f>IF(Table2[[#This Row],[!Type]]=K$1, K$1,"rg:None")</f>
        <v>rg:None</v>
      </c>
      <c r="L225" t="str">
        <f>IF(Table2[[#This Row],[!Type]]=L$1, L$1,"rg:None")</f>
        <v>rg:None</v>
      </c>
      <c r="M225" t="str">
        <f>IF(Table2[[#This Row],[!Type]]=M$1, M$1,"rg:None")</f>
        <v>rg:None</v>
      </c>
      <c r="N225" s="10" t="str">
        <f>IF(Table2[[#This Row],[!Type]]=N$1, N$1,"rg:None")</f>
        <v>rg:None</v>
      </c>
      <c r="O225" s="10" t="str">
        <f>IF(Table2[[#This Row],[!Type]]=O$1, O$1,"rg:None")</f>
        <v>rg:None</v>
      </c>
      <c r="P225" s="5" t="str">
        <f>IF(Table2[[#This Row],[!Type]]=P$1, P$1,"rg:None")</f>
        <v>rg:None</v>
      </c>
      <c r="Q225" s="5" t="str">
        <f>IF(Table2[[#This Row],[!Type]]=Q$1, Q$1,"rg:None")</f>
        <v>ref</v>
      </c>
      <c r="R225" s="5" t="str">
        <f>IF(Table2[[#This Row],[!Type]]=R$1, R$1,"rg:None")</f>
        <v>rg:None</v>
      </c>
      <c r="S225" s="5" t="str">
        <f>IF(Table2[[#This Row],[!Type]]=S$1, S$1,"rg:None")</f>
        <v>rg:None</v>
      </c>
      <c r="T225" s="10" t="str">
        <f>IF(LEN(Table2[[#This Row],[!Length]]) &gt; 0, Table2[[#This Row],[!Length]], "rg:None")</f>
        <v>rg:None</v>
      </c>
      <c r="U225" s="10" t="str">
        <f>IF(LEN(Table2[[#This Row],[!Name]]) &gt; 0, Table2[[#This Row],[!Name]], "rg:None")</f>
        <v>user</v>
      </c>
      <c r="V225" s="10" t="str">
        <f>IF(LEN(Table2[[#This Row],[!Description]]) &gt; 0, Table2[[#This Row],[!Description]], "rg:None")</f>
        <v>rg:None</v>
      </c>
      <c r="W225" s="10" t="str">
        <f>IF(LEN(Table2[[#This Row],[!FK]])&gt;0,Table2[[#This Row],[!FK]],"rg:None")</f>
        <v>User</v>
      </c>
      <c r="X225" s="10" t="str">
        <f>IF(LEN(concatif2(A:A,Table2[[#This Row],[!Table]],G:G,"Y",D:D,",")) &gt; 0,"rg:[ { 'req' : '"&amp;concatif2(A:A,Table2[[#This Row],[!Table]],G:G,"Y",D:D,"' }, { 'req': '")&amp;"'} ]","rg:[]")</f>
        <v>rg:[ { 'req' : 'id' }, { 'req': 'active'} ]</v>
      </c>
      <c r="Y225" s="10" t="str">
        <f>IF(LEN(Table2[[#This Row],[!Unique]])&gt;0,"rg:True","rg:None")</f>
        <v>rg:None</v>
      </c>
    </row>
    <row r="226" spans="1:25" x14ac:dyDescent="0.3">
      <c r="A226" s="3" t="s">
        <v>135</v>
      </c>
      <c r="B226" s="3" t="s">
        <v>5</v>
      </c>
      <c r="C226" s="3"/>
      <c r="D226" s="3" t="s">
        <v>135</v>
      </c>
      <c r="E226" s="43" t="s">
        <v>381</v>
      </c>
      <c r="F226" s="3" t="s">
        <v>6</v>
      </c>
      <c r="G226" s="4"/>
      <c r="H226" s="4"/>
      <c r="I226" s="5" t="str">
        <f t="shared" si="7"/>
        <v>Defs</v>
      </c>
      <c r="J226" t="str">
        <f>IF(Table2[[#This Row],[!Type]]=J$1, J$1,"rg:None")</f>
        <v>rg:None</v>
      </c>
      <c r="K226" t="str">
        <f>IF(Table2[[#This Row],[!Type]]=K$1, K$1,"rg:None")</f>
        <v>rg:None</v>
      </c>
      <c r="L226" t="str">
        <f>IF(Table2[[#This Row],[!Type]]=L$1, L$1,"rg:None")</f>
        <v>rg:None</v>
      </c>
      <c r="M226" t="str">
        <f>IF(Table2[[#This Row],[!Type]]=M$1, M$1,"rg:None")</f>
        <v>rg:None</v>
      </c>
      <c r="N226" s="10" t="str">
        <f>IF(Table2[[#This Row],[!Type]]=N$1, N$1,"rg:None")</f>
        <v>rg:None</v>
      </c>
      <c r="O226" s="10" t="str">
        <f>IF(Table2[[#This Row],[!Type]]=O$1, O$1,"rg:None")</f>
        <v>rg:None</v>
      </c>
      <c r="P226" s="5" t="str">
        <f>IF(Table2[[#This Row],[!Type]]=P$1, P$1,"rg:None")</f>
        <v>rg:None</v>
      </c>
      <c r="Q226" s="5" t="str">
        <f>IF(Table2[[#This Row],[!Type]]=Q$1, Q$1,"rg:None")</f>
        <v>rg:None</v>
      </c>
      <c r="R226" s="5" t="str">
        <f>IF(Table2[[#This Row],[!Type]]=R$1, R$1,"rg:None")</f>
        <v>rg:None</v>
      </c>
      <c r="S226" s="5" t="str">
        <f>IF(Table2[[#This Row],[!Type]]=S$1, S$1,"rg:None")</f>
        <v>table</v>
      </c>
      <c r="T226" s="10" t="str">
        <f>IF(LEN(Table2[[#This Row],[!Length]]) &gt; 0, Table2[[#This Row],[!Length]], "rg:None")</f>
        <v>rg:None</v>
      </c>
      <c r="U226" s="10" t="str">
        <f>IF(LEN(Table2[[#This Row],[!Name]]) &gt; 0, Table2[[#This Row],[!Name]], "rg:None")</f>
        <v>Group</v>
      </c>
      <c r="V226" s="10" t="str">
        <f>IF(LEN(Table2[[#This Row],[!Description]]) &gt; 0, Table2[[#This Row],[!Description]], "rg:None")</f>
        <v>A named entity that is used to created a collection of users into a group. For example, the School Bus Inspectors are in the group Inspectors. Groups, like permissions are defined by the application and referenced in the code of the application.</v>
      </c>
      <c r="W226" s="10" t="str">
        <f>IF(LEN(Table2[[#This Row],[!FK]])&gt;0,Table2[[#This Row],[!FK]],"rg:None")</f>
        <v>rg:None</v>
      </c>
      <c r="X226" s="10" t="str">
        <f>IF(LEN(concatif2(A:A,Table2[[#This Row],[!Table]],G:G,"Y",D:D,",")) &gt; 0,"rg:[ { 'req' : '"&amp;concatif2(A:A,Table2[[#This Row],[!Table]],G:G,"Y",D:D,"' }, { 'req': '")&amp;"'} ]","rg:[]")</f>
        <v>rg:[ { 'req' : 'id' }, { 'req': 'name' }, { 'req': 'description'} ]</v>
      </c>
      <c r="Y226" s="10" t="str">
        <f>IF(LEN(Table2[[#This Row],[!Unique]])&gt;0,"rg:True","rg:None")</f>
        <v>rg:None</v>
      </c>
    </row>
    <row r="227" spans="1:25" x14ac:dyDescent="0.3">
      <c r="A227" s="3" t="s">
        <v>135</v>
      </c>
      <c r="B227" s="3" t="s">
        <v>7</v>
      </c>
      <c r="C227" s="3"/>
      <c r="D227" s="3" t="s">
        <v>7</v>
      </c>
      <c r="E227" s="27" t="s">
        <v>294</v>
      </c>
      <c r="F227" s="3" t="s">
        <v>6</v>
      </c>
      <c r="G227" s="4" t="s">
        <v>136</v>
      </c>
      <c r="H227" s="4"/>
      <c r="I227" s="5" t="str">
        <f t="shared" si="7"/>
        <v>Defs</v>
      </c>
      <c r="J227" t="str">
        <f>IF(Table2[[#This Row],[!Type]]=J$1, J$1,"rg:None")</f>
        <v>rg:None</v>
      </c>
      <c r="K227" t="str">
        <f>IF(Table2[[#This Row],[!Type]]=K$1, K$1,"rg:None")</f>
        <v>rg:None</v>
      </c>
      <c r="L227" t="str">
        <f>IF(Table2[[#This Row],[!Type]]=L$1, L$1,"rg:None")</f>
        <v>rg:None</v>
      </c>
      <c r="M227" t="str">
        <f>IF(Table2[[#This Row],[!Type]]=M$1, M$1,"rg:None")</f>
        <v>id</v>
      </c>
      <c r="N227" s="10" t="str">
        <f>IF(Table2[[#This Row],[!Type]]=N$1, N$1,"rg:None")</f>
        <v>rg:None</v>
      </c>
      <c r="O227" s="10" t="str">
        <f>IF(Table2[[#This Row],[!Type]]=O$1, O$1,"rg:None")</f>
        <v>rg:None</v>
      </c>
      <c r="P227" s="5" t="str">
        <f>IF(Table2[[#This Row],[!Type]]=P$1, P$1,"rg:None")</f>
        <v>rg:None</v>
      </c>
      <c r="Q227" s="5" t="str">
        <f>IF(Table2[[#This Row],[!Type]]=Q$1, Q$1,"rg:None")</f>
        <v>rg:None</v>
      </c>
      <c r="R227" s="5" t="str">
        <f>IF(Table2[[#This Row],[!Type]]=R$1, R$1,"rg:None")</f>
        <v>rg:None</v>
      </c>
      <c r="S227" s="5" t="str">
        <f>IF(Table2[[#This Row],[!Type]]=S$1, S$1,"rg:None")</f>
        <v>rg:None</v>
      </c>
      <c r="T227" s="10" t="str">
        <f>IF(LEN(Table2[[#This Row],[!Length]]) &gt; 0, Table2[[#This Row],[!Length]], "rg:None")</f>
        <v>rg:None</v>
      </c>
      <c r="U227" s="10" t="str">
        <f>IF(LEN(Table2[[#This Row],[!Name]]) &gt; 0, Table2[[#This Row],[!Name]], "rg:None")</f>
        <v>id</v>
      </c>
      <c r="V227" s="10" t="str">
        <f>IF(LEN(Table2[[#This Row],[!Description]]) &gt; 0, Table2[[#This Row],[!Description]], "rg:None")</f>
        <v>A system-generated unique identifier for a Group</v>
      </c>
      <c r="W227" s="10" t="str">
        <f>IF(LEN(Table2[[#This Row],[!FK]])&gt;0,Table2[[#This Row],[!FK]],"rg:None")</f>
        <v>rg:None</v>
      </c>
      <c r="X227" s="10" t="str">
        <f>IF(LEN(concatif2(A:A,Table2[[#This Row],[!Table]],G:G,"Y",D:D,",")) &gt; 0,"rg:[ { 'req' : '"&amp;concatif2(A:A,Table2[[#This Row],[!Table]],G:G,"Y",D:D,"' }, { 'req': '")&amp;"'} ]","rg:[]")</f>
        <v>rg:[ { 'req' : 'id' }, { 'req': 'name' }, { 'req': 'description'} ]</v>
      </c>
      <c r="Y227" s="10" t="str">
        <f>IF(LEN(Table2[[#This Row],[!Unique]])&gt;0,"rg:True","rg:None")</f>
        <v>rg:None</v>
      </c>
    </row>
    <row r="228" spans="1:25" x14ac:dyDescent="0.3">
      <c r="A228" s="3" t="s">
        <v>135</v>
      </c>
      <c r="B228" s="3" t="s">
        <v>8</v>
      </c>
      <c r="C228" s="3">
        <v>255</v>
      </c>
      <c r="D228" s="3" t="s">
        <v>42</v>
      </c>
      <c r="E228" s="43" t="s">
        <v>382</v>
      </c>
      <c r="F228" s="3" t="s">
        <v>6</v>
      </c>
      <c r="G228" s="4" t="s">
        <v>136</v>
      </c>
      <c r="H228" s="4"/>
      <c r="I228" s="5" t="str">
        <f t="shared" si="7"/>
        <v>Defs</v>
      </c>
      <c r="J228" t="str">
        <f>IF(Table2[[#This Row],[!Type]]=J$1, J$1,"rg:None")</f>
        <v>rg:None</v>
      </c>
      <c r="K228" t="str">
        <f>IF(Table2[[#This Row],[!Type]]=K$1, K$1,"rg:None")</f>
        <v>rg:None</v>
      </c>
      <c r="L228" t="str">
        <f>IF(Table2[[#This Row],[!Type]]=L$1, L$1,"rg:None")</f>
        <v>rg:None</v>
      </c>
      <c r="M228" t="str">
        <f>IF(Table2[[#This Row],[!Type]]=M$1, M$1,"rg:None")</f>
        <v>rg:None</v>
      </c>
      <c r="N228" s="10" t="str">
        <f>IF(Table2[[#This Row],[!Type]]=N$1, N$1,"rg:None")</f>
        <v>rg:None</v>
      </c>
      <c r="O228" s="10" t="str">
        <f>IF(Table2[[#This Row],[!Type]]=O$1, O$1,"rg:None")</f>
        <v>rg:None</v>
      </c>
      <c r="P228" s="5" t="str">
        <f>IF(Table2[[#This Row],[!Type]]=P$1, P$1,"rg:None")</f>
        <v>rg:None</v>
      </c>
      <c r="Q228" s="5" t="str">
        <f>IF(Table2[[#This Row],[!Type]]=Q$1, Q$1,"rg:None")</f>
        <v>rg:None</v>
      </c>
      <c r="R228" s="5" t="str">
        <f>IF(Table2[[#This Row],[!Type]]=R$1, R$1,"rg:None")</f>
        <v>string</v>
      </c>
      <c r="S228" s="5" t="str">
        <f>IF(Table2[[#This Row],[!Type]]=S$1, S$1,"rg:None")</f>
        <v>rg:None</v>
      </c>
      <c r="T228" s="10">
        <f>IF(LEN(Table2[[#This Row],[!Length]]) &gt; 0, Table2[[#This Row],[!Length]], "rg:None")</f>
        <v>255</v>
      </c>
      <c r="U228" s="10" t="str">
        <f>IF(LEN(Table2[[#This Row],[!Name]]) &gt; 0, Table2[[#This Row],[!Name]], "rg:None")</f>
        <v>name</v>
      </c>
      <c r="V228" s="10" t="str">
        <f>IF(LEN(Table2[[#This Row],[!Description]]) &gt; 0, Table2[[#This Row],[!Description]], "rg:None")</f>
        <v>The name of the group, as refenced in the code.</v>
      </c>
      <c r="W228" s="10" t="str">
        <f>IF(LEN(Table2[[#This Row],[!FK]])&gt;0,Table2[[#This Row],[!FK]],"rg:None")</f>
        <v>rg:None</v>
      </c>
      <c r="X228" s="10" t="str">
        <f>IF(LEN(concatif2(A:A,Table2[[#This Row],[!Table]],G:G,"Y",D:D,",")) &gt; 0,"rg:[ { 'req' : '"&amp;concatif2(A:A,Table2[[#This Row],[!Table]],G:G,"Y",D:D,"' }, { 'req': '")&amp;"'} ]","rg:[]")</f>
        <v>rg:[ { 'req' : 'id' }, { 'req': 'name' }, { 'req': 'description'} ]</v>
      </c>
      <c r="Y228" s="10" t="str">
        <f>IF(LEN(Table2[[#This Row],[!Unique]])&gt;0,"rg:True","rg:None")</f>
        <v>rg:None</v>
      </c>
    </row>
    <row r="229" spans="1:25" x14ac:dyDescent="0.3">
      <c r="A229" s="3" t="s">
        <v>135</v>
      </c>
      <c r="B229" s="3" t="s">
        <v>8</v>
      </c>
      <c r="C229" s="3">
        <v>255</v>
      </c>
      <c r="D229" s="3" t="s">
        <v>40</v>
      </c>
      <c r="E229" s="43" t="s">
        <v>383</v>
      </c>
      <c r="F229" s="3" t="s">
        <v>6</v>
      </c>
      <c r="G229" s="4" t="s">
        <v>136</v>
      </c>
      <c r="H229" s="4"/>
      <c r="I229" s="5" t="str">
        <f t="shared" si="7"/>
        <v>Defs</v>
      </c>
      <c r="J229" t="str">
        <f>IF(Table2[[#This Row],[!Type]]=J$1, J$1,"rg:None")</f>
        <v>rg:None</v>
      </c>
      <c r="K229" t="str">
        <f>IF(Table2[[#This Row],[!Type]]=K$1, K$1,"rg:None")</f>
        <v>rg:None</v>
      </c>
      <c r="L229" t="str">
        <f>IF(Table2[[#This Row],[!Type]]=L$1, L$1,"rg:None")</f>
        <v>rg:None</v>
      </c>
      <c r="M229" t="str">
        <f>IF(Table2[[#This Row],[!Type]]=M$1, M$1,"rg:None")</f>
        <v>rg:None</v>
      </c>
      <c r="N229" s="10" t="str">
        <f>IF(Table2[[#This Row],[!Type]]=N$1, N$1,"rg:None")</f>
        <v>rg:None</v>
      </c>
      <c r="O229" s="10" t="str">
        <f>IF(Table2[[#This Row],[!Type]]=O$1, O$1,"rg:None")</f>
        <v>rg:None</v>
      </c>
      <c r="P229" s="5" t="str">
        <f>IF(Table2[[#This Row],[!Type]]=P$1, P$1,"rg:None")</f>
        <v>rg:None</v>
      </c>
      <c r="Q229" s="5" t="str">
        <f>IF(Table2[[#This Row],[!Type]]=Q$1, Q$1,"rg:None")</f>
        <v>rg:None</v>
      </c>
      <c r="R229" s="5" t="str">
        <f>IF(Table2[[#This Row],[!Type]]=R$1, R$1,"rg:None")</f>
        <v>string</v>
      </c>
      <c r="S229" s="5" t="str">
        <f>IF(Table2[[#This Row],[!Type]]=S$1, S$1,"rg:None")</f>
        <v>rg:None</v>
      </c>
      <c r="T229" s="10">
        <f>IF(LEN(Table2[[#This Row],[!Length]]) &gt; 0, Table2[[#This Row],[!Length]], "rg:None")</f>
        <v>255</v>
      </c>
      <c r="U229" s="10" t="str">
        <f>IF(LEN(Table2[[#This Row],[!Name]]) &gt; 0, Table2[[#This Row],[!Name]], "rg:None")</f>
        <v>description</v>
      </c>
      <c r="V229" s="10" t="str">
        <f>IF(LEN(Table2[[#This Row],[!Description]]) &gt; 0, Table2[[#This Row],[!Description]], "rg:None")</f>
        <v>A description of the group that is presented to the user when they are setting a user into a group.</v>
      </c>
      <c r="W229" s="10" t="str">
        <f>IF(LEN(Table2[[#This Row],[!FK]])&gt;0,Table2[[#This Row],[!FK]],"rg:None")</f>
        <v>rg:None</v>
      </c>
      <c r="X229" s="10" t="str">
        <f>IF(LEN(concatif2(A:A,Table2[[#This Row],[!Table]],G:G,"Y",D:D,",")) &gt; 0,"rg:[ { 'req' : '"&amp;concatif2(A:A,Table2[[#This Row],[!Table]],G:G,"Y",D:D,"' }, { 'req': '")&amp;"'} ]","rg:[]")</f>
        <v>rg:[ { 'req' : 'id' }, { 'req': 'name' }, { 'req': 'description'} ]</v>
      </c>
      <c r="Y229" s="10" t="str">
        <f>IF(LEN(Table2[[#This Row],[!Unique]])&gt;0,"rg:True","rg:None")</f>
        <v>rg:None</v>
      </c>
    </row>
  </sheetData>
  <pageMargins left="0.7" right="0.7" top="0.75" bottom="0.75" header="0.3" footer="0.3"/>
  <pageSetup orientation="portrait"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T42"/>
  <sheetViews>
    <sheetView zoomScale="130" zoomScaleNormal="130" workbookViewId="0">
      <pane ySplit="1" topLeftCell="A2" activePane="bottomLeft" state="frozen"/>
      <selection pane="bottomLeft" activeCell="D36" sqref="D36"/>
    </sheetView>
  </sheetViews>
  <sheetFormatPr defaultColWidth="8.69921875" defaultRowHeight="15.6" x14ac:dyDescent="0.3"/>
  <cols>
    <col min="1" max="1" width="25.19921875" style="5" customWidth="1"/>
    <col min="2" max="2" width="16" style="5" customWidth="1"/>
    <col min="3" max="3" width="25.69921875" style="5" bestFit="1" customWidth="1"/>
    <col min="4" max="4" width="33.5" style="6" customWidth="1"/>
    <col min="5" max="5" width="19.3984375" style="6" customWidth="1"/>
    <col min="6" max="6" width="33.5" style="6" customWidth="1"/>
    <col min="7" max="7" width="8.69921875" customWidth="1"/>
    <col min="8" max="20" width="8.69921875" style="5" customWidth="1"/>
    <col min="21" max="16384" width="8.69921875" style="5"/>
  </cols>
  <sheetData>
    <row r="1" spans="1:20" s="1" customFormat="1" ht="14.4" x14ac:dyDescent="0.3">
      <c r="A1" s="1" t="s">
        <v>195</v>
      </c>
      <c r="B1" s="1" t="s">
        <v>196</v>
      </c>
      <c r="C1" s="1" t="s">
        <v>197</v>
      </c>
      <c r="D1" s="1" t="s">
        <v>198</v>
      </c>
      <c r="E1" s="2" t="s">
        <v>199</v>
      </c>
      <c r="F1" s="1" t="s">
        <v>200</v>
      </c>
      <c r="G1" s="11" t="s">
        <v>176</v>
      </c>
      <c r="H1" s="11" t="s">
        <v>186</v>
      </c>
      <c r="I1" s="11" t="s">
        <v>187</v>
      </c>
      <c r="J1" s="11" t="s">
        <v>188</v>
      </c>
      <c r="K1" s="11" t="s">
        <v>189</v>
      </c>
      <c r="L1" s="11" t="s">
        <v>190</v>
      </c>
      <c r="M1" s="11" t="s">
        <v>191</v>
      </c>
      <c r="N1" s="11" t="s">
        <v>192</v>
      </c>
      <c r="O1" s="11" t="s">
        <v>193</v>
      </c>
      <c r="P1" s="11" t="s">
        <v>182</v>
      </c>
      <c r="Q1" s="11" t="s">
        <v>183</v>
      </c>
      <c r="R1" s="11" t="s">
        <v>184</v>
      </c>
      <c r="S1" s="11" t="s">
        <v>185</v>
      </c>
      <c r="T1" s="11" t="s">
        <v>1</v>
      </c>
    </row>
    <row r="2" spans="1:20" x14ac:dyDescent="0.3">
      <c r="A2" s="9" t="s">
        <v>186</v>
      </c>
      <c r="B2" s="9" t="s">
        <v>194</v>
      </c>
      <c r="C2" s="3" t="s">
        <v>65</v>
      </c>
      <c r="D2" s="3"/>
      <c r="E2" s="3"/>
      <c r="F2" s="3"/>
      <c r="G2" s="10" t="str">
        <f>IF(LEN(A2) &gt;0,"Path","-")</f>
        <v>Path</v>
      </c>
      <c r="H2" s="5" t="str">
        <f>IF(LEN(Table23[[#This Row],[!type]])&gt;0,IF(Table23[[#This Row],[!type]]=H$1,"1","rg:None"),"-")</f>
        <v>1</v>
      </c>
      <c r="I2" s="5" t="str">
        <f>IF(LEN(Table23[[#This Row],[!type]])&gt;0,IF(Table23[[#This Row],[!type]]=I$1,"1","rg:None"),"-")</f>
        <v>rg:None</v>
      </c>
      <c r="J2" s="5" t="str">
        <f>IF(LEN(Table23[[#This Row],[!type]])&gt;0,IF(Table23[[#This Row],[!type]]=J$1,"1","rg:None"),"-")</f>
        <v>rg:None</v>
      </c>
      <c r="K2" s="5" t="str">
        <f>IF(LEN(Table23[[#This Row],[!type]])&gt;0,IF(Table23[[#This Row],[!type]]=K$1,"1","rg:None"),"-")</f>
        <v>rg:None</v>
      </c>
      <c r="L2" s="5" t="str">
        <f>IF(LEN(Table23[[#This Row],[!type]])&gt;0,IF(Table23[[#This Row],[!type]]=L$1,"1","rg:None"),"-")</f>
        <v>rg:None</v>
      </c>
      <c r="M2" s="5" t="str">
        <f>IF(LEN(Table23[[#This Row],[!type]])&gt;0,IF(Table23[[#This Row],[!type]]=M$1,"1","rg:None"),"-")</f>
        <v>rg:None</v>
      </c>
      <c r="N2" s="5" t="str">
        <f>IF(LEN(Table23[[#This Row],[!type]])&gt;0,IF(Table23[[#This Row],[!type]]=N$1,"1","rg:None"),"-")</f>
        <v>rg:None</v>
      </c>
      <c r="O2" s="5" t="str">
        <f>IF(LEN(Table23[[#This Row],[!type]])&gt;0,IF(Table23[[#This Row],[!type]]=O$1,"1","rg:None"),"-")</f>
        <v>rg:None</v>
      </c>
      <c r="P2" s="5" t="str">
        <f>IF(LEN(Table23[[#This Row],[!path]]) &gt;0,Table23[[#This Row],[!path]],"rg:None")</f>
        <v>ccwdata</v>
      </c>
      <c r="Q2" s="5" t="str">
        <f>IF(LEN(Table23[[#This Row],[!tag]]) &gt;0,Table23[[#This Row],[!tag]],"rg:None")</f>
        <v>CCWData</v>
      </c>
      <c r="R2" s="5" t="str">
        <f>IF(LEN(Table23[[#This Row],[!paramDef]]) &gt;0,Table23[[#This Row],[!paramDef]],"rg:None")</f>
        <v>rg:None</v>
      </c>
      <c r="S2" s="5" t="str">
        <f>IF(LEN(Table23[[#This Row],[!respDef]]) &gt;0,Table23[[#This Row],[!respDef]],"rg:None")</f>
        <v>rg:None</v>
      </c>
      <c r="T2" s="5" t="str">
        <f>IF(LEN(Table23[[#This Row],[!Description]]) &gt;0,Table23[[#This Row],[!Description]],"rg:None")</f>
        <v>rg:None</v>
      </c>
    </row>
    <row r="3" spans="1:20" x14ac:dyDescent="0.3">
      <c r="A3" s="48" t="s">
        <v>188</v>
      </c>
      <c r="B3" s="48" t="s">
        <v>194</v>
      </c>
      <c r="C3" s="50" t="s">
        <v>65</v>
      </c>
      <c r="D3" s="51" t="s">
        <v>65</v>
      </c>
      <c r="E3" s="14"/>
      <c r="F3" s="15"/>
      <c r="G3" s="16" t="str">
        <f>IF(LEN(A3) &gt;0,"Path","-")</f>
        <v>Path</v>
      </c>
      <c r="H3" s="4" t="str">
        <f>IF(LEN(Table23[[#This Row],[!type]])&gt;0,IF(Table23[[#This Row],[!type]]=H$1,"1","rg:None"),"-")</f>
        <v>rg:None</v>
      </c>
      <c r="I3" s="4" t="str">
        <f>IF(LEN(Table23[[#This Row],[!type]])&gt;0,IF(Table23[[#This Row],[!type]]=I$1,"1","rg:None"),"-")</f>
        <v>rg:None</v>
      </c>
      <c r="J3" s="4" t="str">
        <f>IF(LEN(Table23[[#This Row],[!type]])&gt;0,IF(Table23[[#This Row],[!type]]=J$1,"1","rg:None"),"-")</f>
        <v>1</v>
      </c>
      <c r="K3" s="4" t="str">
        <f>IF(LEN(Table23[[#This Row],[!type]])&gt;0,IF(Table23[[#This Row],[!type]]=K$1,"1","rg:None"),"-")</f>
        <v>rg:None</v>
      </c>
      <c r="L3" s="4" t="str">
        <f>IF(LEN(Table23[[#This Row],[!type]])&gt;0,IF(Table23[[#This Row],[!type]]=L$1,"1","rg:None"),"-")</f>
        <v>rg:None</v>
      </c>
      <c r="M3" s="4" t="str">
        <f>IF(LEN(Table23[[#This Row],[!type]])&gt;0,IF(Table23[[#This Row],[!type]]=M$1,"1","rg:None"),"-")</f>
        <v>rg:None</v>
      </c>
      <c r="N3" s="4" t="str">
        <f>IF(LEN(Table23[[#This Row],[!type]])&gt;0,IF(Table23[[#This Row],[!type]]=N$1,"1","rg:None"),"-")</f>
        <v>rg:None</v>
      </c>
      <c r="O3" s="4" t="str">
        <f>IF(LEN(Table23[[#This Row],[!type]])&gt;0,IF(Table23[[#This Row],[!type]]=O$1,"1","rg:None"),"-")</f>
        <v>rg:None</v>
      </c>
      <c r="P3" s="4" t="str">
        <f>IF(LEN(Table23[[#This Row],[!path]]) &gt;0,Table23[[#This Row],[!path]],"rg:None")</f>
        <v>ccwdata</v>
      </c>
      <c r="Q3" s="4" t="str">
        <f>IF(LEN(Table23[[#This Row],[!tag]]) &gt;0,Table23[[#This Row],[!tag]],"rg:None")</f>
        <v>CCWData</v>
      </c>
      <c r="R3" s="4" t="str">
        <f>IF(LEN(Table23[[#This Row],[!paramDef]]) &gt;0,Table23[[#This Row],[!paramDef]],"rg:None")</f>
        <v>CCWData</v>
      </c>
      <c r="S3" s="4" t="str">
        <f>IF(LEN(Table23[[#This Row],[!respDef]]) &gt;0,Table23[[#This Row],[!respDef]],"rg:None")</f>
        <v>rg:None</v>
      </c>
      <c r="T3" s="4" t="str">
        <f>IF(LEN(Table23[[#This Row],[!Description]]) &gt;0,Table23[[#This Row],[!Description]],"rg:None")</f>
        <v>rg:None</v>
      </c>
    </row>
    <row r="4" spans="1:20" x14ac:dyDescent="0.3">
      <c r="A4" s="9" t="s">
        <v>186</v>
      </c>
      <c r="B4" s="12" t="s">
        <v>207</v>
      </c>
      <c r="C4" s="3" t="s">
        <v>67</v>
      </c>
      <c r="D4" s="3"/>
      <c r="E4" s="3"/>
      <c r="F4" s="3"/>
      <c r="G4" s="10" t="str">
        <f>IF(LEN(A4) &gt;0,"Path","-")</f>
        <v>Path</v>
      </c>
      <c r="H4" s="5" t="str">
        <f>IF(LEN(Table23[[#This Row],[!type]])&gt;0,IF(Table23[[#This Row],[!type]]=H$1,"1","rg:None"),"-")</f>
        <v>1</v>
      </c>
      <c r="I4" s="5" t="str">
        <f>IF(LEN(Table23[[#This Row],[!type]])&gt;0,IF(Table23[[#This Row],[!type]]=I$1,"1","rg:None"),"-")</f>
        <v>rg:None</v>
      </c>
      <c r="J4" s="5" t="str">
        <f>IF(LEN(Table23[[#This Row],[!type]])&gt;0,IF(Table23[[#This Row],[!type]]=J$1,"1","rg:None"),"-")</f>
        <v>rg:None</v>
      </c>
      <c r="K4" s="5" t="str">
        <f>IF(LEN(Table23[[#This Row],[!type]])&gt;0,IF(Table23[[#This Row],[!type]]=K$1,"1","rg:None"),"-")</f>
        <v>rg:None</v>
      </c>
      <c r="L4" s="5" t="str">
        <f>IF(LEN(Table23[[#This Row],[!type]])&gt;0,IF(Table23[[#This Row],[!type]]=L$1,"1","rg:None"),"-")</f>
        <v>rg:None</v>
      </c>
      <c r="M4" s="5" t="str">
        <f>IF(LEN(Table23[[#This Row],[!type]])&gt;0,IF(Table23[[#This Row],[!type]]=M$1,"1","rg:None"),"-")</f>
        <v>rg:None</v>
      </c>
      <c r="N4" s="5" t="str">
        <f>IF(LEN(Table23[[#This Row],[!type]])&gt;0,IF(Table23[[#This Row],[!type]]=N$1,"1","rg:None"),"-")</f>
        <v>rg:None</v>
      </c>
      <c r="O4" s="5" t="str">
        <f>IF(LEN(Table23[[#This Row],[!type]])&gt;0,IF(Table23[[#This Row],[!type]]=O$1,"1","rg:None"),"-")</f>
        <v>rg:None</v>
      </c>
      <c r="P4" s="5" t="str">
        <f>IF(LEN(Table23[[#This Row],[!path]]) &gt;0,Table23[[#This Row],[!path]],"rg:None")</f>
        <v>inspections</v>
      </c>
      <c r="Q4" s="5" t="str">
        <f>IF(LEN(Table23[[#This Row],[!tag]]) &gt;0,Table23[[#This Row],[!tag]],"rg:None")</f>
        <v>Inspection</v>
      </c>
      <c r="R4" s="5" t="str">
        <f>IF(LEN(Table23[[#This Row],[!paramDef]]) &gt;0,Table23[[#This Row],[!paramDef]],"rg:None")</f>
        <v>rg:None</v>
      </c>
      <c r="S4" s="5" t="str">
        <f>IF(LEN(Table23[[#This Row],[!respDef]]) &gt;0,Table23[[#This Row],[!respDef]],"rg:None")</f>
        <v>rg:None</v>
      </c>
      <c r="T4" s="5" t="str">
        <f>IF(LEN(Table23[[#This Row],[!Description]]) &gt;0,Table23[[#This Row],[!Description]],"rg:None")</f>
        <v>rg:None</v>
      </c>
    </row>
    <row r="5" spans="1:20" x14ac:dyDescent="0.3">
      <c r="A5" s="48" t="s">
        <v>188</v>
      </c>
      <c r="B5" s="48" t="s">
        <v>207</v>
      </c>
      <c r="C5" s="50" t="s">
        <v>67</v>
      </c>
      <c r="D5" s="51" t="s">
        <v>67</v>
      </c>
      <c r="E5" s="14"/>
      <c r="F5" s="15"/>
      <c r="G5" s="16" t="str">
        <f>IF(LEN(A5) &gt;0,"Path","-")</f>
        <v>Path</v>
      </c>
      <c r="H5" s="4" t="str">
        <f>IF(LEN(Table23[[#This Row],[!type]])&gt;0,IF(Table23[[#This Row],[!type]]=H$1,"1","rg:None"),"-")</f>
        <v>rg:None</v>
      </c>
      <c r="I5" s="4" t="str">
        <f>IF(LEN(Table23[[#This Row],[!type]])&gt;0,IF(Table23[[#This Row],[!type]]=I$1,"1","rg:None"),"-")</f>
        <v>rg:None</v>
      </c>
      <c r="J5" s="4" t="str">
        <f>IF(LEN(Table23[[#This Row],[!type]])&gt;0,IF(Table23[[#This Row],[!type]]=J$1,"1","rg:None"),"-")</f>
        <v>1</v>
      </c>
      <c r="K5" s="4" t="str">
        <f>IF(LEN(Table23[[#This Row],[!type]])&gt;0,IF(Table23[[#This Row],[!type]]=K$1,"1","rg:None"),"-")</f>
        <v>rg:None</v>
      </c>
      <c r="L5" s="4" t="str">
        <f>IF(LEN(Table23[[#This Row],[!type]])&gt;0,IF(Table23[[#This Row],[!type]]=L$1,"1","rg:None"),"-")</f>
        <v>rg:None</v>
      </c>
      <c r="M5" s="4" t="str">
        <f>IF(LEN(Table23[[#This Row],[!type]])&gt;0,IF(Table23[[#This Row],[!type]]=M$1,"1","rg:None"),"-")</f>
        <v>rg:None</v>
      </c>
      <c r="N5" s="4" t="str">
        <f>IF(LEN(Table23[[#This Row],[!type]])&gt;0,IF(Table23[[#This Row],[!type]]=N$1,"1","rg:None"),"-")</f>
        <v>rg:None</v>
      </c>
      <c r="O5" s="4" t="str">
        <f>IF(LEN(Table23[[#This Row],[!type]])&gt;0,IF(Table23[[#This Row],[!type]]=O$1,"1","rg:None"),"-")</f>
        <v>rg:None</v>
      </c>
      <c r="P5" s="4" t="str">
        <f>IF(LEN(Table23[[#This Row],[!path]]) &gt;0,Table23[[#This Row],[!path]],"rg:None")</f>
        <v>inspections</v>
      </c>
      <c r="Q5" s="4" t="str">
        <f>IF(LEN(Table23[[#This Row],[!tag]]) &gt;0,Table23[[#This Row],[!tag]],"rg:None")</f>
        <v>Inspection</v>
      </c>
      <c r="R5" s="4" t="str">
        <f>IF(LEN(Table23[[#This Row],[!paramDef]]) &gt;0,Table23[[#This Row],[!paramDef]],"rg:None")</f>
        <v>Inspection</v>
      </c>
      <c r="S5" s="4" t="str">
        <f>IF(LEN(Table23[[#This Row],[!respDef]]) &gt;0,Table23[[#This Row],[!respDef]],"rg:None")</f>
        <v>rg:None</v>
      </c>
      <c r="T5" s="4" t="str">
        <f>IF(LEN(Table23[[#This Row],[!Description]]) &gt;0,Table23[[#This Row],[!Description]],"rg:None")</f>
        <v>rg:None</v>
      </c>
    </row>
    <row r="6" spans="1:20" x14ac:dyDescent="0.3">
      <c r="A6" s="9" t="s">
        <v>186</v>
      </c>
      <c r="B6" s="12" t="s">
        <v>208</v>
      </c>
      <c r="C6" s="3" t="s">
        <v>4</v>
      </c>
      <c r="D6" s="3"/>
      <c r="E6" s="3"/>
      <c r="F6" s="3"/>
      <c r="G6" s="10" t="str">
        <f t="shared" ref="G6:G41" si="0">IF(LEN(A6) &gt;0,"Path","-")</f>
        <v>Path</v>
      </c>
      <c r="H6" s="10" t="str">
        <f>IF(LEN(Table23[[#This Row],[!type]])&gt;0,IF(Table23[[#This Row],[!type]]=H$1,"1","rg:None"),"-")</f>
        <v>1</v>
      </c>
      <c r="I6" s="10" t="str">
        <f>IF(LEN(Table23[[#This Row],[!type]])&gt;0,IF(Table23[[#This Row],[!type]]=I$1,"1","rg:None"),"-")</f>
        <v>rg:None</v>
      </c>
      <c r="J6" s="10" t="str">
        <f>IF(LEN(Table23[[#This Row],[!type]])&gt;0,IF(Table23[[#This Row],[!type]]=J$1,"1","rg:None"),"-")</f>
        <v>rg:None</v>
      </c>
      <c r="K6" s="10" t="str">
        <f>IF(LEN(Table23[[#This Row],[!type]])&gt;0,IF(Table23[[#This Row],[!type]]=K$1,"1","rg:None"),"-")</f>
        <v>rg:None</v>
      </c>
      <c r="L6" s="10" t="str">
        <f>IF(LEN(Table23[[#This Row],[!type]])&gt;0,IF(Table23[[#This Row],[!type]]=L$1,"1","rg:None"),"-")</f>
        <v>rg:None</v>
      </c>
      <c r="M6" s="10" t="str">
        <f>IF(LEN(Table23[[#This Row],[!type]])&gt;0,IF(Table23[[#This Row],[!type]]=M$1,"1","rg:None"),"-")</f>
        <v>rg:None</v>
      </c>
      <c r="N6" s="10" t="str">
        <f>IF(LEN(Table23[[#This Row],[!type]])&gt;0,IF(Table23[[#This Row],[!type]]=N$1,"1","rg:None"),"-")</f>
        <v>rg:None</v>
      </c>
      <c r="O6" s="10" t="str">
        <f>IF(LEN(Table23[[#This Row],[!type]])&gt;0,IF(Table23[[#This Row],[!type]]=O$1,"1","rg:None"),"-")</f>
        <v>rg:None</v>
      </c>
      <c r="P6" s="10" t="str">
        <f>IF(LEN(Table23[[#This Row],[!path]]) &gt;0,Table23[[#This Row],[!path]],"rg:None")</f>
        <v>schoolbuses</v>
      </c>
      <c r="Q6" s="10" t="str">
        <f>IF(LEN(Table23[[#This Row],[!tag]]) &gt;0,Table23[[#This Row],[!tag]],"rg:None")</f>
        <v>SchoolBus</v>
      </c>
      <c r="R6" s="10" t="str">
        <f>IF(LEN(Table23[[#This Row],[!paramDef]]) &gt;0,Table23[[#This Row],[!paramDef]],"rg:None")</f>
        <v>rg:None</v>
      </c>
      <c r="S6" s="10" t="str">
        <f>IF(LEN(Table23[[#This Row],[!respDef]]) &gt;0,Table23[[#This Row],[!respDef]],"rg:None")</f>
        <v>rg:None</v>
      </c>
      <c r="T6" s="10" t="str">
        <f>IF(LEN(Table23[[#This Row],[!Description]]) &gt;0,Table23[[#This Row],[!Description]],"rg:None")</f>
        <v>rg:None</v>
      </c>
    </row>
    <row r="7" spans="1:20" x14ac:dyDescent="0.3">
      <c r="A7" s="48" t="s">
        <v>188</v>
      </c>
      <c r="B7" s="48" t="s">
        <v>208</v>
      </c>
      <c r="C7" s="50" t="s">
        <v>4</v>
      </c>
      <c r="D7" s="51" t="s">
        <v>4</v>
      </c>
      <c r="E7" s="14"/>
      <c r="F7" s="15"/>
      <c r="G7" s="16" t="str">
        <f>IF(LEN(A7) &gt;0,"Path","-")</f>
        <v>Path</v>
      </c>
      <c r="H7" s="16" t="str">
        <f>IF(LEN(Table23[[#This Row],[!type]])&gt;0,IF(Table23[[#This Row],[!type]]=H$1,"1","rg:None"),"-")</f>
        <v>rg:None</v>
      </c>
      <c r="I7" s="16" t="str">
        <f>IF(LEN(Table23[[#This Row],[!type]])&gt;0,IF(Table23[[#This Row],[!type]]=I$1,"1","rg:None"),"-")</f>
        <v>rg:None</v>
      </c>
      <c r="J7" s="16" t="str">
        <f>IF(LEN(Table23[[#This Row],[!type]])&gt;0,IF(Table23[[#This Row],[!type]]=J$1,"1","rg:None"),"-")</f>
        <v>1</v>
      </c>
      <c r="K7" s="16" t="str">
        <f>IF(LEN(Table23[[#This Row],[!type]])&gt;0,IF(Table23[[#This Row],[!type]]=K$1,"1","rg:None"),"-")</f>
        <v>rg:None</v>
      </c>
      <c r="L7" s="16" t="str">
        <f>IF(LEN(Table23[[#This Row],[!type]])&gt;0,IF(Table23[[#This Row],[!type]]=L$1,"1","rg:None"),"-")</f>
        <v>rg:None</v>
      </c>
      <c r="M7" s="16" t="str">
        <f>IF(LEN(Table23[[#This Row],[!type]])&gt;0,IF(Table23[[#This Row],[!type]]=M$1,"1","rg:None"),"-")</f>
        <v>rg:None</v>
      </c>
      <c r="N7" s="16" t="str">
        <f>IF(LEN(Table23[[#This Row],[!type]])&gt;0,IF(Table23[[#This Row],[!type]]=N$1,"1","rg:None"),"-")</f>
        <v>rg:None</v>
      </c>
      <c r="O7" s="16" t="str">
        <f>IF(LEN(Table23[[#This Row],[!type]])&gt;0,IF(Table23[[#This Row],[!type]]=O$1,"1","rg:None"),"-")</f>
        <v>rg:None</v>
      </c>
      <c r="P7" s="16" t="str">
        <f>IF(LEN(Table23[[#This Row],[!path]]) &gt;0,Table23[[#This Row],[!path]],"rg:None")</f>
        <v>schoolbuses</v>
      </c>
      <c r="Q7" s="16" t="str">
        <f>IF(LEN(Table23[[#This Row],[!tag]]) &gt;0,Table23[[#This Row],[!tag]],"rg:None")</f>
        <v>SchoolBus</v>
      </c>
      <c r="R7" s="16" t="str">
        <f>IF(LEN(Table23[[#This Row],[!paramDef]]) &gt;0,Table23[[#This Row],[!paramDef]],"rg:None")</f>
        <v>SchoolBus</v>
      </c>
      <c r="S7" s="16" t="str">
        <f>IF(LEN(Table23[[#This Row],[!respDef]]) &gt;0,Table23[[#This Row],[!respDef]],"rg:None")</f>
        <v>rg:None</v>
      </c>
      <c r="T7" s="16" t="str">
        <f>IF(LEN(Table23[[#This Row],[!Description]]) &gt;0,Table23[[#This Row],[!Description]],"rg:None")</f>
        <v>rg:None</v>
      </c>
    </row>
    <row r="8" spans="1:20" x14ac:dyDescent="0.3">
      <c r="A8" s="9" t="s">
        <v>186</v>
      </c>
      <c r="B8" s="32" t="s">
        <v>54</v>
      </c>
      <c r="C8" s="32" t="s">
        <v>234</v>
      </c>
      <c r="D8" s="3"/>
      <c r="E8" s="3"/>
      <c r="F8" s="3"/>
      <c r="G8" s="10" t="str">
        <f t="shared" si="0"/>
        <v>Path</v>
      </c>
      <c r="H8" s="5" t="str">
        <f>IF(LEN(Table23[[#This Row],[!type]])&gt;0,IF(Table23[[#This Row],[!type]]=H$1,"1","rg:None"),"-")</f>
        <v>1</v>
      </c>
      <c r="I8" s="5" t="str">
        <f>IF(LEN(Table23[[#This Row],[!type]])&gt;0,IF(Table23[[#This Row],[!type]]=I$1,"1","rg:None"),"-")</f>
        <v>rg:None</v>
      </c>
      <c r="J8" s="5" t="str">
        <f>IF(LEN(Table23[[#This Row],[!type]])&gt;0,IF(Table23[[#This Row],[!type]]=J$1,"1","rg:None"),"-")</f>
        <v>rg:None</v>
      </c>
      <c r="K8" s="5" t="str">
        <f>IF(LEN(Table23[[#This Row],[!type]])&gt;0,IF(Table23[[#This Row],[!type]]=K$1,"1","rg:None"),"-")</f>
        <v>rg:None</v>
      </c>
      <c r="L8" s="5" t="str">
        <f>IF(LEN(Table23[[#This Row],[!type]])&gt;0,IF(Table23[[#This Row],[!type]]=L$1,"1","rg:None"),"-")</f>
        <v>rg:None</v>
      </c>
      <c r="M8" s="5" t="str">
        <f>IF(LEN(Table23[[#This Row],[!type]])&gt;0,IF(Table23[[#This Row],[!type]]=M$1,"1","rg:None"),"-")</f>
        <v>rg:None</v>
      </c>
      <c r="N8" s="5" t="str">
        <f>IF(LEN(Table23[[#This Row],[!type]])&gt;0,IF(Table23[[#This Row],[!type]]=N$1,"1","rg:None"),"-")</f>
        <v>rg:None</v>
      </c>
      <c r="O8" s="5" t="str">
        <f>IF(LEN(Table23[[#This Row],[!type]])&gt;0,IF(Table23[[#This Row],[!type]]=O$1,"1","rg:None"),"-")</f>
        <v>rg:None</v>
      </c>
      <c r="P8" s="5" t="str">
        <f>IF(LEN(Table23[[#This Row],[!path]]) &gt;0,Table23[[#This Row],[!path]],"rg:None")</f>
        <v>notes</v>
      </c>
      <c r="Q8" s="5" t="str">
        <f>IF(LEN(Table23[[#This Row],[!tag]]) &gt;0,Table23[[#This Row],[!tag]],"rg:None")</f>
        <v>Note</v>
      </c>
      <c r="R8" s="5" t="str">
        <f>IF(LEN(Table23[[#This Row],[!paramDef]]) &gt;0,Table23[[#This Row],[!paramDef]],"rg:None")</f>
        <v>rg:None</v>
      </c>
      <c r="S8" s="5" t="str">
        <f>IF(LEN(Table23[[#This Row],[!respDef]]) &gt;0,Table23[[#This Row],[!respDef]],"rg:None")</f>
        <v>rg:None</v>
      </c>
      <c r="T8" s="5" t="str">
        <f>IF(LEN(Table23[[#This Row],[!Description]]) &gt;0,Table23[[#This Row],[!Description]],"rg:None")</f>
        <v>rg:None</v>
      </c>
    </row>
    <row r="9" spans="1:20" x14ac:dyDescent="0.3">
      <c r="A9" s="48" t="s">
        <v>188</v>
      </c>
      <c r="B9" s="48" t="s">
        <v>54</v>
      </c>
      <c r="C9" s="50" t="s">
        <v>234</v>
      </c>
      <c r="D9" s="51" t="s">
        <v>234</v>
      </c>
      <c r="E9" s="14"/>
      <c r="F9" s="15"/>
      <c r="G9" s="16" t="str">
        <f>IF(LEN(A9) &gt;0,"Path","-")</f>
        <v>Path</v>
      </c>
      <c r="H9" s="4" t="str">
        <f>IF(LEN(Table23[[#This Row],[!type]])&gt;0,IF(Table23[[#This Row],[!type]]=H$1,"1","rg:None"),"-")</f>
        <v>rg:None</v>
      </c>
      <c r="I9" s="4" t="str">
        <f>IF(LEN(Table23[[#This Row],[!type]])&gt;0,IF(Table23[[#This Row],[!type]]=I$1,"1","rg:None"),"-")</f>
        <v>rg:None</v>
      </c>
      <c r="J9" s="4" t="str">
        <f>IF(LEN(Table23[[#This Row],[!type]])&gt;0,IF(Table23[[#This Row],[!type]]=J$1,"1","rg:None"),"-")</f>
        <v>1</v>
      </c>
      <c r="K9" s="4" t="str">
        <f>IF(LEN(Table23[[#This Row],[!type]])&gt;0,IF(Table23[[#This Row],[!type]]=K$1,"1","rg:None"),"-")</f>
        <v>rg:None</v>
      </c>
      <c r="L9" s="4" t="str">
        <f>IF(LEN(Table23[[#This Row],[!type]])&gt;0,IF(Table23[[#This Row],[!type]]=L$1,"1","rg:None"),"-")</f>
        <v>rg:None</v>
      </c>
      <c r="M9" s="4" t="str">
        <f>IF(LEN(Table23[[#This Row],[!type]])&gt;0,IF(Table23[[#This Row],[!type]]=M$1,"1","rg:None"),"-")</f>
        <v>rg:None</v>
      </c>
      <c r="N9" s="4" t="str">
        <f>IF(LEN(Table23[[#This Row],[!type]])&gt;0,IF(Table23[[#This Row],[!type]]=N$1,"1","rg:None"),"-")</f>
        <v>rg:None</v>
      </c>
      <c r="O9" s="4" t="str">
        <f>IF(LEN(Table23[[#This Row],[!type]])&gt;0,IF(Table23[[#This Row],[!type]]=O$1,"1","rg:None"),"-")</f>
        <v>rg:None</v>
      </c>
      <c r="P9" s="4" t="str">
        <f>IF(LEN(Table23[[#This Row],[!path]]) &gt;0,Table23[[#This Row],[!path]],"rg:None")</f>
        <v>notes</v>
      </c>
      <c r="Q9" s="4" t="str">
        <f>IF(LEN(Table23[[#This Row],[!tag]]) &gt;0,Table23[[#This Row],[!tag]],"rg:None")</f>
        <v>Note</v>
      </c>
      <c r="R9" s="4" t="str">
        <f>IF(LEN(Table23[[#This Row],[!paramDef]]) &gt;0,Table23[[#This Row],[!paramDef]],"rg:None")</f>
        <v>Note</v>
      </c>
      <c r="S9" s="4" t="str">
        <f>IF(LEN(Table23[[#This Row],[!respDef]]) &gt;0,Table23[[#This Row],[!respDef]],"rg:None")</f>
        <v>rg:None</v>
      </c>
      <c r="T9" s="4" t="str">
        <f>IF(LEN(Table23[[#This Row],[!Description]]) &gt;0,Table23[[#This Row],[!Description]],"rg:None")</f>
        <v>rg:None</v>
      </c>
    </row>
    <row r="10" spans="1:20" x14ac:dyDescent="0.3">
      <c r="A10" s="9" t="s">
        <v>186</v>
      </c>
      <c r="B10" s="32" t="s">
        <v>235</v>
      </c>
      <c r="C10" s="32" t="s">
        <v>236</v>
      </c>
      <c r="D10" s="3"/>
      <c r="E10" s="3"/>
      <c r="F10" s="3"/>
      <c r="G10" s="10" t="str">
        <f t="shared" si="0"/>
        <v>Path</v>
      </c>
      <c r="H10" s="5" t="str">
        <f>IF(LEN(Table23[[#This Row],[!type]])&gt;0,IF(Table23[[#This Row],[!type]]=H$1,"1","rg:None"),"-")</f>
        <v>1</v>
      </c>
      <c r="I10" s="5" t="str">
        <f>IF(LEN(Table23[[#This Row],[!type]])&gt;0,IF(Table23[[#This Row],[!type]]=I$1,"1","rg:None"),"-")</f>
        <v>rg:None</v>
      </c>
      <c r="J10" s="5" t="str">
        <f>IF(LEN(Table23[[#This Row],[!type]])&gt;0,IF(Table23[[#This Row],[!type]]=J$1,"1","rg:None"),"-")</f>
        <v>rg:None</v>
      </c>
      <c r="K10" s="5" t="str">
        <f>IF(LEN(Table23[[#This Row],[!type]])&gt;0,IF(Table23[[#This Row],[!type]]=K$1,"1","rg:None"),"-")</f>
        <v>rg:None</v>
      </c>
      <c r="L10" s="5" t="str">
        <f>IF(LEN(Table23[[#This Row],[!type]])&gt;0,IF(Table23[[#This Row],[!type]]=L$1,"1","rg:None"),"-")</f>
        <v>rg:None</v>
      </c>
      <c r="M10" s="5" t="str">
        <f>IF(LEN(Table23[[#This Row],[!type]])&gt;0,IF(Table23[[#This Row],[!type]]=M$1,"1","rg:None"),"-")</f>
        <v>rg:None</v>
      </c>
      <c r="N10" s="5" t="str">
        <f>IF(LEN(Table23[[#This Row],[!type]])&gt;0,IF(Table23[[#This Row],[!type]]=N$1,"1","rg:None"),"-")</f>
        <v>rg:None</v>
      </c>
      <c r="O10" s="5" t="str">
        <f>IF(LEN(Table23[[#This Row],[!type]])&gt;0,IF(Table23[[#This Row],[!type]]=O$1,"1","rg:None"),"-")</f>
        <v>rg:None</v>
      </c>
      <c r="P10" s="5" t="str">
        <f>IF(LEN(Table23[[#This Row],[!path]]) &gt;0,Table23[[#This Row],[!path]],"rg:None")</f>
        <v>attachments</v>
      </c>
      <c r="Q10" s="5" t="str">
        <f>IF(LEN(Table23[[#This Row],[!tag]]) &gt;0,Table23[[#This Row],[!tag]],"rg:None")</f>
        <v>Attachment</v>
      </c>
      <c r="R10" s="5" t="str">
        <f>IF(LEN(Table23[[#This Row],[!paramDef]]) &gt;0,Table23[[#This Row],[!paramDef]],"rg:None")</f>
        <v>rg:None</v>
      </c>
      <c r="S10" s="5" t="str">
        <f>IF(LEN(Table23[[#This Row],[!respDef]]) &gt;0,Table23[[#This Row],[!respDef]],"rg:None")</f>
        <v>rg:None</v>
      </c>
      <c r="T10" s="5" t="str">
        <f>IF(LEN(Table23[[#This Row],[!Description]]) &gt;0,Table23[[#This Row],[!Description]],"rg:None")</f>
        <v>rg:None</v>
      </c>
    </row>
    <row r="11" spans="1:20" x14ac:dyDescent="0.3">
      <c r="A11" s="48" t="s">
        <v>188</v>
      </c>
      <c r="B11" s="48" t="s">
        <v>235</v>
      </c>
      <c r="C11" s="50" t="s">
        <v>236</v>
      </c>
      <c r="D11" s="51" t="s">
        <v>236</v>
      </c>
      <c r="E11" s="14"/>
      <c r="F11" s="15"/>
      <c r="G11" s="16" t="str">
        <f>IF(LEN(A11) &gt;0,"Path","-")</f>
        <v>Path</v>
      </c>
      <c r="H11" s="4" t="str">
        <f>IF(LEN(Table23[[#This Row],[!type]])&gt;0,IF(Table23[[#This Row],[!type]]=H$1,"1","rg:None"),"-")</f>
        <v>rg:None</v>
      </c>
      <c r="I11" s="4" t="str">
        <f>IF(LEN(Table23[[#This Row],[!type]])&gt;0,IF(Table23[[#This Row],[!type]]=I$1,"1","rg:None"),"-")</f>
        <v>rg:None</v>
      </c>
      <c r="J11" s="4" t="str">
        <f>IF(LEN(Table23[[#This Row],[!type]])&gt;0,IF(Table23[[#This Row],[!type]]=J$1,"1","rg:None"),"-")</f>
        <v>1</v>
      </c>
      <c r="K11" s="4" t="str">
        <f>IF(LEN(Table23[[#This Row],[!type]])&gt;0,IF(Table23[[#This Row],[!type]]=K$1,"1","rg:None"),"-")</f>
        <v>rg:None</v>
      </c>
      <c r="L11" s="4" t="str">
        <f>IF(LEN(Table23[[#This Row],[!type]])&gt;0,IF(Table23[[#This Row],[!type]]=L$1,"1","rg:None"),"-")</f>
        <v>rg:None</v>
      </c>
      <c r="M11" s="4" t="str">
        <f>IF(LEN(Table23[[#This Row],[!type]])&gt;0,IF(Table23[[#This Row],[!type]]=M$1,"1","rg:None"),"-")</f>
        <v>rg:None</v>
      </c>
      <c r="N11" s="4" t="str">
        <f>IF(LEN(Table23[[#This Row],[!type]])&gt;0,IF(Table23[[#This Row],[!type]]=N$1,"1","rg:None"),"-")</f>
        <v>rg:None</v>
      </c>
      <c r="O11" s="4" t="str">
        <f>IF(LEN(Table23[[#This Row],[!type]])&gt;0,IF(Table23[[#This Row],[!type]]=O$1,"1","rg:None"),"-")</f>
        <v>rg:None</v>
      </c>
      <c r="P11" s="4" t="str">
        <f>IF(LEN(Table23[[#This Row],[!path]]) &gt;0,Table23[[#This Row],[!path]],"rg:None")</f>
        <v>attachments</v>
      </c>
      <c r="Q11" s="4" t="str">
        <f>IF(LEN(Table23[[#This Row],[!tag]]) &gt;0,Table23[[#This Row],[!tag]],"rg:None")</f>
        <v>Attachment</v>
      </c>
      <c r="R11" s="4" t="str">
        <f>IF(LEN(Table23[[#This Row],[!paramDef]]) &gt;0,Table23[[#This Row],[!paramDef]],"rg:None")</f>
        <v>Attachment</v>
      </c>
      <c r="S11" s="4" t="str">
        <f>IF(LEN(Table23[[#This Row],[!respDef]]) &gt;0,Table23[[#This Row],[!respDef]],"rg:None")</f>
        <v>rg:None</v>
      </c>
      <c r="T11" s="4" t="str">
        <f>IF(LEN(Table23[[#This Row],[!Description]]) &gt;0,Table23[[#This Row],[!Description]],"rg:None")</f>
        <v>rg:None</v>
      </c>
    </row>
    <row r="12" spans="1:20" x14ac:dyDescent="0.3">
      <c r="A12" s="9" t="s">
        <v>186</v>
      </c>
      <c r="B12" s="32" t="s">
        <v>271</v>
      </c>
      <c r="C12" s="32" t="s">
        <v>238</v>
      </c>
      <c r="D12" s="3"/>
      <c r="E12" s="3"/>
      <c r="F12" s="3"/>
      <c r="G12" s="10" t="str">
        <f t="shared" si="0"/>
        <v>Path</v>
      </c>
      <c r="H12" s="5" t="str">
        <f>IF(LEN(Table23[[#This Row],[!type]])&gt;0,IF(Table23[[#This Row],[!type]]=H$1,"1","rg:None"),"-")</f>
        <v>1</v>
      </c>
      <c r="I12" s="5" t="str">
        <f>IF(LEN(Table23[[#This Row],[!type]])&gt;0,IF(Table23[[#This Row],[!type]]=I$1,"1","rg:None"),"-")</f>
        <v>rg:None</v>
      </c>
      <c r="J12" s="5" t="str">
        <f>IF(LEN(Table23[[#This Row],[!type]])&gt;0,IF(Table23[[#This Row],[!type]]=J$1,"1","rg:None"),"-")</f>
        <v>rg:None</v>
      </c>
      <c r="K12" s="5" t="str">
        <f>IF(LEN(Table23[[#This Row],[!type]])&gt;0,IF(Table23[[#This Row],[!type]]=K$1,"1","rg:None"),"-")</f>
        <v>rg:None</v>
      </c>
      <c r="L12" s="5" t="str">
        <f>IF(LEN(Table23[[#This Row],[!type]])&gt;0,IF(Table23[[#This Row],[!type]]=L$1,"1","rg:None"),"-")</f>
        <v>rg:None</v>
      </c>
      <c r="M12" s="5" t="str">
        <f>IF(LEN(Table23[[#This Row],[!type]])&gt;0,IF(Table23[[#This Row],[!type]]=M$1,"1","rg:None"),"-")</f>
        <v>rg:None</v>
      </c>
      <c r="N12" s="5" t="str">
        <f>IF(LEN(Table23[[#This Row],[!type]])&gt;0,IF(Table23[[#This Row],[!type]]=N$1,"1","rg:None"),"-")</f>
        <v>rg:None</v>
      </c>
      <c r="O12" s="5" t="str">
        <f>IF(LEN(Table23[[#This Row],[!type]])&gt;0,IF(Table23[[#This Row],[!type]]=O$1,"1","rg:None"),"-")</f>
        <v>rg:None</v>
      </c>
      <c r="P12" s="5" t="str">
        <f>IF(LEN(Table23[[#This Row],[!path]]) &gt;0,Table23[[#This Row],[!path]],"rg:None")</f>
        <v>histories</v>
      </c>
      <c r="Q12" s="5" t="str">
        <f>IF(LEN(Table23[[#This Row],[!tag]]) &gt;0,Table23[[#This Row],[!tag]],"rg:None")</f>
        <v>History</v>
      </c>
      <c r="R12" s="5" t="str">
        <f>IF(LEN(Table23[[#This Row],[!paramDef]]) &gt;0,Table23[[#This Row],[!paramDef]],"rg:None")</f>
        <v>rg:None</v>
      </c>
      <c r="S12" s="5" t="str">
        <f>IF(LEN(Table23[[#This Row],[!respDef]]) &gt;0,Table23[[#This Row],[!respDef]],"rg:None")</f>
        <v>rg:None</v>
      </c>
      <c r="T12" s="5" t="str">
        <f>IF(LEN(Table23[[#This Row],[!Description]]) &gt;0,Table23[[#This Row],[!Description]],"rg:None")</f>
        <v>rg:None</v>
      </c>
    </row>
    <row r="13" spans="1:20" x14ac:dyDescent="0.3">
      <c r="A13" s="48" t="s">
        <v>188</v>
      </c>
      <c r="B13" s="48" t="s">
        <v>271</v>
      </c>
      <c r="C13" s="50" t="s">
        <v>238</v>
      </c>
      <c r="D13" s="51" t="s">
        <v>238</v>
      </c>
      <c r="E13" s="14"/>
      <c r="F13" s="15"/>
      <c r="G13" s="16" t="str">
        <f>IF(LEN(A13) &gt;0,"Path","-")</f>
        <v>Path</v>
      </c>
      <c r="H13" s="4" t="str">
        <f>IF(LEN(Table23[[#This Row],[!type]])&gt;0,IF(Table23[[#This Row],[!type]]=H$1,"1","rg:None"),"-")</f>
        <v>rg:None</v>
      </c>
      <c r="I13" s="4" t="str">
        <f>IF(LEN(Table23[[#This Row],[!type]])&gt;0,IF(Table23[[#This Row],[!type]]=I$1,"1","rg:None"),"-")</f>
        <v>rg:None</v>
      </c>
      <c r="J13" s="4" t="str">
        <f>IF(LEN(Table23[[#This Row],[!type]])&gt;0,IF(Table23[[#This Row],[!type]]=J$1,"1","rg:None"),"-")</f>
        <v>1</v>
      </c>
      <c r="K13" s="4" t="str">
        <f>IF(LEN(Table23[[#This Row],[!type]])&gt;0,IF(Table23[[#This Row],[!type]]=K$1,"1","rg:None"),"-")</f>
        <v>rg:None</v>
      </c>
      <c r="L13" s="4" t="str">
        <f>IF(LEN(Table23[[#This Row],[!type]])&gt;0,IF(Table23[[#This Row],[!type]]=L$1,"1","rg:None"),"-")</f>
        <v>rg:None</v>
      </c>
      <c r="M13" s="4" t="str">
        <f>IF(LEN(Table23[[#This Row],[!type]])&gt;0,IF(Table23[[#This Row],[!type]]=M$1,"1","rg:None"),"-")</f>
        <v>rg:None</v>
      </c>
      <c r="N13" s="4" t="str">
        <f>IF(LEN(Table23[[#This Row],[!type]])&gt;0,IF(Table23[[#This Row],[!type]]=N$1,"1","rg:None"),"-")</f>
        <v>rg:None</v>
      </c>
      <c r="O13" s="4" t="str">
        <f>IF(LEN(Table23[[#This Row],[!type]])&gt;0,IF(Table23[[#This Row],[!type]]=O$1,"1","rg:None"),"-")</f>
        <v>rg:None</v>
      </c>
      <c r="P13" s="4" t="str">
        <f>IF(LEN(Table23[[#This Row],[!path]]) &gt;0,Table23[[#This Row],[!path]],"rg:None")</f>
        <v>histories</v>
      </c>
      <c r="Q13" s="4" t="str">
        <f>IF(LEN(Table23[[#This Row],[!tag]]) &gt;0,Table23[[#This Row],[!tag]],"rg:None")</f>
        <v>History</v>
      </c>
      <c r="R13" s="4" t="str">
        <f>IF(LEN(Table23[[#This Row],[!paramDef]]) &gt;0,Table23[[#This Row],[!paramDef]],"rg:None")</f>
        <v>History</v>
      </c>
      <c r="S13" s="4" t="str">
        <f>IF(LEN(Table23[[#This Row],[!respDef]]) &gt;0,Table23[[#This Row],[!respDef]],"rg:None")</f>
        <v>rg:None</v>
      </c>
      <c r="T13" s="4" t="str">
        <f>IF(LEN(Table23[[#This Row],[!Description]]) &gt;0,Table23[[#This Row],[!Description]],"rg:None")</f>
        <v>rg:None</v>
      </c>
    </row>
    <row r="14" spans="1:20" x14ac:dyDescent="0.3">
      <c r="A14" s="9" t="s">
        <v>186</v>
      </c>
      <c r="B14" s="12" t="s">
        <v>210</v>
      </c>
      <c r="C14" s="3" t="s">
        <v>102</v>
      </c>
      <c r="D14" s="3"/>
      <c r="E14" s="3"/>
      <c r="F14" s="3"/>
      <c r="G14" s="10" t="str">
        <f>IF(LEN(A14) &gt;0,"Path","-")</f>
        <v>Path</v>
      </c>
      <c r="H14" s="5" t="str">
        <f>IF(LEN(Table23[[#This Row],[!type]])&gt;0,IF(Table23[[#This Row],[!type]]=H$1,"1","rg:None"),"-")</f>
        <v>1</v>
      </c>
      <c r="I14" s="5" t="str">
        <f>IF(LEN(Table23[[#This Row],[!type]])&gt;0,IF(Table23[[#This Row],[!type]]=I$1,"1","rg:None"),"-")</f>
        <v>rg:None</v>
      </c>
      <c r="J14" s="5" t="str">
        <f>IF(LEN(Table23[[#This Row],[!type]])&gt;0,IF(Table23[[#This Row],[!type]]=J$1,"1","rg:None"),"-")</f>
        <v>rg:None</v>
      </c>
      <c r="K14" s="5" t="str">
        <f>IF(LEN(Table23[[#This Row],[!type]])&gt;0,IF(Table23[[#This Row],[!type]]=K$1,"1","rg:None"),"-")</f>
        <v>rg:None</v>
      </c>
      <c r="L14" s="5" t="str">
        <f>IF(LEN(Table23[[#This Row],[!type]])&gt;0,IF(Table23[[#This Row],[!type]]=L$1,"1","rg:None"),"-")</f>
        <v>rg:None</v>
      </c>
      <c r="M14" s="5" t="str">
        <f>IF(LEN(Table23[[#This Row],[!type]])&gt;0,IF(Table23[[#This Row],[!type]]=M$1,"1","rg:None"),"-")</f>
        <v>rg:None</v>
      </c>
      <c r="N14" s="5" t="str">
        <f>IF(LEN(Table23[[#This Row],[!type]])&gt;0,IF(Table23[[#This Row],[!type]]=N$1,"1","rg:None"),"-")</f>
        <v>rg:None</v>
      </c>
      <c r="O14" s="5" t="str">
        <f>IF(LEN(Table23[[#This Row],[!type]])&gt;0,IF(Table23[[#This Row],[!type]]=O$1,"1","rg:None"),"-")</f>
        <v>rg:None</v>
      </c>
      <c r="P14" s="5" t="str">
        <f>IF(LEN(Table23[[#This Row],[!path]]) &gt;0,Table23[[#This Row],[!path]],"rg:None")</f>
        <v>notifications</v>
      </c>
      <c r="Q14" s="5" t="str">
        <f>IF(LEN(Table23[[#This Row],[!tag]]) &gt;0,Table23[[#This Row],[!tag]],"rg:None")</f>
        <v>Notification</v>
      </c>
      <c r="R14" s="5" t="str">
        <f>IF(LEN(Table23[[#This Row],[!paramDef]]) &gt;0,Table23[[#This Row],[!paramDef]],"rg:None")</f>
        <v>rg:None</v>
      </c>
      <c r="S14" s="5" t="str">
        <f>IF(LEN(Table23[[#This Row],[!respDef]]) &gt;0,Table23[[#This Row],[!respDef]],"rg:None")</f>
        <v>rg:None</v>
      </c>
      <c r="T14" s="5" t="str">
        <f>IF(LEN(Table23[[#This Row],[!Description]]) &gt;0,Table23[[#This Row],[!Description]],"rg:None")</f>
        <v>rg:None</v>
      </c>
    </row>
    <row r="15" spans="1:20" x14ac:dyDescent="0.3">
      <c r="A15" s="48" t="s">
        <v>188</v>
      </c>
      <c r="B15" s="48" t="s">
        <v>210</v>
      </c>
      <c r="C15" s="50" t="s">
        <v>102</v>
      </c>
      <c r="D15" s="51" t="s">
        <v>102</v>
      </c>
      <c r="E15" s="14"/>
      <c r="F15" s="15"/>
      <c r="G15" s="16" t="str">
        <f>IF(LEN(A15) &gt;0,"Path","-")</f>
        <v>Path</v>
      </c>
      <c r="H15" s="4" t="str">
        <f>IF(LEN(Table23[[#This Row],[!type]])&gt;0,IF(Table23[[#This Row],[!type]]=H$1,"1","rg:None"),"-")</f>
        <v>rg:None</v>
      </c>
      <c r="I15" s="4" t="str">
        <f>IF(LEN(Table23[[#This Row],[!type]])&gt;0,IF(Table23[[#This Row],[!type]]=I$1,"1","rg:None"),"-")</f>
        <v>rg:None</v>
      </c>
      <c r="J15" s="4" t="str">
        <f>IF(LEN(Table23[[#This Row],[!type]])&gt;0,IF(Table23[[#This Row],[!type]]=J$1,"1","rg:None"),"-")</f>
        <v>1</v>
      </c>
      <c r="K15" s="4" t="str">
        <f>IF(LEN(Table23[[#This Row],[!type]])&gt;0,IF(Table23[[#This Row],[!type]]=K$1,"1","rg:None"),"-")</f>
        <v>rg:None</v>
      </c>
      <c r="L15" s="4" t="str">
        <f>IF(LEN(Table23[[#This Row],[!type]])&gt;0,IF(Table23[[#This Row],[!type]]=L$1,"1","rg:None"),"-")</f>
        <v>rg:None</v>
      </c>
      <c r="M15" s="4" t="str">
        <f>IF(LEN(Table23[[#This Row],[!type]])&gt;0,IF(Table23[[#This Row],[!type]]=M$1,"1","rg:None"),"-")</f>
        <v>rg:None</v>
      </c>
      <c r="N15" s="4" t="str">
        <f>IF(LEN(Table23[[#This Row],[!type]])&gt;0,IF(Table23[[#This Row],[!type]]=N$1,"1","rg:None"),"-")</f>
        <v>rg:None</v>
      </c>
      <c r="O15" s="4" t="str">
        <f>IF(LEN(Table23[[#This Row],[!type]])&gt;0,IF(Table23[[#This Row],[!type]]=O$1,"1","rg:None"),"-")</f>
        <v>rg:None</v>
      </c>
      <c r="P15" s="4" t="str">
        <f>IF(LEN(Table23[[#This Row],[!path]]) &gt;0,Table23[[#This Row],[!path]],"rg:None")</f>
        <v>notifications</v>
      </c>
      <c r="Q15" s="4" t="str">
        <f>IF(LEN(Table23[[#This Row],[!tag]]) &gt;0,Table23[[#This Row],[!tag]],"rg:None")</f>
        <v>Notification</v>
      </c>
      <c r="R15" s="4" t="str">
        <f>IF(LEN(Table23[[#This Row],[!paramDef]]) &gt;0,Table23[[#This Row],[!paramDef]],"rg:None")</f>
        <v>Notification</v>
      </c>
      <c r="S15" s="4" t="str">
        <f>IF(LEN(Table23[[#This Row],[!respDef]]) &gt;0,Table23[[#This Row],[!respDef]],"rg:None")</f>
        <v>rg:None</v>
      </c>
      <c r="T15" s="4" t="str">
        <f>IF(LEN(Table23[[#This Row],[!Description]]) &gt;0,Table23[[#This Row],[!Description]],"rg:None")</f>
        <v>rg:None</v>
      </c>
    </row>
    <row r="16" spans="1:20" x14ac:dyDescent="0.3">
      <c r="A16" s="9" t="s">
        <v>186</v>
      </c>
      <c r="B16" s="12" t="s">
        <v>209</v>
      </c>
      <c r="C16" s="3" t="s">
        <v>104</v>
      </c>
      <c r="D16" s="3"/>
      <c r="E16" s="3"/>
      <c r="F16" s="3"/>
      <c r="G16" s="10" t="str">
        <f>IF(LEN(A16) &gt;0,"Path","-")</f>
        <v>Path</v>
      </c>
      <c r="H16" s="5" t="str">
        <f>IF(LEN(Table23[[#This Row],[!type]])&gt;0,IF(Table23[[#This Row],[!type]]=H$1,"1","rg:None"),"-")</f>
        <v>1</v>
      </c>
      <c r="I16" s="5" t="str">
        <f>IF(LEN(Table23[[#This Row],[!type]])&gt;0,IF(Table23[[#This Row],[!type]]=I$1,"1","rg:None"),"-")</f>
        <v>rg:None</v>
      </c>
      <c r="J16" s="5" t="str">
        <f>IF(LEN(Table23[[#This Row],[!type]])&gt;0,IF(Table23[[#This Row],[!type]]=J$1,"1","rg:None"),"-")</f>
        <v>rg:None</v>
      </c>
      <c r="K16" s="5" t="str">
        <f>IF(LEN(Table23[[#This Row],[!type]])&gt;0,IF(Table23[[#This Row],[!type]]=K$1,"1","rg:None"),"-")</f>
        <v>rg:None</v>
      </c>
      <c r="L16" s="5" t="str">
        <f>IF(LEN(Table23[[#This Row],[!type]])&gt;0,IF(Table23[[#This Row],[!type]]=L$1,"1","rg:None"),"-")</f>
        <v>rg:None</v>
      </c>
      <c r="M16" s="5" t="str">
        <f>IF(LEN(Table23[[#This Row],[!type]])&gt;0,IF(Table23[[#This Row],[!type]]=M$1,"1","rg:None"),"-")</f>
        <v>rg:None</v>
      </c>
      <c r="N16" s="5" t="str">
        <f>IF(LEN(Table23[[#This Row],[!type]])&gt;0,IF(Table23[[#This Row],[!type]]=N$1,"1","rg:None"),"-")</f>
        <v>rg:None</v>
      </c>
      <c r="O16" s="5" t="str">
        <f>IF(LEN(Table23[[#This Row],[!type]])&gt;0,IF(Table23[[#This Row],[!type]]=O$1,"1","rg:None"),"-")</f>
        <v>rg:None</v>
      </c>
      <c r="P16" s="5" t="str">
        <f>IF(LEN(Table23[[#This Row],[!path]]) &gt;0,Table23[[#This Row],[!path]],"rg:None")</f>
        <v>notificationevents</v>
      </c>
      <c r="Q16" s="5" t="str">
        <f>IF(LEN(Table23[[#This Row],[!tag]]) &gt;0,Table23[[#This Row],[!tag]],"rg:None")</f>
        <v>NotificationEvent</v>
      </c>
      <c r="R16" s="5" t="str">
        <f>IF(LEN(Table23[[#This Row],[!paramDef]]) &gt;0,Table23[[#This Row],[!paramDef]],"rg:None")</f>
        <v>rg:None</v>
      </c>
      <c r="S16" s="5" t="str">
        <f>IF(LEN(Table23[[#This Row],[!respDef]]) &gt;0,Table23[[#This Row],[!respDef]],"rg:None")</f>
        <v>rg:None</v>
      </c>
      <c r="T16" s="5" t="str">
        <f>IF(LEN(Table23[[#This Row],[!Description]]) &gt;0,Table23[[#This Row],[!Description]],"rg:None")</f>
        <v>rg:None</v>
      </c>
    </row>
    <row r="17" spans="1:20" x14ac:dyDescent="0.3">
      <c r="A17" s="48" t="s">
        <v>188</v>
      </c>
      <c r="B17" s="48" t="s">
        <v>209</v>
      </c>
      <c r="C17" s="50" t="s">
        <v>104</v>
      </c>
      <c r="D17" s="51" t="s">
        <v>104</v>
      </c>
      <c r="E17" s="14"/>
      <c r="F17" s="15"/>
      <c r="G17" s="16" t="str">
        <f>IF(LEN(A17) &gt;0,"Path","-")</f>
        <v>Path</v>
      </c>
      <c r="H17" s="4" t="str">
        <f>IF(LEN(Table23[[#This Row],[!type]])&gt;0,IF(Table23[[#This Row],[!type]]=H$1,"1","rg:None"),"-")</f>
        <v>rg:None</v>
      </c>
      <c r="I17" s="4" t="str">
        <f>IF(LEN(Table23[[#This Row],[!type]])&gt;0,IF(Table23[[#This Row],[!type]]=I$1,"1","rg:None"),"-")</f>
        <v>rg:None</v>
      </c>
      <c r="J17" s="4" t="str">
        <f>IF(LEN(Table23[[#This Row],[!type]])&gt;0,IF(Table23[[#This Row],[!type]]=J$1,"1","rg:None"),"-")</f>
        <v>1</v>
      </c>
      <c r="K17" s="4" t="str">
        <f>IF(LEN(Table23[[#This Row],[!type]])&gt;0,IF(Table23[[#This Row],[!type]]=K$1,"1","rg:None"),"-")</f>
        <v>rg:None</v>
      </c>
      <c r="L17" s="4" t="str">
        <f>IF(LEN(Table23[[#This Row],[!type]])&gt;0,IF(Table23[[#This Row],[!type]]=L$1,"1","rg:None"),"-")</f>
        <v>rg:None</v>
      </c>
      <c r="M17" s="4" t="str">
        <f>IF(LEN(Table23[[#This Row],[!type]])&gt;0,IF(Table23[[#This Row],[!type]]=M$1,"1","rg:None"),"-")</f>
        <v>rg:None</v>
      </c>
      <c r="N17" s="4" t="str">
        <f>IF(LEN(Table23[[#This Row],[!type]])&gt;0,IF(Table23[[#This Row],[!type]]=N$1,"1","rg:None"),"-")</f>
        <v>rg:None</v>
      </c>
      <c r="O17" s="4" t="str">
        <f>IF(LEN(Table23[[#This Row],[!type]])&gt;0,IF(Table23[[#This Row],[!type]]=O$1,"1","rg:None"),"-")</f>
        <v>rg:None</v>
      </c>
      <c r="P17" s="4" t="str">
        <f>IF(LEN(Table23[[#This Row],[!path]]) &gt;0,Table23[[#This Row],[!path]],"rg:None")</f>
        <v>notificationevents</v>
      </c>
      <c r="Q17" s="4" t="str">
        <f>IF(LEN(Table23[[#This Row],[!tag]]) &gt;0,Table23[[#This Row],[!tag]],"rg:None")</f>
        <v>NotificationEvent</v>
      </c>
      <c r="R17" s="4" t="str">
        <f>IF(LEN(Table23[[#This Row],[!paramDef]]) &gt;0,Table23[[#This Row],[!paramDef]],"rg:None")</f>
        <v>NotificationEvent</v>
      </c>
      <c r="S17" s="4" t="str">
        <f>IF(LEN(Table23[[#This Row],[!respDef]]) &gt;0,Table23[[#This Row],[!respDef]],"rg:None")</f>
        <v>rg:None</v>
      </c>
      <c r="T17" s="4" t="str">
        <f>IF(LEN(Table23[[#This Row],[!Description]]) &gt;0,Table23[[#This Row],[!Description]],"rg:None")</f>
        <v>rg:None</v>
      </c>
    </row>
    <row r="18" spans="1:20" x14ac:dyDescent="0.3">
      <c r="A18" s="9" t="s">
        <v>186</v>
      </c>
      <c r="B18" s="12" t="s">
        <v>211</v>
      </c>
      <c r="C18" s="3" t="s">
        <v>11</v>
      </c>
      <c r="D18" s="3"/>
      <c r="E18" s="3"/>
      <c r="F18" s="3"/>
      <c r="G18" s="10" t="str">
        <f t="shared" si="0"/>
        <v>Path</v>
      </c>
      <c r="H18" s="5" t="str">
        <f>IF(LEN(Table23[[#This Row],[!type]])&gt;0,IF(Table23[[#This Row],[!type]]=H$1,"1","rg:None"),"-")</f>
        <v>1</v>
      </c>
      <c r="I18" s="5" t="str">
        <f>IF(LEN(Table23[[#This Row],[!type]])&gt;0,IF(Table23[[#This Row],[!type]]=I$1,"1","rg:None"),"-")</f>
        <v>rg:None</v>
      </c>
      <c r="J18" s="5" t="str">
        <f>IF(LEN(Table23[[#This Row],[!type]])&gt;0,IF(Table23[[#This Row],[!type]]=J$1,"1","rg:None"),"-")</f>
        <v>rg:None</v>
      </c>
      <c r="K18" s="5" t="str">
        <f>IF(LEN(Table23[[#This Row],[!type]])&gt;0,IF(Table23[[#This Row],[!type]]=K$1,"1","rg:None"),"-")</f>
        <v>rg:None</v>
      </c>
      <c r="L18" s="5" t="str">
        <f>IF(LEN(Table23[[#This Row],[!type]])&gt;0,IF(Table23[[#This Row],[!type]]=L$1,"1","rg:None"),"-")</f>
        <v>rg:None</v>
      </c>
      <c r="M18" s="5" t="str">
        <f>IF(LEN(Table23[[#This Row],[!type]])&gt;0,IF(Table23[[#This Row],[!type]]=M$1,"1","rg:None"),"-")</f>
        <v>rg:None</v>
      </c>
      <c r="N18" s="5" t="str">
        <f>IF(LEN(Table23[[#This Row],[!type]])&gt;0,IF(Table23[[#This Row],[!type]]=N$1,"1","rg:None"),"-")</f>
        <v>rg:None</v>
      </c>
      <c r="O18" s="5" t="str">
        <f>IF(LEN(Table23[[#This Row],[!type]])&gt;0,IF(Table23[[#This Row],[!type]]=O$1,"1","rg:None"),"-")</f>
        <v>rg:None</v>
      </c>
      <c r="P18" s="5" t="str">
        <f>IF(LEN(Table23[[#This Row],[!path]]) &gt;0,Table23[[#This Row],[!path]],"rg:None")</f>
        <v>schoolbusowners</v>
      </c>
      <c r="Q18" s="5" t="str">
        <f>IF(LEN(Table23[[#This Row],[!tag]]) &gt;0,Table23[[#This Row],[!tag]],"rg:None")</f>
        <v>SchoolBusOwner</v>
      </c>
      <c r="R18" s="5" t="str">
        <f>IF(LEN(Table23[[#This Row],[!paramDef]]) &gt;0,Table23[[#This Row],[!paramDef]],"rg:None")</f>
        <v>rg:None</v>
      </c>
      <c r="S18" s="5" t="str">
        <f>IF(LEN(Table23[[#This Row],[!respDef]]) &gt;0,Table23[[#This Row],[!respDef]],"rg:None")</f>
        <v>rg:None</v>
      </c>
      <c r="T18" s="5" t="str">
        <f>IF(LEN(Table23[[#This Row],[!Description]]) &gt;0,Table23[[#This Row],[!Description]],"rg:None")</f>
        <v>rg:None</v>
      </c>
    </row>
    <row r="19" spans="1:20" x14ac:dyDescent="0.3">
      <c r="A19" s="48" t="s">
        <v>188</v>
      </c>
      <c r="B19" s="48" t="s">
        <v>211</v>
      </c>
      <c r="C19" s="50" t="s">
        <v>11</v>
      </c>
      <c r="D19" s="51" t="s">
        <v>11</v>
      </c>
      <c r="E19" s="14"/>
      <c r="F19" s="15"/>
      <c r="G19" s="16" t="str">
        <f>IF(LEN(A19) &gt;0,"Path","-")</f>
        <v>Path</v>
      </c>
      <c r="H19" s="4" t="str">
        <f>IF(LEN(Table23[[#This Row],[!type]])&gt;0,IF(Table23[[#This Row],[!type]]=H$1,"1","rg:None"),"-")</f>
        <v>rg:None</v>
      </c>
      <c r="I19" s="4" t="str">
        <f>IF(LEN(Table23[[#This Row],[!type]])&gt;0,IF(Table23[[#This Row],[!type]]=I$1,"1","rg:None"),"-")</f>
        <v>rg:None</v>
      </c>
      <c r="J19" s="4" t="str">
        <f>IF(LEN(Table23[[#This Row],[!type]])&gt;0,IF(Table23[[#This Row],[!type]]=J$1,"1","rg:None"),"-")</f>
        <v>1</v>
      </c>
      <c r="K19" s="4" t="str">
        <f>IF(LEN(Table23[[#This Row],[!type]])&gt;0,IF(Table23[[#This Row],[!type]]=K$1,"1","rg:None"),"-")</f>
        <v>rg:None</v>
      </c>
      <c r="L19" s="4" t="str">
        <f>IF(LEN(Table23[[#This Row],[!type]])&gt;0,IF(Table23[[#This Row],[!type]]=L$1,"1","rg:None"),"-")</f>
        <v>rg:None</v>
      </c>
      <c r="M19" s="4" t="str">
        <f>IF(LEN(Table23[[#This Row],[!type]])&gt;0,IF(Table23[[#This Row],[!type]]=M$1,"1","rg:None"),"-")</f>
        <v>rg:None</v>
      </c>
      <c r="N19" s="4" t="str">
        <f>IF(LEN(Table23[[#This Row],[!type]])&gt;0,IF(Table23[[#This Row],[!type]]=N$1,"1","rg:None"),"-")</f>
        <v>rg:None</v>
      </c>
      <c r="O19" s="4" t="str">
        <f>IF(LEN(Table23[[#This Row],[!type]])&gt;0,IF(Table23[[#This Row],[!type]]=O$1,"1","rg:None"),"-")</f>
        <v>rg:None</v>
      </c>
      <c r="P19" s="4" t="str">
        <f>IF(LEN(Table23[[#This Row],[!path]]) &gt;0,Table23[[#This Row],[!path]],"rg:None")</f>
        <v>schoolbusowners</v>
      </c>
      <c r="Q19" s="4" t="str">
        <f>IF(LEN(Table23[[#This Row],[!tag]]) &gt;0,Table23[[#This Row],[!tag]],"rg:None")</f>
        <v>SchoolBusOwner</v>
      </c>
      <c r="R19" s="4" t="str">
        <f>IF(LEN(Table23[[#This Row],[!paramDef]]) &gt;0,Table23[[#This Row],[!paramDef]],"rg:None")</f>
        <v>SchoolBusOwner</v>
      </c>
      <c r="S19" s="4" t="str">
        <f>IF(LEN(Table23[[#This Row],[!respDef]]) &gt;0,Table23[[#This Row],[!respDef]],"rg:None")</f>
        <v>rg:None</v>
      </c>
      <c r="T19" s="4" t="str">
        <f>IF(LEN(Table23[[#This Row],[!Description]]) &gt;0,Table23[[#This Row],[!Description]],"rg:None")</f>
        <v>rg:None</v>
      </c>
    </row>
    <row r="20" spans="1:20" x14ac:dyDescent="0.3">
      <c r="A20" s="9" t="s">
        <v>186</v>
      </c>
      <c r="B20" s="32" t="s">
        <v>48</v>
      </c>
      <c r="C20" s="32" t="s">
        <v>244</v>
      </c>
      <c r="D20" s="3"/>
      <c r="E20" s="3"/>
      <c r="F20" s="3"/>
      <c r="G20" s="10" t="str">
        <f t="shared" si="0"/>
        <v>Path</v>
      </c>
      <c r="H20" s="5" t="str">
        <f>IF(LEN(Table23[[#This Row],[!type]])&gt;0,IF(Table23[[#This Row],[!type]]=H$1,"1","rg:None"),"-")</f>
        <v>1</v>
      </c>
      <c r="I20" s="5" t="str">
        <f>IF(LEN(Table23[[#This Row],[!type]])&gt;0,IF(Table23[[#This Row],[!type]]=I$1,"1","rg:None"),"-")</f>
        <v>rg:None</v>
      </c>
      <c r="J20" s="5" t="str">
        <f>IF(LEN(Table23[[#This Row],[!type]])&gt;0,IF(Table23[[#This Row],[!type]]=J$1,"1","rg:None"),"-")</f>
        <v>rg:None</v>
      </c>
      <c r="K20" s="5" t="str">
        <f>IF(LEN(Table23[[#This Row],[!type]])&gt;0,IF(Table23[[#This Row],[!type]]=K$1,"1","rg:None"),"-")</f>
        <v>rg:None</v>
      </c>
      <c r="L20" s="5" t="str">
        <f>IF(LEN(Table23[[#This Row],[!type]])&gt;0,IF(Table23[[#This Row],[!type]]=L$1,"1","rg:None"),"-")</f>
        <v>rg:None</v>
      </c>
      <c r="M20" s="5" t="str">
        <f>IF(LEN(Table23[[#This Row],[!type]])&gt;0,IF(Table23[[#This Row],[!type]]=M$1,"1","rg:None"),"-")</f>
        <v>rg:None</v>
      </c>
      <c r="N20" s="5" t="str">
        <f>IF(LEN(Table23[[#This Row],[!type]])&gt;0,IF(Table23[[#This Row],[!type]]=N$1,"1","rg:None"),"-")</f>
        <v>rg:None</v>
      </c>
      <c r="O20" s="5" t="str">
        <f>IF(LEN(Table23[[#This Row],[!type]])&gt;0,IF(Table23[[#This Row],[!type]]=O$1,"1","rg:None"),"-")</f>
        <v>rg:None</v>
      </c>
      <c r="P20" s="5" t="str">
        <f>IF(LEN(Table23[[#This Row],[!path]]) &gt;0,Table23[[#This Row],[!path]],"rg:None")</f>
        <v>contacts</v>
      </c>
      <c r="Q20" s="5" t="str">
        <f>IF(LEN(Table23[[#This Row],[!tag]]) &gt;0,Table23[[#This Row],[!tag]],"rg:None")</f>
        <v>Contact</v>
      </c>
      <c r="R20" s="5" t="str">
        <f>IF(LEN(Table23[[#This Row],[!paramDef]]) &gt;0,Table23[[#This Row],[!paramDef]],"rg:None")</f>
        <v>rg:None</v>
      </c>
      <c r="S20" s="5" t="str">
        <f>IF(LEN(Table23[[#This Row],[!respDef]]) &gt;0,Table23[[#This Row],[!respDef]],"rg:None")</f>
        <v>rg:None</v>
      </c>
      <c r="T20" s="5" t="str">
        <f>IF(LEN(Table23[[#This Row],[!Description]]) &gt;0,Table23[[#This Row],[!Description]],"rg:None")</f>
        <v>rg:None</v>
      </c>
    </row>
    <row r="21" spans="1:20" x14ac:dyDescent="0.3">
      <c r="A21" s="48" t="s">
        <v>188</v>
      </c>
      <c r="B21" s="48" t="s">
        <v>48</v>
      </c>
      <c r="C21" s="50" t="s">
        <v>244</v>
      </c>
      <c r="D21" s="51" t="s">
        <v>244</v>
      </c>
      <c r="E21" s="14"/>
      <c r="F21" s="15"/>
      <c r="G21" s="16" t="str">
        <f>IF(LEN(A21) &gt;0,"Path","-")</f>
        <v>Path</v>
      </c>
      <c r="H21" s="4" t="str">
        <f>IF(LEN(Table23[[#This Row],[!type]])&gt;0,IF(Table23[[#This Row],[!type]]=H$1,"1","rg:None"),"-")</f>
        <v>rg:None</v>
      </c>
      <c r="I21" s="4" t="str">
        <f>IF(LEN(Table23[[#This Row],[!type]])&gt;0,IF(Table23[[#This Row],[!type]]=I$1,"1","rg:None"),"-")</f>
        <v>rg:None</v>
      </c>
      <c r="J21" s="4" t="str">
        <f>IF(LEN(Table23[[#This Row],[!type]])&gt;0,IF(Table23[[#This Row],[!type]]=J$1,"1","rg:None"),"-")</f>
        <v>1</v>
      </c>
      <c r="K21" s="4" t="str">
        <f>IF(LEN(Table23[[#This Row],[!type]])&gt;0,IF(Table23[[#This Row],[!type]]=K$1,"1","rg:None"),"-")</f>
        <v>rg:None</v>
      </c>
      <c r="L21" s="4" t="str">
        <f>IF(LEN(Table23[[#This Row],[!type]])&gt;0,IF(Table23[[#This Row],[!type]]=L$1,"1","rg:None"),"-")</f>
        <v>rg:None</v>
      </c>
      <c r="M21" s="4" t="str">
        <f>IF(LEN(Table23[[#This Row],[!type]])&gt;0,IF(Table23[[#This Row],[!type]]=M$1,"1","rg:None"),"-")</f>
        <v>rg:None</v>
      </c>
      <c r="N21" s="4" t="str">
        <f>IF(LEN(Table23[[#This Row],[!type]])&gt;0,IF(Table23[[#This Row],[!type]]=N$1,"1","rg:None"),"-")</f>
        <v>rg:None</v>
      </c>
      <c r="O21" s="4" t="str">
        <f>IF(LEN(Table23[[#This Row],[!type]])&gt;0,IF(Table23[[#This Row],[!type]]=O$1,"1","rg:None"),"-")</f>
        <v>rg:None</v>
      </c>
      <c r="P21" s="4" t="str">
        <f>IF(LEN(Table23[[#This Row],[!path]]) &gt;0,Table23[[#This Row],[!path]],"rg:None")</f>
        <v>contacts</v>
      </c>
      <c r="Q21" s="4" t="str">
        <f>IF(LEN(Table23[[#This Row],[!tag]]) &gt;0,Table23[[#This Row],[!tag]],"rg:None")</f>
        <v>Contact</v>
      </c>
      <c r="R21" s="4" t="str">
        <f>IF(LEN(Table23[[#This Row],[!paramDef]]) &gt;0,Table23[[#This Row],[!paramDef]],"rg:None")</f>
        <v>Contact</v>
      </c>
      <c r="S21" s="4" t="str">
        <f>IF(LEN(Table23[[#This Row],[!respDef]]) &gt;0,Table23[[#This Row],[!respDef]],"rg:None")</f>
        <v>rg:None</v>
      </c>
      <c r="T21" s="4" t="str">
        <f>IF(LEN(Table23[[#This Row],[!Description]]) &gt;0,Table23[[#This Row],[!Description]],"rg:None")</f>
        <v>rg:None</v>
      </c>
    </row>
    <row r="22" spans="1:20" x14ac:dyDescent="0.3">
      <c r="A22" s="9" t="s">
        <v>186</v>
      </c>
      <c r="B22" s="12" t="s">
        <v>212</v>
      </c>
      <c r="C22" s="3" t="s">
        <v>135</v>
      </c>
      <c r="D22" s="3"/>
      <c r="E22" s="3"/>
      <c r="F22" s="3"/>
      <c r="G22" s="10" t="str">
        <f t="shared" ref="G22:G30" si="1">IF(LEN(A22) &gt;0,"Path","-")</f>
        <v>Path</v>
      </c>
      <c r="H22" s="5" t="str">
        <f>IF(LEN(Table23[[#This Row],[!type]])&gt;0,IF(Table23[[#This Row],[!type]]=H$1,"1","rg:None"),"-")</f>
        <v>1</v>
      </c>
      <c r="I22" s="5" t="str">
        <f>IF(LEN(Table23[[#This Row],[!type]])&gt;0,IF(Table23[[#This Row],[!type]]=I$1,"1","rg:None"),"-")</f>
        <v>rg:None</v>
      </c>
      <c r="J22" s="5" t="str">
        <f>IF(LEN(Table23[[#This Row],[!type]])&gt;0,IF(Table23[[#This Row],[!type]]=J$1,"1","rg:None"),"-")</f>
        <v>rg:None</v>
      </c>
      <c r="K22" s="5" t="str">
        <f>IF(LEN(Table23[[#This Row],[!type]])&gt;0,IF(Table23[[#This Row],[!type]]=K$1,"1","rg:None"),"-")</f>
        <v>rg:None</v>
      </c>
      <c r="L22" s="5" t="str">
        <f>IF(LEN(Table23[[#This Row],[!type]])&gt;0,IF(Table23[[#This Row],[!type]]=L$1,"1","rg:None"),"-")</f>
        <v>rg:None</v>
      </c>
      <c r="M22" s="5" t="str">
        <f>IF(LEN(Table23[[#This Row],[!type]])&gt;0,IF(Table23[[#This Row],[!type]]=M$1,"1","rg:None"),"-")</f>
        <v>rg:None</v>
      </c>
      <c r="N22" s="5" t="str">
        <f>IF(LEN(Table23[[#This Row],[!type]])&gt;0,IF(Table23[[#This Row],[!type]]=N$1,"1","rg:None"),"-")</f>
        <v>rg:None</v>
      </c>
      <c r="O22" s="5" t="str">
        <f>IF(LEN(Table23[[#This Row],[!type]])&gt;0,IF(Table23[[#This Row],[!type]]=O$1,"1","rg:None"),"-")</f>
        <v>rg:None</v>
      </c>
      <c r="P22" s="5" t="str">
        <f>IF(LEN(Table23[[#This Row],[!path]]) &gt;0,Table23[[#This Row],[!path]],"rg:None")</f>
        <v>groups</v>
      </c>
      <c r="Q22" s="5" t="str">
        <f>IF(LEN(Table23[[#This Row],[!tag]]) &gt;0,Table23[[#This Row],[!tag]],"rg:None")</f>
        <v>Group</v>
      </c>
      <c r="R22" s="5" t="str">
        <f>IF(LEN(Table23[[#This Row],[!paramDef]]) &gt;0,Table23[[#This Row],[!paramDef]],"rg:None")</f>
        <v>rg:None</v>
      </c>
      <c r="S22" s="5" t="str">
        <f>IF(LEN(Table23[[#This Row],[!respDef]]) &gt;0,Table23[[#This Row],[!respDef]],"rg:None")</f>
        <v>rg:None</v>
      </c>
      <c r="T22" s="5" t="str">
        <f>IF(LEN(Table23[[#This Row],[!Description]]) &gt;0,Table23[[#This Row],[!Description]],"rg:None")</f>
        <v>rg:None</v>
      </c>
    </row>
    <row r="23" spans="1:20" x14ac:dyDescent="0.3">
      <c r="A23" s="48" t="s">
        <v>188</v>
      </c>
      <c r="B23" s="48" t="s">
        <v>212</v>
      </c>
      <c r="C23" s="50" t="s">
        <v>135</v>
      </c>
      <c r="D23" s="51" t="s">
        <v>135</v>
      </c>
      <c r="E23" s="14"/>
      <c r="F23" s="15"/>
      <c r="G23" s="16" t="str">
        <f>IF(LEN(A23) &gt;0,"Path","-")</f>
        <v>Path</v>
      </c>
      <c r="H23" s="4" t="str">
        <f>IF(LEN(Table23[[#This Row],[!type]])&gt;0,IF(Table23[[#This Row],[!type]]=H$1,"1","rg:None"),"-")</f>
        <v>rg:None</v>
      </c>
      <c r="I23" s="4" t="str">
        <f>IF(LEN(Table23[[#This Row],[!type]])&gt;0,IF(Table23[[#This Row],[!type]]=I$1,"1","rg:None"),"-")</f>
        <v>rg:None</v>
      </c>
      <c r="J23" s="4" t="str">
        <f>IF(LEN(Table23[[#This Row],[!type]])&gt;0,IF(Table23[[#This Row],[!type]]=J$1,"1","rg:None"),"-")</f>
        <v>1</v>
      </c>
      <c r="K23" s="4" t="str">
        <f>IF(LEN(Table23[[#This Row],[!type]])&gt;0,IF(Table23[[#This Row],[!type]]=K$1,"1","rg:None"),"-")</f>
        <v>rg:None</v>
      </c>
      <c r="L23" s="4" t="str">
        <f>IF(LEN(Table23[[#This Row],[!type]])&gt;0,IF(Table23[[#This Row],[!type]]=L$1,"1","rg:None"),"-")</f>
        <v>rg:None</v>
      </c>
      <c r="M23" s="4" t="str">
        <f>IF(LEN(Table23[[#This Row],[!type]])&gt;0,IF(Table23[[#This Row],[!type]]=M$1,"1","rg:None"),"-")</f>
        <v>rg:None</v>
      </c>
      <c r="N23" s="4" t="str">
        <f>IF(LEN(Table23[[#This Row],[!type]])&gt;0,IF(Table23[[#This Row],[!type]]=N$1,"1","rg:None"),"-")</f>
        <v>rg:None</v>
      </c>
      <c r="O23" s="4" t="str">
        <f>IF(LEN(Table23[[#This Row],[!type]])&gt;0,IF(Table23[[#This Row],[!type]]=O$1,"1","rg:None"),"-")</f>
        <v>rg:None</v>
      </c>
      <c r="P23" s="4" t="str">
        <f>IF(LEN(Table23[[#This Row],[!path]]) &gt;0,Table23[[#This Row],[!path]],"rg:None")</f>
        <v>groups</v>
      </c>
      <c r="Q23" s="4" t="str">
        <f>IF(LEN(Table23[[#This Row],[!tag]]) &gt;0,Table23[[#This Row],[!tag]],"rg:None")</f>
        <v>Group</v>
      </c>
      <c r="R23" s="4" t="str">
        <f>IF(LEN(Table23[[#This Row],[!paramDef]]) &gt;0,Table23[[#This Row],[!paramDef]],"rg:None")</f>
        <v>Group</v>
      </c>
      <c r="S23" s="4" t="str">
        <f>IF(LEN(Table23[[#This Row],[!respDef]]) &gt;0,Table23[[#This Row],[!respDef]],"rg:None")</f>
        <v>rg:None</v>
      </c>
      <c r="T23" s="4" t="str">
        <f>IF(LEN(Table23[[#This Row],[!Description]]) &gt;0,Table23[[#This Row],[!Description]],"rg:None")</f>
        <v>rg:None</v>
      </c>
    </row>
    <row r="24" spans="1:20" x14ac:dyDescent="0.3">
      <c r="A24" s="9" t="s">
        <v>186</v>
      </c>
      <c r="B24" s="12" t="s">
        <v>213</v>
      </c>
      <c r="C24" s="3" t="s">
        <v>131</v>
      </c>
      <c r="D24" s="17" t="s">
        <v>224</v>
      </c>
      <c r="E24" s="3"/>
      <c r="F24" s="3"/>
      <c r="G24" s="10" t="str">
        <f t="shared" si="1"/>
        <v>Path</v>
      </c>
      <c r="H24" s="5" t="str">
        <f>IF(LEN(Table23[[#This Row],[!type]])&gt;0,IF(Table23[[#This Row],[!type]]=H$1,"1","rg:None"),"-")</f>
        <v>1</v>
      </c>
      <c r="I24" s="5" t="str">
        <f>IF(LEN(Table23[[#This Row],[!type]])&gt;0,IF(Table23[[#This Row],[!type]]=I$1,"1","rg:None"),"-")</f>
        <v>rg:None</v>
      </c>
      <c r="J24" s="5" t="str">
        <f>IF(LEN(Table23[[#This Row],[!type]])&gt;0,IF(Table23[[#This Row],[!type]]=J$1,"1","rg:None"),"-")</f>
        <v>rg:None</v>
      </c>
      <c r="K24" s="5" t="str">
        <f>IF(LEN(Table23[[#This Row],[!type]])&gt;0,IF(Table23[[#This Row],[!type]]=K$1,"1","rg:None"),"-")</f>
        <v>rg:None</v>
      </c>
      <c r="L24" s="5" t="str">
        <f>IF(LEN(Table23[[#This Row],[!type]])&gt;0,IF(Table23[[#This Row],[!type]]=L$1,"1","rg:None"),"-")</f>
        <v>rg:None</v>
      </c>
      <c r="M24" s="5" t="str">
        <f>IF(LEN(Table23[[#This Row],[!type]])&gt;0,IF(Table23[[#This Row],[!type]]=M$1,"1","rg:None"),"-")</f>
        <v>rg:None</v>
      </c>
      <c r="N24" s="5" t="str">
        <f>IF(LEN(Table23[[#This Row],[!type]])&gt;0,IF(Table23[[#This Row],[!type]]=N$1,"1","rg:None"),"-")</f>
        <v>rg:None</v>
      </c>
      <c r="O24" s="5" t="str">
        <f>IF(LEN(Table23[[#This Row],[!type]])&gt;0,IF(Table23[[#This Row],[!type]]=O$1,"1","rg:None"),"-")</f>
        <v>rg:None</v>
      </c>
      <c r="P24" s="5" t="str">
        <f>IF(LEN(Table23[[#This Row],[!path]]) &gt;0,Table23[[#This Row],[!path]],"rg:None")</f>
        <v>permissions</v>
      </c>
      <c r="Q24" s="5" t="str">
        <f>IF(LEN(Table23[[#This Row],[!tag]]) &gt;0,Table23[[#This Row],[!tag]],"rg:None")</f>
        <v>Permission</v>
      </c>
      <c r="R24" s="5" t="str">
        <f>IF(LEN(Table23[[#This Row],[!paramDef]]) &gt;0,Table23[[#This Row],[!paramDef]],"rg:None")</f>
        <v>PermissionViewModel</v>
      </c>
      <c r="S24" s="5" t="str">
        <f>IF(LEN(Table23[[#This Row],[!respDef]]) &gt;0,Table23[[#This Row],[!respDef]],"rg:None")</f>
        <v>rg:None</v>
      </c>
      <c r="T24" s="5" t="str">
        <f>IF(LEN(Table23[[#This Row],[!Description]]) &gt;0,Table23[[#This Row],[!Description]],"rg:None")</f>
        <v>rg:None</v>
      </c>
    </row>
    <row r="25" spans="1:20" x14ac:dyDescent="0.3">
      <c r="A25" s="39" t="s">
        <v>188</v>
      </c>
      <c r="B25" s="39" t="s">
        <v>213</v>
      </c>
      <c r="C25" s="40" t="s">
        <v>131</v>
      </c>
      <c r="D25" s="41" t="s">
        <v>131</v>
      </c>
      <c r="E25" s="14"/>
      <c r="F25" s="15"/>
      <c r="G25" s="16" t="str">
        <f>IF(LEN(A25) &gt;0,"Path","-")</f>
        <v>Path</v>
      </c>
      <c r="H25" s="4" t="str">
        <f>IF(LEN(Table23[[#This Row],[!type]])&gt;0,IF(Table23[[#This Row],[!type]]=H$1,"1","rg:None"),"-")</f>
        <v>rg:None</v>
      </c>
      <c r="I25" s="4" t="str">
        <f>IF(LEN(Table23[[#This Row],[!type]])&gt;0,IF(Table23[[#This Row],[!type]]=I$1,"1","rg:None"),"-")</f>
        <v>rg:None</v>
      </c>
      <c r="J25" s="4" t="str">
        <f>IF(LEN(Table23[[#This Row],[!type]])&gt;0,IF(Table23[[#This Row],[!type]]=J$1,"1","rg:None"),"-")</f>
        <v>1</v>
      </c>
      <c r="K25" s="4" t="str">
        <f>IF(LEN(Table23[[#This Row],[!type]])&gt;0,IF(Table23[[#This Row],[!type]]=K$1,"1","rg:None"),"-")</f>
        <v>rg:None</v>
      </c>
      <c r="L25" s="4" t="str">
        <f>IF(LEN(Table23[[#This Row],[!type]])&gt;0,IF(Table23[[#This Row],[!type]]=L$1,"1","rg:None"),"-")</f>
        <v>rg:None</v>
      </c>
      <c r="M25" s="4" t="str">
        <f>IF(LEN(Table23[[#This Row],[!type]])&gt;0,IF(Table23[[#This Row],[!type]]=M$1,"1","rg:None"),"-")</f>
        <v>rg:None</v>
      </c>
      <c r="N25" s="4" t="str">
        <f>IF(LEN(Table23[[#This Row],[!type]])&gt;0,IF(Table23[[#This Row],[!type]]=N$1,"1","rg:None"),"-")</f>
        <v>rg:None</v>
      </c>
      <c r="O25" s="4" t="str">
        <f>IF(LEN(Table23[[#This Row],[!type]])&gt;0,IF(Table23[[#This Row],[!type]]=O$1,"1","rg:None"),"-")</f>
        <v>rg:None</v>
      </c>
      <c r="P25" s="4" t="str">
        <f>IF(LEN(Table23[[#This Row],[!path]]) &gt;0,Table23[[#This Row],[!path]],"rg:None")</f>
        <v>permissions</v>
      </c>
      <c r="Q25" s="4" t="str">
        <f>IF(LEN(Table23[[#This Row],[!tag]]) &gt;0,Table23[[#This Row],[!tag]],"rg:None")</f>
        <v>Permission</v>
      </c>
      <c r="R25" s="4" t="str">
        <f>IF(LEN(Table23[[#This Row],[!paramDef]]) &gt;0,Table23[[#This Row],[!paramDef]],"rg:None")</f>
        <v>Permission</v>
      </c>
      <c r="S25" s="4" t="str">
        <f>IF(LEN(Table23[[#This Row],[!respDef]]) &gt;0,Table23[[#This Row],[!respDef]],"rg:None")</f>
        <v>rg:None</v>
      </c>
      <c r="T25" s="4" t="str">
        <f>IF(LEN(Table23[[#This Row],[!Description]]) &gt;0,Table23[[#This Row],[!Description]],"rg:None")</f>
        <v>rg:None</v>
      </c>
    </row>
    <row r="26" spans="1:20" x14ac:dyDescent="0.3">
      <c r="A26" s="9" t="s">
        <v>186</v>
      </c>
      <c r="B26" s="12" t="s">
        <v>214</v>
      </c>
      <c r="C26" s="3" t="s">
        <v>127</v>
      </c>
      <c r="D26" s="17" t="s">
        <v>225</v>
      </c>
      <c r="E26" s="3"/>
      <c r="F26" s="3"/>
      <c r="G26" s="10" t="str">
        <f t="shared" si="1"/>
        <v>Path</v>
      </c>
      <c r="H26" s="5" t="str">
        <f>IF(LEN(Table23[[#This Row],[!type]])&gt;0,IF(Table23[[#This Row],[!type]]=H$1,"1","rg:None"),"-")</f>
        <v>1</v>
      </c>
      <c r="I26" s="5" t="str">
        <f>IF(LEN(Table23[[#This Row],[!type]])&gt;0,IF(Table23[[#This Row],[!type]]=I$1,"1","rg:None"),"-")</f>
        <v>rg:None</v>
      </c>
      <c r="J26" s="5" t="str">
        <f>IF(LEN(Table23[[#This Row],[!type]])&gt;0,IF(Table23[[#This Row],[!type]]=J$1,"1","rg:None"),"-")</f>
        <v>rg:None</v>
      </c>
      <c r="K26" s="5" t="str">
        <f>IF(LEN(Table23[[#This Row],[!type]])&gt;0,IF(Table23[[#This Row],[!type]]=K$1,"1","rg:None"),"-")</f>
        <v>rg:None</v>
      </c>
      <c r="L26" s="5" t="str">
        <f>IF(LEN(Table23[[#This Row],[!type]])&gt;0,IF(Table23[[#This Row],[!type]]=L$1,"1","rg:None"),"-")</f>
        <v>rg:None</v>
      </c>
      <c r="M26" s="5" t="str">
        <f>IF(LEN(Table23[[#This Row],[!type]])&gt;0,IF(Table23[[#This Row],[!type]]=M$1,"1","rg:None"),"-")</f>
        <v>rg:None</v>
      </c>
      <c r="N26" s="5" t="str">
        <f>IF(LEN(Table23[[#This Row],[!type]])&gt;0,IF(Table23[[#This Row],[!type]]=N$1,"1","rg:None"),"-")</f>
        <v>rg:None</v>
      </c>
      <c r="O26" s="5" t="str">
        <f>IF(LEN(Table23[[#This Row],[!type]])&gt;0,IF(Table23[[#This Row],[!type]]=O$1,"1","rg:None"),"-")</f>
        <v>rg:None</v>
      </c>
      <c r="P26" s="5" t="str">
        <f>IF(LEN(Table23[[#This Row],[!path]]) &gt;0,Table23[[#This Row],[!path]],"rg:None")</f>
        <v>roles</v>
      </c>
      <c r="Q26" s="5" t="str">
        <f>IF(LEN(Table23[[#This Row],[!tag]]) &gt;0,Table23[[#This Row],[!tag]],"rg:None")</f>
        <v>Role</v>
      </c>
      <c r="R26" s="5" t="str">
        <f>IF(LEN(Table23[[#This Row],[!paramDef]]) &gt;0,Table23[[#This Row],[!paramDef]],"rg:None")</f>
        <v>RoleViewModel</v>
      </c>
      <c r="S26" s="5" t="str">
        <f>IF(LEN(Table23[[#This Row],[!respDef]]) &gt;0,Table23[[#This Row],[!respDef]],"rg:None")</f>
        <v>rg:None</v>
      </c>
      <c r="T26" s="5" t="str">
        <f>IF(LEN(Table23[[#This Row],[!Description]]) &gt;0,Table23[[#This Row],[!Description]],"rg:None")</f>
        <v>rg:None</v>
      </c>
    </row>
    <row r="27" spans="1:20" x14ac:dyDescent="0.3">
      <c r="A27" s="39" t="s">
        <v>188</v>
      </c>
      <c r="B27" s="39" t="s">
        <v>214</v>
      </c>
      <c r="C27" s="40" t="s">
        <v>127</v>
      </c>
      <c r="D27" s="41" t="s">
        <v>127</v>
      </c>
      <c r="E27" s="14"/>
      <c r="F27" s="15"/>
      <c r="G27" s="16" t="str">
        <f>IF(LEN(A27) &gt;0,"Path","-")</f>
        <v>Path</v>
      </c>
      <c r="H27" s="4" t="str">
        <f>IF(LEN(Table23[[#This Row],[!type]])&gt;0,IF(Table23[[#This Row],[!type]]=H$1,"1","rg:None"),"-")</f>
        <v>rg:None</v>
      </c>
      <c r="I27" s="4" t="str">
        <f>IF(LEN(Table23[[#This Row],[!type]])&gt;0,IF(Table23[[#This Row],[!type]]=I$1,"1","rg:None"),"-")</f>
        <v>rg:None</v>
      </c>
      <c r="J27" s="4" t="str">
        <f>IF(LEN(Table23[[#This Row],[!type]])&gt;0,IF(Table23[[#This Row],[!type]]=J$1,"1","rg:None"),"-")</f>
        <v>1</v>
      </c>
      <c r="K27" s="4" t="str">
        <f>IF(LEN(Table23[[#This Row],[!type]])&gt;0,IF(Table23[[#This Row],[!type]]=K$1,"1","rg:None"),"-")</f>
        <v>rg:None</v>
      </c>
      <c r="L27" s="4" t="str">
        <f>IF(LEN(Table23[[#This Row],[!type]])&gt;0,IF(Table23[[#This Row],[!type]]=L$1,"1","rg:None"),"-")</f>
        <v>rg:None</v>
      </c>
      <c r="M27" s="4" t="str">
        <f>IF(LEN(Table23[[#This Row],[!type]])&gt;0,IF(Table23[[#This Row],[!type]]=M$1,"1","rg:None"),"-")</f>
        <v>rg:None</v>
      </c>
      <c r="N27" s="4" t="str">
        <f>IF(LEN(Table23[[#This Row],[!type]])&gt;0,IF(Table23[[#This Row],[!type]]=N$1,"1","rg:None"),"-")</f>
        <v>rg:None</v>
      </c>
      <c r="O27" s="4" t="str">
        <f>IF(LEN(Table23[[#This Row],[!type]])&gt;0,IF(Table23[[#This Row],[!type]]=O$1,"1","rg:None"),"-")</f>
        <v>rg:None</v>
      </c>
      <c r="P27" s="4" t="str">
        <f>IF(LEN(Table23[[#This Row],[!path]]) &gt;0,Table23[[#This Row],[!path]],"rg:None")</f>
        <v>roles</v>
      </c>
      <c r="Q27" s="4" t="str">
        <f>IF(LEN(Table23[[#This Row],[!tag]]) &gt;0,Table23[[#This Row],[!tag]],"rg:None")</f>
        <v>Role</v>
      </c>
      <c r="R27" s="4" t="str">
        <f>IF(LEN(Table23[[#This Row],[!paramDef]]) &gt;0,Table23[[#This Row],[!paramDef]],"rg:None")</f>
        <v>Role</v>
      </c>
      <c r="S27" s="4" t="str">
        <f>IF(LEN(Table23[[#This Row],[!respDef]]) &gt;0,Table23[[#This Row],[!respDef]],"rg:None")</f>
        <v>rg:None</v>
      </c>
      <c r="T27" s="4" t="str">
        <f>IF(LEN(Table23[[#This Row],[!Description]]) &gt;0,Table23[[#This Row],[!Description]],"rg:None")</f>
        <v>rg:None</v>
      </c>
    </row>
    <row r="28" spans="1:20" x14ac:dyDescent="0.3">
      <c r="A28" s="12" t="s">
        <v>188</v>
      </c>
      <c r="B28" s="12" t="s">
        <v>221</v>
      </c>
      <c r="C28" s="49" t="s">
        <v>127</v>
      </c>
      <c r="D28" s="17" t="s">
        <v>129</v>
      </c>
      <c r="E28" s="3"/>
      <c r="F28" s="3"/>
      <c r="G28" s="10" t="str">
        <f t="shared" si="1"/>
        <v>Path</v>
      </c>
      <c r="H28" s="5" t="str">
        <f>IF(LEN(Table23[[#This Row],[!type]])&gt;0,IF(Table23[[#This Row],[!type]]=H$1,"1","rg:None"),"-")</f>
        <v>rg:None</v>
      </c>
      <c r="I28" s="5" t="str">
        <f>IF(LEN(Table23[[#This Row],[!type]])&gt;0,IF(Table23[[#This Row],[!type]]=I$1,"1","rg:None"),"-")</f>
        <v>rg:None</v>
      </c>
      <c r="J28" s="5" t="str">
        <f>IF(LEN(Table23[[#This Row],[!type]])&gt;0,IF(Table23[[#This Row],[!type]]=J$1,"1","rg:None"),"-")</f>
        <v>1</v>
      </c>
      <c r="K28" s="5" t="str">
        <f>IF(LEN(Table23[[#This Row],[!type]])&gt;0,IF(Table23[[#This Row],[!type]]=K$1,"1","rg:None"),"-")</f>
        <v>rg:None</v>
      </c>
      <c r="L28" s="5" t="str">
        <f>IF(LEN(Table23[[#This Row],[!type]])&gt;0,IF(Table23[[#This Row],[!type]]=L$1,"1","rg:None"),"-")</f>
        <v>rg:None</v>
      </c>
      <c r="M28" s="5" t="str">
        <f>IF(LEN(Table23[[#This Row],[!type]])&gt;0,IF(Table23[[#This Row],[!type]]=M$1,"1","rg:None"),"-")</f>
        <v>rg:None</v>
      </c>
      <c r="N28" s="5" t="str">
        <f>IF(LEN(Table23[[#This Row],[!type]])&gt;0,IF(Table23[[#This Row],[!type]]=N$1,"1","rg:None"),"-")</f>
        <v>rg:None</v>
      </c>
      <c r="O28" s="5" t="str">
        <f>IF(LEN(Table23[[#This Row],[!type]])&gt;0,IF(Table23[[#This Row],[!type]]=O$1,"1","rg:None"),"-")</f>
        <v>rg:None</v>
      </c>
      <c r="P28" s="5" t="str">
        <f>IF(LEN(Table23[[#This Row],[!path]]) &gt;0,Table23[[#This Row],[!path]],"rg:None")</f>
        <v>rolepermissions</v>
      </c>
      <c r="Q28" s="5" t="str">
        <f>IF(LEN(Table23[[#This Row],[!tag]]) &gt;0,Table23[[#This Row],[!tag]],"rg:None")</f>
        <v>Role</v>
      </c>
      <c r="R28" s="5" t="str">
        <f>IF(LEN(Table23[[#This Row],[!paramDef]]) &gt;0,Table23[[#This Row],[!paramDef]],"rg:None")</f>
        <v>RolePermission</v>
      </c>
      <c r="S28" s="5" t="str">
        <f>IF(LEN(Table23[[#This Row],[!respDef]]) &gt;0,Table23[[#This Row],[!respDef]],"rg:None")</f>
        <v>rg:None</v>
      </c>
      <c r="T28" s="5" t="str">
        <f>IF(LEN(Table23[[#This Row],[!Description]]) &gt;0,Table23[[#This Row],[!Description]],"rg:None")</f>
        <v>rg:None</v>
      </c>
    </row>
    <row r="29" spans="1:20" x14ac:dyDescent="0.3">
      <c r="A29" s="13" t="s">
        <v>188</v>
      </c>
      <c r="B29" s="13" t="s">
        <v>222</v>
      </c>
      <c r="C29" s="18" t="s">
        <v>0</v>
      </c>
      <c r="D29" s="17" t="s">
        <v>133</v>
      </c>
      <c r="E29" s="14"/>
      <c r="F29" s="15"/>
      <c r="G29" s="16" t="str">
        <f t="shared" si="1"/>
        <v>Path</v>
      </c>
      <c r="H29" s="4" t="str">
        <f>IF(LEN(Table23[[#This Row],[!type]])&gt;0,IF(Table23[[#This Row],[!type]]=H$1,"1","rg:None"),"-")</f>
        <v>rg:None</v>
      </c>
      <c r="I29" s="4" t="str">
        <f>IF(LEN(Table23[[#This Row],[!type]])&gt;0,IF(Table23[[#This Row],[!type]]=I$1,"1","rg:None"),"-")</f>
        <v>rg:None</v>
      </c>
      <c r="J29" s="4" t="str">
        <f>IF(LEN(Table23[[#This Row],[!type]])&gt;0,IF(Table23[[#This Row],[!type]]=J$1,"1","rg:None"),"-")</f>
        <v>1</v>
      </c>
      <c r="K29" s="4" t="str">
        <f>IF(LEN(Table23[[#This Row],[!type]])&gt;0,IF(Table23[[#This Row],[!type]]=K$1,"1","rg:None"),"-")</f>
        <v>rg:None</v>
      </c>
      <c r="L29" s="4" t="str">
        <f>IF(LEN(Table23[[#This Row],[!type]])&gt;0,IF(Table23[[#This Row],[!type]]=L$1,"1","rg:None"),"-")</f>
        <v>rg:None</v>
      </c>
      <c r="M29" s="4" t="str">
        <f>IF(LEN(Table23[[#This Row],[!type]])&gt;0,IF(Table23[[#This Row],[!type]]=M$1,"1","rg:None"),"-")</f>
        <v>rg:None</v>
      </c>
      <c r="N29" s="4" t="str">
        <f>IF(LEN(Table23[[#This Row],[!type]])&gt;0,IF(Table23[[#This Row],[!type]]=N$1,"1","rg:None"),"-")</f>
        <v>rg:None</v>
      </c>
      <c r="O29" s="4" t="str">
        <f>IF(LEN(Table23[[#This Row],[!type]])&gt;0,IF(Table23[[#This Row],[!type]]=O$1,"1","rg:None"),"-")</f>
        <v>rg:None</v>
      </c>
      <c r="P29" s="4" t="str">
        <f>IF(LEN(Table23[[#This Row],[!path]]) &gt;0,Table23[[#This Row],[!path]],"rg:None")</f>
        <v>usergroups</v>
      </c>
      <c r="Q29" s="4" t="str">
        <f>IF(LEN(Table23[[#This Row],[!tag]]) &gt;0,Table23[[#This Row],[!tag]],"rg:None")</f>
        <v>User</v>
      </c>
      <c r="R29" s="4" t="str">
        <f>IF(LEN(Table23[[#This Row],[!paramDef]]) &gt;0,Table23[[#This Row],[!paramDef]],"rg:None")</f>
        <v>GroupMembership</v>
      </c>
      <c r="S29" s="4" t="str">
        <f>IF(LEN(Table23[[#This Row],[!respDef]]) &gt;0,Table23[[#This Row],[!respDef]],"rg:None")</f>
        <v>rg:None</v>
      </c>
      <c r="T29" s="4" t="str">
        <f>IF(LEN(Table23[[#This Row],[!Description]]) &gt;0,Table23[[#This Row],[!Description]],"rg:None")</f>
        <v>rg:None</v>
      </c>
    </row>
    <row r="30" spans="1:20" x14ac:dyDescent="0.3">
      <c r="A30" s="12" t="s">
        <v>188</v>
      </c>
      <c r="B30" s="12" t="s">
        <v>215</v>
      </c>
      <c r="C30" s="17" t="s">
        <v>0</v>
      </c>
      <c r="D30" s="17" t="s">
        <v>124</v>
      </c>
      <c r="E30" s="3"/>
      <c r="F30" s="3"/>
      <c r="G30" s="10" t="str">
        <f t="shared" si="1"/>
        <v>Path</v>
      </c>
      <c r="H30" s="5" t="str">
        <f>IF(LEN(Table23[[#This Row],[!type]])&gt;0,IF(Table23[[#This Row],[!type]]=H$1,"1","rg:None"),"-")</f>
        <v>rg:None</v>
      </c>
      <c r="I30" s="5" t="str">
        <f>IF(LEN(Table23[[#This Row],[!type]])&gt;0,IF(Table23[[#This Row],[!type]]=I$1,"1","rg:None"),"-")</f>
        <v>rg:None</v>
      </c>
      <c r="J30" s="5" t="str">
        <f>IF(LEN(Table23[[#This Row],[!type]])&gt;0,IF(Table23[[#This Row],[!type]]=J$1,"1","rg:None"),"-")</f>
        <v>1</v>
      </c>
      <c r="K30" s="5" t="str">
        <f>IF(LEN(Table23[[#This Row],[!type]])&gt;0,IF(Table23[[#This Row],[!type]]=K$1,"1","rg:None"),"-")</f>
        <v>rg:None</v>
      </c>
      <c r="L30" s="5" t="str">
        <f>IF(LEN(Table23[[#This Row],[!type]])&gt;0,IF(Table23[[#This Row],[!type]]=L$1,"1","rg:None"),"-")</f>
        <v>rg:None</v>
      </c>
      <c r="M30" s="5" t="str">
        <f>IF(LEN(Table23[[#This Row],[!type]])&gt;0,IF(Table23[[#This Row],[!type]]=M$1,"1","rg:None"),"-")</f>
        <v>rg:None</v>
      </c>
      <c r="N30" s="5" t="str">
        <f>IF(LEN(Table23[[#This Row],[!type]])&gt;0,IF(Table23[[#This Row],[!type]]=N$1,"1","rg:None"),"-")</f>
        <v>rg:None</v>
      </c>
      <c r="O30" s="5" t="str">
        <f>IF(LEN(Table23[[#This Row],[!type]])&gt;0,IF(Table23[[#This Row],[!type]]=O$1,"1","rg:None"),"-")</f>
        <v>rg:None</v>
      </c>
      <c r="P30" s="5" t="str">
        <f>IF(LEN(Table23[[#This Row],[!path]]) &gt;0,Table23[[#This Row],[!path]],"rg:None")</f>
        <v>userroles</v>
      </c>
      <c r="Q30" s="5" t="str">
        <f>IF(LEN(Table23[[#This Row],[!tag]]) &gt;0,Table23[[#This Row],[!tag]],"rg:None")</f>
        <v>User</v>
      </c>
      <c r="R30" s="5" t="str">
        <f>IF(LEN(Table23[[#This Row],[!paramDef]]) &gt;0,Table23[[#This Row],[!paramDef]],"rg:None")</f>
        <v>UserRole</v>
      </c>
      <c r="S30" s="5" t="str">
        <f>IF(LEN(Table23[[#This Row],[!respDef]]) &gt;0,Table23[[#This Row],[!respDef]],"rg:None")</f>
        <v>rg:None</v>
      </c>
      <c r="T30" s="5" t="str">
        <f>IF(LEN(Table23[[#This Row],[!Description]]) &gt;0,Table23[[#This Row],[!Description]],"rg:None")</f>
        <v>rg:None</v>
      </c>
    </row>
    <row r="31" spans="1:20" x14ac:dyDescent="0.3">
      <c r="A31" s="9" t="s">
        <v>186</v>
      </c>
      <c r="B31" s="12" t="s">
        <v>216</v>
      </c>
      <c r="C31" s="3" t="s">
        <v>81</v>
      </c>
      <c r="D31" s="3"/>
      <c r="E31" s="3"/>
      <c r="F31" s="3"/>
      <c r="G31" s="10" t="str">
        <f t="shared" si="0"/>
        <v>Path</v>
      </c>
      <c r="H31" s="5" t="str">
        <f>IF(LEN(Table23[[#This Row],[!type]])&gt;0,IF(Table23[[#This Row],[!type]]=H$1,"1","rg:None"),"-")</f>
        <v>1</v>
      </c>
      <c r="I31" s="5" t="str">
        <f>IF(LEN(Table23[[#This Row],[!type]])&gt;0,IF(Table23[[#This Row],[!type]]=I$1,"1","rg:None"),"-")</f>
        <v>rg:None</v>
      </c>
      <c r="J31" s="5" t="str">
        <f>IF(LEN(Table23[[#This Row],[!type]])&gt;0,IF(Table23[[#This Row],[!type]]=J$1,"1","rg:None"),"-")</f>
        <v>rg:None</v>
      </c>
      <c r="K31" s="5" t="str">
        <f>IF(LEN(Table23[[#This Row],[!type]])&gt;0,IF(Table23[[#This Row],[!type]]=K$1,"1","rg:None"),"-")</f>
        <v>rg:None</v>
      </c>
      <c r="L31" s="5" t="str">
        <f>IF(LEN(Table23[[#This Row],[!type]])&gt;0,IF(Table23[[#This Row],[!type]]=L$1,"1","rg:None"),"-")</f>
        <v>rg:None</v>
      </c>
      <c r="M31" s="5" t="str">
        <f>IF(LEN(Table23[[#This Row],[!type]])&gt;0,IF(Table23[[#This Row],[!type]]=M$1,"1","rg:None"),"-")</f>
        <v>rg:None</v>
      </c>
      <c r="N31" s="5" t="str">
        <f>IF(LEN(Table23[[#This Row],[!type]])&gt;0,IF(Table23[[#This Row],[!type]]=N$1,"1","rg:None"),"-")</f>
        <v>rg:None</v>
      </c>
      <c r="O31" s="5" t="str">
        <f>IF(LEN(Table23[[#This Row],[!type]])&gt;0,IF(Table23[[#This Row],[!type]]=O$1,"1","rg:None"),"-")</f>
        <v>rg:None</v>
      </c>
      <c r="P31" s="5" t="str">
        <f>IF(LEN(Table23[[#This Row],[!path]]) &gt;0,Table23[[#This Row],[!path]],"rg:None")</f>
        <v>regions</v>
      </c>
      <c r="Q31" s="5" t="str">
        <f>IF(LEN(Table23[[#This Row],[!tag]]) &gt;0,Table23[[#This Row],[!tag]],"rg:None")</f>
        <v>Region</v>
      </c>
      <c r="R31" s="5" t="str">
        <f>IF(LEN(Table23[[#This Row],[!paramDef]]) &gt;0,Table23[[#This Row],[!paramDef]],"rg:None")</f>
        <v>rg:None</v>
      </c>
      <c r="S31" s="5" t="str">
        <f>IF(LEN(Table23[[#This Row],[!respDef]]) &gt;0,Table23[[#This Row],[!respDef]],"rg:None")</f>
        <v>rg:None</v>
      </c>
      <c r="T31" s="5" t="str">
        <f>IF(LEN(Table23[[#This Row],[!Description]]) &gt;0,Table23[[#This Row],[!Description]],"rg:None")</f>
        <v>rg:None</v>
      </c>
    </row>
    <row r="32" spans="1:20" x14ac:dyDescent="0.3">
      <c r="A32" s="48" t="s">
        <v>188</v>
      </c>
      <c r="B32" s="48" t="s">
        <v>216</v>
      </c>
      <c r="C32" s="50" t="s">
        <v>81</v>
      </c>
      <c r="D32" s="51" t="s">
        <v>81</v>
      </c>
      <c r="E32" s="14"/>
      <c r="F32" s="15"/>
      <c r="G32" s="16" t="str">
        <f>IF(LEN(A32) &gt;0,"Path","-")</f>
        <v>Path</v>
      </c>
      <c r="H32" s="4" t="str">
        <f>IF(LEN(Table23[[#This Row],[!type]])&gt;0,IF(Table23[[#This Row],[!type]]=H$1,"1","rg:None"),"-")</f>
        <v>rg:None</v>
      </c>
      <c r="I32" s="4" t="str">
        <f>IF(LEN(Table23[[#This Row],[!type]])&gt;0,IF(Table23[[#This Row],[!type]]=I$1,"1","rg:None"),"-")</f>
        <v>rg:None</v>
      </c>
      <c r="J32" s="4" t="str">
        <f>IF(LEN(Table23[[#This Row],[!type]])&gt;0,IF(Table23[[#This Row],[!type]]=J$1,"1","rg:None"),"-")</f>
        <v>1</v>
      </c>
      <c r="K32" s="4" t="str">
        <f>IF(LEN(Table23[[#This Row],[!type]])&gt;0,IF(Table23[[#This Row],[!type]]=K$1,"1","rg:None"),"-")</f>
        <v>rg:None</v>
      </c>
      <c r="L32" s="4" t="str">
        <f>IF(LEN(Table23[[#This Row],[!type]])&gt;0,IF(Table23[[#This Row],[!type]]=L$1,"1","rg:None"),"-")</f>
        <v>rg:None</v>
      </c>
      <c r="M32" s="4" t="str">
        <f>IF(LEN(Table23[[#This Row],[!type]])&gt;0,IF(Table23[[#This Row],[!type]]=M$1,"1","rg:None"),"-")</f>
        <v>rg:None</v>
      </c>
      <c r="N32" s="4" t="str">
        <f>IF(LEN(Table23[[#This Row],[!type]])&gt;0,IF(Table23[[#This Row],[!type]]=N$1,"1","rg:None"),"-")</f>
        <v>rg:None</v>
      </c>
      <c r="O32" s="4" t="str">
        <f>IF(LEN(Table23[[#This Row],[!type]])&gt;0,IF(Table23[[#This Row],[!type]]=O$1,"1","rg:None"),"-")</f>
        <v>rg:None</v>
      </c>
      <c r="P32" s="4" t="str">
        <f>IF(LEN(Table23[[#This Row],[!path]]) &gt;0,Table23[[#This Row],[!path]],"rg:None")</f>
        <v>regions</v>
      </c>
      <c r="Q32" s="4" t="str">
        <f>IF(LEN(Table23[[#This Row],[!tag]]) &gt;0,Table23[[#This Row],[!tag]],"rg:None")</f>
        <v>Region</v>
      </c>
      <c r="R32" s="4" t="str">
        <f>IF(LEN(Table23[[#This Row],[!paramDef]]) &gt;0,Table23[[#This Row],[!paramDef]],"rg:None")</f>
        <v>Region</v>
      </c>
      <c r="S32" s="4" t="str">
        <f>IF(LEN(Table23[[#This Row],[!respDef]]) &gt;0,Table23[[#This Row],[!respDef]],"rg:None")</f>
        <v>rg:None</v>
      </c>
      <c r="T32" s="4" t="str">
        <f>IF(LEN(Table23[[#This Row],[!Description]]) &gt;0,Table23[[#This Row],[!Description]],"rg:None")</f>
        <v>rg:None</v>
      </c>
    </row>
    <row r="33" spans="1:20" x14ac:dyDescent="0.3">
      <c r="A33" s="9" t="s">
        <v>186</v>
      </c>
      <c r="B33" s="12" t="s">
        <v>217</v>
      </c>
      <c r="C33" s="3" t="s">
        <v>87</v>
      </c>
      <c r="D33" s="3"/>
      <c r="E33" s="3"/>
      <c r="F33" s="3"/>
      <c r="G33" s="10" t="str">
        <f t="shared" si="0"/>
        <v>Path</v>
      </c>
      <c r="H33" s="5" t="str">
        <f>IF(LEN(Table23[[#This Row],[!type]])&gt;0,IF(Table23[[#This Row],[!type]]=H$1,"1","rg:None"),"-")</f>
        <v>1</v>
      </c>
      <c r="I33" s="5" t="str">
        <f>IF(LEN(Table23[[#This Row],[!type]])&gt;0,IF(Table23[[#This Row],[!type]]=I$1,"1","rg:None"),"-")</f>
        <v>rg:None</v>
      </c>
      <c r="J33" s="5" t="str">
        <f>IF(LEN(Table23[[#This Row],[!type]])&gt;0,IF(Table23[[#This Row],[!type]]=J$1,"1","rg:None"),"-")</f>
        <v>rg:None</v>
      </c>
      <c r="K33" s="5" t="str">
        <f>IF(LEN(Table23[[#This Row],[!type]])&gt;0,IF(Table23[[#This Row],[!type]]=K$1,"1","rg:None"),"-")</f>
        <v>rg:None</v>
      </c>
      <c r="L33" s="5" t="str">
        <f>IF(LEN(Table23[[#This Row],[!type]])&gt;0,IF(Table23[[#This Row],[!type]]=L$1,"1","rg:None"),"-")</f>
        <v>rg:None</v>
      </c>
      <c r="M33" s="5" t="str">
        <f>IF(LEN(Table23[[#This Row],[!type]])&gt;0,IF(Table23[[#This Row],[!type]]=M$1,"1","rg:None"),"-")</f>
        <v>rg:None</v>
      </c>
      <c r="N33" s="5" t="str">
        <f>IF(LEN(Table23[[#This Row],[!type]])&gt;0,IF(Table23[[#This Row],[!type]]=N$1,"1","rg:None"),"-")</f>
        <v>rg:None</v>
      </c>
      <c r="O33" s="5" t="str">
        <f>IF(LEN(Table23[[#This Row],[!type]])&gt;0,IF(Table23[[#This Row],[!type]]=O$1,"1","rg:None"),"-")</f>
        <v>rg:None</v>
      </c>
      <c r="P33" s="5" t="str">
        <f>IF(LEN(Table23[[#This Row],[!path]]) &gt;0,Table23[[#This Row],[!path]],"rg:None")</f>
        <v>districts</v>
      </c>
      <c r="Q33" s="5" t="str">
        <f>IF(LEN(Table23[[#This Row],[!tag]]) &gt;0,Table23[[#This Row],[!tag]],"rg:None")</f>
        <v>District</v>
      </c>
      <c r="R33" s="5" t="str">
        <f>IF(LEN(Table23[[#This Row],[!paramDef]]) &gt;0,Table23[[#This Row],[!paramDef]],"rg:None")</f>
        <v>rg:None</v>
      </c>
      <c r="S33" s="5" t="str">
        <f>IF(LEN(Table23[[#This Row],[!respDef]]) &gt;0,Table23[[#This Row],[!respDef]],"rg:None")</f>
        <v>rg:None</v>
      </c>
      <c r="T33" s="5" t="str">
        <f>IF(LEN(Table23[[#This Row],[!Description]]) &gt;0,Table23[[#This Row],[!Description]],"rg:None")</f>
        <v>rg:None</v>
      </c>
    </row>
    <row r="34" spans="1:20" x14ac:dyDescent="0.3">
      <c r="A34" s="48" t="s">
        <v>188</v>
      </c>
      <c r="B34" s="48" t="s">
        <v>217</v>
      </c>
      <c r="C34" s="50" t="s">
        <v>87</v>
      </c>
      <c r="D34" s="51" t="s">
        <v>87</v>
      </c>
      <c r="E34" s="14"/>
      <c r="F34" s="15"/>
      <c r="G34" s="16" t="str">
        <f>IF(LEN(A34) &gt;0,"Path","-")</f>
        <v>Path</v>
      </c>
      <c r="H34" s="4" t="str">
        <f>IF(LEN(Table23[[#This Row],[!type]])&gt;0,IF(Table23[[#This Row],[!type]]=H$1,"1","rg:None"),"-")</f>
        <v>rg:None</v>
      </c>
      <c r="I34" s="4" t="str">
        <f>IF(LEN(Table23[[#This Row],[!type]])&gt;0,IF(Table23[[#This Row],[!type]]=I$1,"1","rg:None"),"-")</f>
        <v>rg:None</v>
      </c>
      <c r="J34" s="4" t="str">
        <f>IF(LEN(Table23[[#This Row],[!type]])&gt;0,IF(Table23[[#This Row],[!type]]=J$1,"1","rg:None"),"-")</f>
        <v>1</v>
      </c>
      <c r="K34" s="4" t="str">
        <f>IF(LEN(Table23[[#This Row],[!type]])&gt;0,IF(Table23[[#This Row],[!type]]=K$1,"1","rg:None"),"-")</f>
        <v>rg:None</v>
      </c>
      <c r="L34" s="4" t="str">
        <f>IF(LEN(Table23[[#This Row],[!type]])&gt;0,IF(Table23[[#This Row],[!type]]=L$1,"1","rg:None"),"-")</f>
        <v>rg:None</v>
      </c>
      <c r="M34" s="4" t="str">
        <f>IF(LEN(Table23[[#This Row],[!type]])&gt;0,IF(Table23[[#This Row],[!type]]=M$1,"1","rg:None"),"-")</f>
        <v>rg:None</v>
      </c>
      <c r="N34" s="4" t="str">
        <f>IF(LEN(Table23[[#This Row],[!type]])&gt;0,IF(Table23[[#This Row],[!type]]=N$1,"1","rg:None"),"-")</f>
        <v>rg:None</v>
      </c>
      <c r="O34" s="4" t="str">
        <f>IF(LEN(Table23[[#This Row],[!type]])&gt;0,IF(Table23[[#This Row],[!type]]=O$1,"1","rg:None"),"-")</f>
        <v>rg:None</v>
      </c>
      <c r="P34" s="4" t="str">
        <f>IF(LEN(Table23[[#This Row],[!path]]) &gt;0,Table23[[#This Row],[!path]],"rg:None")</f>
        <v>districts</v>
      </c>
      <c r="Q34" s="4" t="str">
        <f>IF(LEN(Table23[[#This Row],[!tag]]) &gt;0,Table23[[#This Row],[!tag]],"rg:None")</f>
        <v>District</v>
      </c>
      <c r="R34" s="4" t="str">
        <f>IF(LEN(Table23[[#This Row],[!paramDef]]) &gt;0,Table23[[#This Row],[!paramDef]],"rg:None")</f>
        <v>District</v>
      </c>
      <c r="S34" s="4" t="str">
        <f>IF(LEN(Table23[[#This Row],[!respDef]]) &gt;0,Table23[[#This Row],[!respDef]],"rg:None")</f>
        <v>rg:None</v>
      </c>
      <c r="T34" s="4" t="str">
        <f>IF(LEN(Table23[[#This Row],[!Description]]) &gt;0,Table23[[#This Row],[!Description]],"rg:None")</f>
        <v>rg:None</v>
      </c>
    </row>
    <row r="35" spans="1:20" x14ac:dyDescent="0.3">
      <c r="A35" s="56" t="s">
        <v>186</v>
      </c>
      <c r="B35" s="56" t="s">
        <v>413</v>
      </c>
      <c r="C35" s="59" t="s">
        <v>401</v>
      </c>
      <c r="D35" s="59"/>
      <c r="E35" s="14"/>
      <c r="F35" s="15"/>
      <c r="G35" s="16" t="str">
        <f t="shared" ref="G35:G36" si="2">IF(LEN(A35) &gt;0,"Path","-")</f>
        <v>Path</v>
      </c>
      <c r="H35" s="4" t="str">
        <f>IF(LEN(Table23[[#This Row],[!type]])&gt;0,IF(Table23[[#This Row],[!type]]=H$1,"1","rg:None"),"-")</f>
        <v>1</v>
      </c>
      <c r="I35" s="4" t="str">
        <f>IF(LEN(Table23[[#This Row],[!type]])&gt;0,IF(Table23[[#This Row],[!type]]=I$1,"1","rg:None"),"-")</f>
        <v>rg:None</v>
      </c>
      <c r="J35" s="4" t="str">
        <f>IF(LEN(Table23[[#This Row],[!type]])&gt;0,IF(Table23[[#This Row],[!type]]=J$1,"1","rg:None"),"-")</f>
        <v>rg:None</v>
      </c>
      <c r="K35" s="4" t="str">
        <f>IF(LEN(Table23[[#This Row],[!type]])&gt;0,IF(Table23[[#This Row],[!type]]=K$1,"1","rg:None"),"-")</f>
        <v>rg:None</v>
      </c>
      <c r="L35" s="4" t="str">
        <f>IF(LEN(Table23[[#This Row],[!type]])&gt;0,IF(Table23[[#This Row],[!type]]=L$1,"1","rg:None"),"-")</f>
        <v>rg:None</v>
      </c>
      <c r="M35" s="4" t="str">
        <f>IF(LEN(Table23[[#This Row],[!type]])&gt;0,IF(Table23[[#This Row],[!type]]=M$1,"1","rg:None"),"-")</f>
        <v>rg:None</v>
      </c>
      <c r="N35" s="4" t="str">
        <f>IF(LEN(Table23[[#This Row],[!type]])&gt;0,IF(Table23[[#This Row],[!type]]=N$1,"1","rg:None"),"-")</f>
        <v>rg:None</v>
      </c>
      <c r="O35" s="4" t="str">
        <f>IF(LEN(Table23[[#This Row],[!type]])&gt;0,IF(Table23[[#This Row],[!type]]=O$1,"1","rg:None"),"-")</f>
        <v>rg:None</v>
      </c>
      <c r="P35" s="4" t="str">
        <f>IF(LEN(Table23[[#This Row],[!path]]) &gt;0,Table23[[#This Row],[!path]],"rg:None")</f>
        <v>ccwjurisdictions</v>
      </c>
      <c r="Q35" s="4" t="str">
        <f>IF(LEN(Table23[[#This Row],[!tag]]) &gt;0,Table23[[#This Row],[!tag]],"rg:None")</f>
        <v>CCWJurisdiction</v>
      </c>
      <c r="R35" s="4" t="str">
        <f>IF(LEN(Table23[[#This Row],[!paramDef]]) &gt;0,Table23[[#This Row],[!paramDef]],"rg:None")</f>
        <v>rg:None</v>
      </c>
      <c r="S35" s="4" t="str">
        <f>IF(LEN(Table23[[#This Row],[!respDef]]) &gt;0,Table23[[#This Row],[!respDef]],"rg:None")</f>
        <v>rg:None</v>
      </c>
      <c r="T35" s="4" t="str">
        <f>IF(LEN(Table23[[#This Row],[!Description]]) &gt;0,Table23[[#This Row],[!Description]],"rg:None")</f>
        <v>rg:None</v>
      </c>
    </row>
    <row r="36" spans="1:20" x14ac:dyDescent="0.3">
      <c r="A36" s="56" t="s">
        <v>188</v>
      </c>
      <c r="B36" s="56" t="s">
        <v>413</v>
      </c>
      <c r="C36" s="59" t="s">
        <v>401</v>
      </c>
      <c r="D36" s="59" t="s">
        <v>401</v>
      </c>
      <c r="E36" s="14"/>
      <c r="F36" s="15"/>
      <c r="G36" s="16" t="str">
        <f t="shared" si="2"/>
        <v>Path</v>
      </c>
      <c r="H36" s="4" t="str">
        <f>IF(LEN(Table23[[#This Row],[!type]])&gt;0,IF(Table23[[#This Row],[!type]]=H$1,"1","rg:None"),"-")</f>
        <v>rg:None</v>
      </c>
      <c r="I36" s="4" t="str">
        <f>IF(LEN(Table23[[#This Row],[!type]])&gt;0,IF(Table23[[#This Row],[!type]]=I$1,"1","rg:None"),"-")</f>
        <v>rg:None</v>
      </c>
      <c r="J36" s="4" t="str">
        <f>IF(LEN(Table23[[#This Row],[!type]])&gt;0,IF(Table23[[#This Row],[!type]]=J$1,"1","rg:None"),"-")</f>
        <v>1</v>
      </c>
      <c r="K36" s="4" t="str">
        <f>IF(LEN(Table23[[#This Row],[!type]])&gt;0,IF(Table23[[#This Row],[!type]]=K$1,"1","rg:None"),"-")</f>
        <v>rg:None</v>
      </c>
      <c r="L36" s="4" t="str">
        <f>IF(LEN(Table23[[#This Row],[!type]])&gt;0,IF(Table23[[#This Row],[!type]]=L$1,"1","rg:None"),"-")</f>
        <v>rg:None</v>
      </c>
      <c r="M36" s="4" t="str">
        <f>IF(LEN(Table23[[#This Row],[!type]])&gt;0,IF(Table23[[#This Row],[!type]]=M$1,"1","rg:None"),"-")</f>
        <v>rg:None</v>
      </c>
      <c r="N36" s="4" t="str">
        <f>IF(LEN(Table23[[#This Row],[!type]])&gt;0,IF(Table23[[#This Row],[!type]]=N$1,"1","rg:None"),"-")</f>
        <v>rg:None</v>
      </c>
      <c r="O36" s="4" t="str">
        <f>IF(LEN(Table23[[#This Row],[!type]])&gt;0,IF(Table23[[#This Row],[!type]]=O$1,"1","rg:None"),"-")</f>
        <v>rg:None</v>
      </c>
      <c r="P36" s="4" t="str">
        <f>IF(LEN(Table23[[#This Row],[!path]]) &gt;0,Table23[[#This Row],[!path]],"rg:None")</f>
        <v>ccwjurisdictions</v>
      </c>
      <c r="Q36" s="4" t="str">
        <f>IF(LEN(Table23[[#This Row],[!tag]]) &gt;0,Table23[[#This Row],[!tag]],"rg:None")</f>
        <v>CCWJurisdiction</v>
      </c>
      <c r="R36" s="4" t="str">
        <f>IF(LEN(Table23[[#This Row],[!paramDef]]) &gt;0,Table23[[#This Row],[!paramDef]],"rg:None")</f>
        <v>CCWJurisdiction</v>
      </c>
      <c r="S36" s="4" t="str">
        <f>IF(LEN(Table23[[#This Row],[!respDef]]) &gt;0,Table23[[#This Row],[!respDef]],"rg:None")</f>
        <v>rg:None</v>
      </c>
      <c r="T36" s="4" t="str">
        <f>IF(LEN(Table23[[#This Row],[!Description]]) &gt;0,Table23[[#This Row],[!Description]],"rg:None")</f>
        <v>rg:None</v>
      </c>
    </row>
    <row r="37" spans="1:20" x14ac:dyDescent="0.3">
      <c r="A37" s="9" t="s">
        <v>186</v>
      </c>
      <c r="B37" s="12" t="s">
        <v>218</v>
      </c>
      <c r="C37" s="3" t="s">
        <v>16</v>
      </c>
      <c r="D37" s="3"/>
      <c r="E37" s="3"/>
      <c r="F37" s="3"/>
      <c r="G37" s="10" t="str">
        <f t="shared" si="0"/>
        <v>Path</v>
      </c>
      <c r="H37" s="5" t="str">
        <f>IF(LEN(Table23[[#This Row],[!type]])&gt;0,IF(Table23[[#This Row],[!type]]=H$1,"1","rg:None"),"-")</f>
        <v>1</v>
      </c>
      <c r="I37" s="5" t="str">
        <f>IF(LEN(Table23[[#This Row],[!type]])&gt;0,IF(Table23[[#This Row],[!type]]=I$1,"1","rg:None"),"-")</f>
        <v>rg:None</v>
      </c>
      <c r="J37" s="5" t="str">
        <f>IF(LEN(Table23[[#This Row],[!type]])&gt;0,IF(Table23[[#This Row],[!type]]=J$1,"1","rg:None"),"-")</f>
        <v>rg:None</v>
      </c>
      <c r="K37" s="5" t="str">
        <f>IF(LEN(Table23[[#This Row],[!type]])&gt;0,IF(Table23[[#This Row],[!type]]=K$1,"1","rg:None"),"-")</f>
        <v>rg:None</v>
      </c>
      <c r="L37" s="5" t="str">
        <f>IF(LEN(Table23[[#This Row],[!type]])&gt;0,IF(Table23[[#This Row],[!type]]=L$1,"1","rg:None"),"-")</f>
        <v>rg:None</v>
      </c>
      <c r="M37" s="5" t="str">
        <f>IF(LEN(Table23[[#This Row],[!type]])&gt;0,IF(Table23[[#This Row],[!type]]=M$1,"1","rg:None"),"-")</f>
        <v>rg:None</v>
      </c>
      <c r="N37" s="5" t="str">
        <f>IF(LEN(Table23[[#This Row],[!type]])&gt;0,IF(Table23[[#This Row],[!type]]=N$1,"1","rg:None"),"-")</f>
        <v>rg:None</v>
      </c>
      <c r="O37" s="5" t="str">
        <f>IF(LEN(Table23[[#This Row],[!type]])&gt;0,IF(Table23[[#This Row],[!type]]=O$1,"1","rg:None"),"-")</f>
        <v>rg:None</v>
      </c>
      <c r="P37" s="5" t="str">
        <f>IF(LEN(Table23[[#This Row],[!path]]) &gt;0,Table23[[#This Row],[!path]],"rg:None")</f>
        <v>serviceareas</v>
      </c>
      <c r="Q37" s="5" t="str">
        <f>IF(LEN(Table23[[#This Row],[!tag]]) &gt;0,Table23[[#This Row],[!tag]],"rg:None")</f>
        <v>ServiceArea</v>
      </c>
      <c r="R37" s="5" t="str">
        <f>IF(LEN(Table23[[#This Row],[!paramDef]]) &gt;0,Table23[[#This Row],[!paramDef]],"rg:None")</f>
        <v>rg:None</v>
      </c>
      <c r="S37" s="5" t="str">
        <f>IF(LEN(Table23[[#This Row],[!respDef]]) &gt;0,Table23[[#This Row],[!respDef]],"rg:None")</f>
        <v>rg:None</v>
      </c>
      <c r="T37" s="5" t="str">
        <f>IF(LEN(Table23[[#This Row],[!Description]]) &gt;0,Table23[[#This Row],[!Description]],"rg:None")</f>
        <v>rg:None</v>
      </c>
    </row>
    <row r="38" spans="1:20" x14ac:dyDescent="0.3">
      <c r="A38" s="48" t="s">
        <v>188</v>
      </c>
      <c r="B38" s="48" t="s">
        <v>218</v>
      </c>
      <c r="C38" s="50" t="s">
        <v>16</v>
      </c>
      <c r="D38" s="51" t="s">
        <v>16</v>
      </c>
      <c r="E38" s="14"/>
      <c r="F38" s="15"/>
      <c r="G38" s="16" t="str">
        <f>IF(LEN(A38) &gt;0,"Path","-")</f>
        <v>Path</v>
      </c>
      <c r="H38" s="4" t="str">
        <f>IF(LEN(Table23[[#This Row],[!type]])&gt;0,IF(Table23[[#This Row],[!type]]=H$1,"1","rg:None"),"-")</f>
        <v>rg:None</v>
      </c>
      <c r="I38" s="4" t="str">
        <f>IF(LEN(Table23[[#This Row],[!type]])&gt;0,IF(Table23[[#This Row],[!type]]=I$1,"1","rg:None"),"-")</f>
        <v>rg:None</v>
      </c>
      <c r="J38" s="4" t="str">
        <f>IF(LEN(Table23[[#This Row],[!type]])&gt;0,IF(Table23[[#This Row],[!type]]=J$1,"1","rg:None"),"-")</f>
        <v>1</v>
      </c>
      <c r="K38" s="4" t="str">
        <f>IF(LEN(Table23[[#This Row],[!type]])&gt;0,IF(Table23[[#This Row],[!type]]=K$1,"1","rg:None"),"-")</f>
        <v>rg:None</v>
      </c>
      <c r="L38" s="4" t="str">
        <f>IF(LEN(Table23[[#This Row],[!type]])&gt;0,IF(Table23[[#This Row],[!type]]=L$1,"1","rg:None"),"-")</f>
        <v>rg:None</v>
      </c>
      <c r="M38" s="4" t="str">
        <f>IF(LEN(Table23[[#This Row],[!type]])&gt;0,IF(Table23[[#This Row],[!type]]=M$1,"1","rg:None"),"-")</f>
        <v>rg:None</v>
      </c>
      <c r="N38" s="4" t="str">
        <f>IF(LEN(Table23[[#This Row],[!type]])&gt;0,IF(Table23[[#This Row],[!type]]=N$1,"1","rg:None"),"-")</f>
        <v>rg:None</v>
      </c>
      <c r="O38" s="4" t="str">
        <f>IF(LEN(Table23[[#This Row],[!type]])&gt;0,IF(Table23[[#This Row],[!type]]=O$1,"1","rg:None"),"-")</f>
        <v>rg:None</v>
      </c>
      <c r="P38" s="4" t="str">
        <f>IF(LEN(Table23[[#This Row],[!path]]) &gt;0,Table23[[#This Row],[!path]],"rg:None")</f>
        <v>serviceareas</v>
      </c>
      <c r="Q38" s="4" t="str">
        <f>IF(LEN(Table23[[#This Row],[!tag]]) &gt;0,Table23[[#This Row],[!tag]],"rg:None")</f>
        <v>ServiceArea</v>
      </c>
      <c r="R38" s="4" t="str">
        <f>IF(LEN(Table23[[#This Row],[!paramDef]]) &gt;0,Table23[[#This Row],[!paramDef]],"rg:None")</f>
        <v>ServiceArea</v>
      </c>
      <c r="S38" s="4" t="str">
        <f>IF(LEN(Table23[[#This Row],[!respDef]]) &gt;0,Table23[[#This Row],[!respDef]],"rg:None")</f>
        <v>rg:None</v>
      </c>
      <c r="T38" s="4" t="str">
        <f>IF(LEN(Table23[[#This Row],[!Description]]) &gt;0,Table23[[#This Row],[!Description]],"rg:None")</f>
        <v>rg:None</v>
      </c>
    </row>
    <row r="39" spans="1:20" x14ac:dyDescent="0.3">
      <c r="A39" s="9" t="s">
        <v>186</v>
      </c>
      <c r="B39" s="12" t="s">
        <v>219</v>
      </c>
      <c r="C39" s="3" t="s">
        <v>19</v>
      </c>
      <c r="D39" s="3"/>
      <c r="E39" s="3"/>
      <c r="F39" s="3"/>
      <c r="G39" s="10" t="str">
        <f>IF(LEN(A39) &gt;0,"Path","-")</f>
        <v>Path</v>
      </c>
      <c r="H39" s="5" t="str">
        <f>IF(LEN(Table23[[#This Row],[!type]])&gt;0,IF(Table23[[#This Row],[!type]]=H$1,"1","rg:None"),"-")</f>
        <v>1</v>
      </c>
      <c r="I39" s="5" t="str">
        <f>IF(LEN(Table23[[#This Row],[!type]])&gt;0,IF(Table23[[#This Row],[!type]]=I$1,"1","rg:None"),"-")</f>
        <v>rg:None</v>
      </c>
      <c r="J39" s="5" t="str">
        <f>IF(LEN(Table23[[#This Row],[!type]])&gt;0,IF(Table23[[#This Row],[!type]]=J$1,"1","rg:None"),"-")</f>
        <v>rg:None</v>
      </c>
      <c r="K39" s="5" t="str">
        <f>IF(LEN(Table23[[#This Row],[!type]])&gt;0,IF(Table23[[#This Row],[!type]]=K$1,"1","rg:None"),"-")</f>
        <v>rg:None</v>
      </c>
      <c r="L39" s="5" t="str">
        <f>IF(LEN(Table23[[#This Row],[!type]])&gt;0,IF(Table23[[#This Row],[!type]]=L$1,"1","rg:None"),"-")</f>
        <v>rg:None</v>
      </c>
      <c r="M39" s="5" t="str">
        <f>IF(LEN(Table23[[#This Row],[!type]])&gt;0,IF(Table23[[#This Row],[!type]]=M$1,"1","rg:None"),"-")</f>
        <v>rg:None</v>
      </c>
      <c r="N39" s="5" t="str">
        <f>IF(LEN(Table23[[#This Row],[!type]])&gt;0,IF(Table23[[#This Row],[!type]]=N$1,"1","rg:None"),"-")</f>
        <v>rg:None</v>
      </c>
      <c r="O39" s="5" t="str">
        <f>IF(LEN(Table23[[#This Row],[!type]])&gt;0,IF(Table23[[#This Row],[!type]]=O$1,"1","rg:None"),"-")</f>
        <v>rg:None</v>
      </c>
      <c r="P39" s="5" t="str">
        <f>IF(LEN(Table23[[#This Row],[!path]]) &gt;0,Table23[[#This Row],[!path]],"rg:None")</f>
        <v>cities</v>
      </c>
      <c r="Q39" s="5" t="str">
        <f>IF(LEN(Table23[[#This Row],[!tag]]) &gt;0,Table23[[#This Row],[!tag]],"rg:None")</f>
        <v>City</v>
      </c>
      <c r="R39" s="5" t="str">
        <f>IF(LEN(Table23[[#This Row],[!paramDef]]) &gt;0,Table23[[#This Row],[!paramDef]],"rg:None")</f>
        <v>rg:None</v>
      </c>
      <c r="S39" s="5" t="str">
        <f>IF(LEN(Table23[[#This Row],[!respDef]]) &gt;0,Table23[[#This Row],[!respDef]],"rg:None")</f>
        <v>rg:None</v>
      </c>
      <c r="T39" s="5" t="str">
        <f>IF(LEN(Table23[[#This Row],[!Description]]) &gt;0,Table23[[#This Row],[!Description]],"rg:None")</f>
        <v>rg:None</v>
      </c>
    </row>
    <row r="40" spans="1:20" x14ac:dyDescent="0.3">
      <c r="A40" s="48" t="s">
        <v>188</v>
      </c>
      <c r="B40" s="48" t="s">
        <v>219</v>
      </c>
      <c r="C40" s="50" t="s">
        <v>19</v>
      </c>
      <c r="D40" s="51" t="s">
        <v>19</v>
      </c>
      <c r="E40" s="14"/>
      <c r="F40" s="15"/>
      <c r="G40" s="16" t="str">
        <f>IF(LEN(A40) &gt;0,"Path","-")</f>
        <v>Path</v>
      </c>
      <c r="H40" s="4" t="str">
        <f>IF(LEN(Table23[[#This Row],[!type]])&gt;0,IF(Table23[[#This Row],[!type]]=H$1,"1","rg:None"),"-")</f>
        <v>rg:None</v>
      </c>
      <c r="I40" s="4" t="str">
        <f>IF(LEN(Table23[[#This Row],[!type]])&gt;0,IF(Table23[[#This Row],[!type]]=I$1,"1","rg:None"),"-")</f>
        <v>rg:None</v>
      </c>
      <c r="J40" s="4" t="str">
        <f>IF(LEN(Table23[[#This Row],[!type]])&gt;0,IF(Table23[[#This Row],[!type]]=J$1,"1","rg:None"),"-")</f>
        <v>1</v>
      </c>
      <c r="K40" s="4" t="str">
        <f>IF(LEN(Table23[[#This Row],[!type]])&gt;0,IF(Table23[[#This Row],[!type]]=K$1,"1","rg:None"),"-")</f>
        <v>rg:None</v>
      </c>
      <c r="L40" s="4" t="str">
        <f>IF(LEN(Table23[[#This Row],[!type]])&gt;0,IF(Table23[[#This Row],[!type]]=L$1,"1","rg:None"),"-")</f>
        <v>rg:None</v>
      </c>
      <c r="M40" s="4" t="str">
        <f>IF(LEN(Table23[[#This Row],[!type]])&gt;0,IF(Table23[[#This Row],[!type]]=M$1,"1","rg:None"),"-")</f>
        <v>rg:None</v>
      </c>
      <c r="N40" s="4" t="str">
        <f>IF(LEN(Table23[[#This Row],[!type]])&gt;0,IF(Table23[[#This Row],[!type]]=N$1,"1","rg:None"),"-")</f>
        <v>rg:None</v>
      </c>
      <c r="O40" s="4" t="str">
        <f>IF(LEN(Table23[[#This Row],[!type]])&gt;0,IF(Table23[[#This Row],[!type]]=O$1,"1","rg:None"),"-")</f>
        <v>rg:None</v>
      </c>
      <c r="P40" s="4" t="str">
        <f>IF(LEN(Table23[[#This Row],[!path]]) &gt;0,Table23[[#This Row],[!path]],"rg:None")</f>
        <v>cities</v>
      </c>
      <c r="Q40" s="4" t="str">
        <f>IF(LEN(Table23[[#This Row],[!tag]]) &gt;0,Table23[[#This Row],[!tag]],"rg:None")</f>
        <v>City</v>
      </c>
      <c r="R40" s="4" t="str">
        <f>IF(LEN(Table23[[#This Row],[!paramDef]]) &gt;0,Table23[[#This Row],[!paramDef]],"rg:None")</f>
        <v>City</v>
      </c>
      <c r="S40" s="4" t="str">
        <f>IF(LEN(Table23[[#This Row],[!respDef]]) &gt;0,Table23[[#This Row],[!respDef]],"rg:None")</f>
        <v>rg:None</v>
      </c>
      <c r="T40" s="4" t="str">
        <f>IF(LEN(Table23[[#This Row],[!Description]]) &gt;0,Table23[[#This Row],[!Description]],"rg:None")</f>
        <v>rg:None</v>
      </c>
    </row>
    <row r="41" spans="1:20" x14ac:dyDescent="0.3">
      <c r="A41" s="9" t="s">
        <v>186</v>
      </c>
      <c r="B41" s="12" t="s">
        <v>220</v>
      </c>
      <c r="C41" s="3" t="s">
        <v>28</v>
      </c>
      <c r="D41" s="3"/>
      <c r="E41" s="3"/>
      <c r="F41" s="3"/>
      <c r="G41" s="10" t="str">
        <f t="shared" si="0"/>
        <v>Path</v>
      </c>
      <c r="H41" s="5" t="str">
        <f>IF(LEN(Table23[[#This Row],[!type]])&gt;0,IF(Table23[[#This Row],[!type]]=H$1,"1","rg:None"),"-")</f>
        <v>1</v>
      </c>
      <c r="I41" s="5" t="str">
        <f>IF(LEN(Table23[[#This Row],[!type]])&gt;0,IF(Table23[[#This Row],[!type]]=I$1,"1","rg:None"),"-")</f>
        <v>rg:None</v>
      </c>
      <c r="J41" s="5" t="str">
        <f>IF(LEN(Table23[[#This Row],[!type]])&gt;0,IF(Table23[[#This Row],[!type]]=J$1,"1","rg:None"),"-")</f>
        <v>rg:None</v>
      </c>
      <c r="K41" s="5" t="str">
        <f>IF(LEN(Table23[[#This Row],[!type]])&gt;0,IF(Table23[[#This Row],[!type]]=K$1,"1","rg:None"),"-")</f>
        <v>rg:None</v>
      </c>
      <c r="L41" s="5" t="str">
        <f>IF(LEN(Table23[[#This Row],[!type]])&gt;0,IF(Table23[[#This Row],[!type]]=L$1,"1","rg:None"),"-")</f>
        <v>rg:None</v>
      </c>
      <c r="M41" s="5" t="str">
        <f>IF(LEN(Table23[[#This Row],[!type]])&gt;0,IF(Table23[[#This Row],[!type]]=M$1,"1","rg:None"),"-")</f>
        <v>rg:None</v>
      </c>
      <c r="N41" s="5" t="str">
        <f>IF(LEN(Table23[[#This Row],[!type]])&gt;0,IF(Table23[[#This Row],[!type]]=N$1,"1","rg:None"),"-")</f>
        <v>rg:None</v>
      </c>
      <c r="O41" s="5" t="str">
        <f>IF(LEN(Table23[[#This Row],[!type]])&gt;0,IF(Table23[[#This Row],[!type]]=O$1,"1","rg:None"),"-")</f>
        <v>rg:None</v>
      </c>
      <c r="P41" s="5" t="str">
        <f>IF(LEN(Table23[[#This Row],[!path]]) &gt;0,Table23[[#This Row],[!path]],"rg:None")</f>
        <v>schooldistricts</v>
      </c>
      <c r="Q41" s="5" t="str">
        <f>IF(LEN(Table23[[#This Row],[!tag]]) &gt;0,Table23[[#This Row],[!tag]],"rg:None")</f>
        <v>SchoolDistrict</v>
      </c>
      <c r="R41" s="5" t="str">
        <f>IF(LEN(Table23[[#This Row],[!paramDef]]) &gt;0,Table23[[#This Row],[!paramDef]],"rg:None")</f>
        <v>rg:None</v>
      </c>
      <c r="S41" s="5" t="str">
        <f>IF(LEN(Table23[[#This Row],[!respDef]]) &gt;0,Table23[[#This Row],[!respDef]],"rg:None")</f>
        <v>rg:None</v>
      </c>
      <c r="T41" s="5" t="str">
        <f>IF(LEN(Table23[[#This Row],[!Description]]) &gt;0,Table23[[#This Row],[!Description]],"rg:None")</f>
        <v>rg:None</v>
      </c>
    </row>
    <row r="42" spans="1:20" x14ac:dyDescent="0.3">
      <c r="A42" s="48" t="s">
        <v>188</v>
      </c>
      <c r="B42" s="48" t="s">
        <v>220</v>
      </c>
      <c r="C42" s="50" t="s">
        <v>28</v>
      </c>
      <c r="D42" s="51" t="s">
        <v>28</v>
      </c>
      <c r="E42" s="14"/>
      <c r="F42" s="15"/>
      <c r="G42" s="16" t="str">
        <f>IF(LEN(A42) &gt;0,"Path","-")</f>
        <v>Path</v>
      </c>
      <c r="H42" s="4" t="str">
        <f>IF(LEN(Table23[[#This Row],[!type]])&gt;0,IF(Table23[[#This Row],[!type]]=H$1,"1","rg:None"),"-")</f>
        <v>rg:None</v>
      </c>
      <c r="I42" s="4" t="str">
        <f>IF(LEN(Table23[[#This Row],[!type]])&gt;0,IF(Table23[[#This Row],[!type]]=I$1,"1","rg:None"),"-")</f>
        <v>rg:None</v>
      </c>
      <c r="J42" s="4" t="str">
        <f>IF(LEN(Table23[[#This Row],[!type]])&gt;0,IF(Table23[[#This Row],[!type]]=J$1,"1","rg:None"),"-")</f>
        <v>1</v>
      </c>
      <c r="K42" s="4" t="str">
        <f>IF(LEN(Table23[[#This Row],[!type]])&gt;0,IF(Table23[[#This Row],[!type]]=K$1,"1","rg:None"),"-")</f>
        <v>rg:None</v>
      </c>
      <c r="L42" s="4" t="str">
        <f>IF(LEN(Table23[[#This Row],[!type]])&gt;0,IF(Table23[[#This Row],[!type]]=L$1,"1","rg:None"),"-")</f>
        <v>rg:None</v>
      </c>
      <c r="M42" s="4" t="str">
        <f>IF(LEN(Table23[[#This Row],[!type]])&gt;0,IF(Table23[[#This Row],[!type]]=M$1,"1","rg:None"),"-")</f>
        <v>rg:None</v>
      </c>
      <c r="N42" s="4" t="str">
        <f>IF(LEN(Table23[[#This Row],[!type]])&gt;0,IF(Table23[[#This Row],[!type]]=N$1,"1","rg:None"),"-")</f>
        <v>rg:None</v>
      </c>
      <c r="O42" s="4" t="str">
        <f>IF(LEN(Table23[[#This Row],[!type]])&gt;0,IF(Table23[[#This Row],[!type]]=O$1,"1","rg:None"),"-")</f>
        <v>rg:None</v>
      </c>
      <c r="P42" s="4" t="str">
        <f>IF(LEN(Table23[[#This Row],[!path]]) &gt;0,Table23[[#This Row],[!path]],"rg:None")</f>
        <v>schooldistricts</v>
      </c>
      <c r="Q42" s="4" t="str">
        <f>IF(LEN(Table23[[#This Row],[!tag]]) &gt;0,Table23[[#This Row],[!tag]],"rg:None")</f>
        <v>SchoolDistrict</v>
      </c>
      <c r="R42" s="4" t="str">
        <f>IF(LEN(Table23[[#This Row],[!paramDef]]) &gt;0,Table23[[#This Row],[!paramDef]],"rg:None")</f>
        <v>SchoolDistrict</v>
      </c>
      <c r="S42" s="4" t="str">
        <f>IF(LEN(Table23[[#This Row],[!respDef]]) &gt;0,Table23[[#This Row],[!respDef]],"rg:None")</f>
        <v>rg:None</v>
      </c>
      <c r="T42" s="4" t="str">
        <f>IF(LEN(Table23[[#This Row],[!Description]]) &gt;0,Table23[[#This Row],[!Description]],"rg:None")</f>
        <v>rg:None</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B2"/>
  <sheetViews>
    <sheetView workbookViewId="0"/>
  </sheetViews>
  <sheetFormatPr defaultRowHeight="15.6" x14ac:dyDescent="0.3"/>
  <cols>
    <col min="2" max="2" width="23" bestFit="1" customWidth="1"/>
  </cols>
  <sheetData>
    <row r="1" spans="1:2" x14ac:dyDescent="0.3">
      <c r="A1" t="s">
        <v>176</v>
      </c>
      <c r="B1" t="s">
        <v>179</v>
      </c>
    </row>
    <row r="2" spans="1:2" x14ac:dyDescent="0.3">
      <c r="A2" t="s">
        <v>181</v>
      </c>
      <c r="B2" t="s">
        <v>180</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B2"/>
  <sheetViews>
    <sheetView workbookViewId="0"/>
  </sheetViews>
  <sheetFormatPr defaultRowHeight="15.6" x14ac:dyDescent="0.3"/>
  <cols>
    <col min="2" max="2" width="28.3984375" bestFit="1" customWidth="1"/>
  </cols>
  <sheetData>
    <row r="1" spans="1:2" x14ac:dyDescent="0.3">
      <c r="A1" s="7" t="s">
        <v>176</v>
      </c>
      <c r="B1" s="7" t="s">
        <v>179</v>
      </c>
    </row>
    <row r="2" spans="1:2" x14ac:dyDescent="0.3">
      <c r="A2" t="s">
        <v>181</v>
      </c>
      <c r="B2" t="s">
        <v>226</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defs.csv</vt:lpstr>
      <vt:lpstr>paths.csv</vt:lpstr>
      <vt:lpstr>model.csv</vt:lpstr>
      <vt:lpstr>api.csv</vt:lpstr>
    </vt:vector>
  </TitlesOfParts>
  <Company>Cloud Compass Computing, Inc.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Stephen Curran</dc:creator>
  <cp:lastModifiedBy>Stephen Curran</cp:lastModifiedBy>
  <cp:lastPrinted>2015-09-01T04:09:57Z</cp:lastPrinted>
  <dcterms:created xsi:type="dcterms:W3CDTF">2014-10-09T20:48:06Z</dcterms:created>
  <dcterms:modified xsi:type="dcterms:W3CDTF">2017-02-21T17:33:41Z</dcterms:modified>
</cp:coreProperties>
</file>