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paths.csv!$A$1:$F$40</definedName>
  </definedNames>
  <calcPr calcId="171027"/>
</workbook>
</file>

<file path=xl/calcChain.xml><?xml version="1.0" encoding="utf-8"?>
<calcChain xmlns="http://schemas.openxmlformats.org/spreadsheetml/2006/main">
  <c r="I33" i="27" l="1"/>
  <c r="J33" i="27"/>
  <c r="K33" i="27"/>
  <c r="L33" i="27"/>
  <c r="M33" i="27"/>
  <c r="N33" i="27"/>
  <c r="O33" i="27"/>
  <c r="P33" i="27"/>
  <c r="Q33" i="27"/>
  <c r="R33" i="27"/>
  <c r="S33" i="27"/>
  <c r="T33" i="27"/>
  <c r="U33" i="27"/>
  <c r="V33" i="27"/>
  <c r="W33" i="27"/>
  <c r="Y33" i="27"/>
  <c r="X33" i="27"/>
  <c r="I193" i="27" l="1"/>
  <c r="J193" i="27"/>
  <c r="K193" i="27"/>
  <c r="L193" i="27"/>
  <c r="M193" i="27"/>
  <c r="N193" i="27"/>
  <c r="O193" i="27"/>
  <c r="P193" i="27"/>
  <c r="Q193" i="27"/>
  <c r="R193" i="27"/>
  <c r="S193" i="27"/>
  <c r="T193" i="27"/>
  <c r="U193" i="27"/>
  <c r="V193" i="27"/>
  <c r="W193" i="27"/>
  <c r="Y193" i="27"/>
  <c r="I75" i="27"/>
  <c r="J75" i="27"/>
  <c r="K75" i="27"/>
  <c r="L75" i="27"/>
  <c r="M75" i="27"/>
  <c r="N75" i="27"/>
  <c r="O75" i="27"/>
  <c r="P75" i="27"/>
  <c r="Q75" i="27"/>
  <c r="R75" i="27"/>
  <c r="S75" i="27"/>
  <c r="T75" i="27"/>
  <c r="U75" i="27"/>
  <c r="V75" i="27"/>
  <c r="W75" i="27"/>
  <c r="Y75" i="27"/>
  <c r="I74" i="27"/>
  <c r="J74" i="27"/>
  <c r="K74" i="27"/>
  <c r="L74" i="27"/>
  <c r="M74" i="27"/>
  <c r="N74" i="27"/>
  <c r="O74" i="27"/>
  <c r="P74" i="27"/>
  <c r="Q74" i="27"/>
  <c r="R74" i="27"/>
  <c r="S74" i="27"/>
  <c r="T74" i="27"/>
  <c r="U74" i="27"/>
  <c r="V74" i="27"/>
  <c r="W74" i="27"/>
  <c r="Y74" i="27"/>
  <c r="X193" i="27"/>
  <c r="X75" i="27"/>
  <c r="X74" i="27"/>
  <c r="R40" i="30" l="1"/>
  <c r="G40" i="30"/>
  <c r="H40" i="30"/>
  <c r="I40" i="30"/>
  <c r="J40" i="30"/>
  <c r="K40" i="30"/>
  <c r="L40" i="30"/>
  <c r="M40" i="30"/>
  <c r="N40" i="30"/>
  <c r="O40" i="30"/>
  <c r="P40" i="30"/>
  <c r="Q40" i="30"/>
  <c r="S40" i="30"/>
  <c r="T40" i="30"/>
  <c r="R38" i="30"/>
  <c r="G38" i="30"/>
  <c r="H38" i="30"/>
  <c r="I38" i="30"/>
  <c r="J38" i="30"/>
  <c r="K38" i="30"/>
  <c r="L38" i="30"/>
  <c r="M38" i="30"/>
  <c r="N38" i="30"/>
  <c r="O38" i="30"/>
  <c r="P38" i="30"/>
  <c r="Q38" i="30"/>
  <c r="S38" i="30"/>
  <c r="T38" i="30"/>
  <c r="G36" i="30"/>
  <c r="H36" i="30"/>
  <c r="I36" i="30"/>
  <c r="J36" i="30"/>
  <c r="K36" i="30"/>
  <c r="L36" i="30"/>
  <c r="M36" i="30"/>
  <c r="N36" i="30"/>
  <c r="O36" i="30"/>
  <c r="P36" i="30"/>
  <c r="Q36" i="30"/>
  <c r="R36" i="30"/>
  <c r="S36" i="30"/>
  <c r="T36"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X16" i="27"/>
  <c r="X7" i="27"/>
  <c r="X15" i="27"/>
  <c r="X14" i="27"/>
  <c r="X10" i="27"/>
  <c r="X5" i="27"/>
  <c r="X17" i="27"/>
  <c r="X4" i="27"/>
  <c r="X8" i="27"/>
  <c r="X6" i="27"/>
  <c r="X13" i="27"/>
  <c r="X12" i="27"/>
  <c r="X9" i="27"/>
  <c r="X2" i="27"/>
  <c r="X3" i="27"/>
  <c r="X11" i="27"/>
  <c r="Y17" i="27" l="1"/>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X18" i="27"/>
  <c r="X25" i="27"/>
  <c r="X21" i="27"/>
  <c r="X19" i="27"/>
  <c r="X23" i="27"/>
  <c r="X20" i="27"/>
  <c r="X26" i="27"/>
  <c r="X22" i="27"/>
  <c r="X24" i="27"/>
  <c r="Y26" i="27" l="1"/>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4" i="27"/>
  <c r="J34" i="27"/>
  <c r="K34" i="27"/>
  <c r="L34" i="27"/>
  <c r="M34" i="27"/>
  <c r="N34" i="27"/>
  <c r="O34" i="27"/>
  <c r="P34" i="27"/>
  <c r="Q34" i="27"/>
  <c r="R34" i="27"/>
  <c r="S34" i="27"/>
  <c r="T34" i="27"/>
  <c r="U34" i="27"/>
  <c r="V34" i="27"/>
  <c r="W34" i="27"/>
  <c r="Y34"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X27" i="27"/>
  <c r="X29" i="27"/>
  <c r="X35" i="27"/>
  <c r="X32" i="27"/>
  <c r="X34" i="27"/>
  <c r="X30" i="27"/>
  <c r="X37" i="27"/>
  <c r="X36" i="27"/>
  <c r="X31" i="27"/>
  <c r="X28" i="27"/>
  <c r="Y37" i="27" l="1"/>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X38" i="27"/>
  <c r="X41" i="27"/>
  <c r="X43" i="27"/>
  <c r="X44" i="27"/>
  <c r="X42" i="27"/>
  <c r="X48" i="27"/>
  <c r="X47" i="27"/>
  <c r="X39" i="27"/>
  <c r="X45" i="27"/>
  <c r="X46" i="27"/>
  <c r="X40" i="27"/>
  <c r="Y48" i="27" l="1"/>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9"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2" i="27"/>
  <c r="X51"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X55" i="27"/>
  <c r="X54" i="27"/>
  <c r="X53" i="27"/>
  <c r="Y55" i="27" l="1"/>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X56" i="27"/>
  <c r="X58" i="27"/>
  <c r="X57" i="27"/>
  <c r="X60" i="27"/>
  <c r="X59" i="27"/>
  <c r="Y60" i="27" l="1"/>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6" i="27"/>
  <c r="J76" i="27"/>
  <c r="K76" i="27"/>
  <c r="L76" i="27"/>
  <c r="M76" i="27"/>
  <c r="N76" i="27"/>
  <c r="O76" i="27"/>
  <c r="P76" i="27"/>
  <c r="Q76" i="27"/>
  <c r="R76" i="27"/>
  <c r="S76" i="27"/>
  <c r="T76" i="27"/>
  <c r="U76" i="27"/>
  <c r="V76" i="27"/>
  <c r="W76" i="27"/>
  <c r="Y76"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X61" i="27"/>
  <c r="X69" i="27"/>
  <c r="X79" i="27"/>
  <c r="X87" i="27"/>
  <c r="X77" i="27"/>
  <c r="X85" i="27"/>
  <c r="X76" i="27"/>
  <c r="X86" i="27"/>
  <c r="X63" i="27"/>
  <c r="X78" i="27"/>
  <c r="X88" i="27"/>
  <c r="X72" i="27"/>
  <c r="X90" i="27"/>
  <c r="X66" i="27"/>
  <c r="X64" i="27"/>
  <c r="X84" i="27"/>
  <c r="X82" i="27"/>
  <c r="X89" i="27"/>
  <c r="X65" i="27"/>
  <c r="X91" i="27"/>
  <c r="X67" i="27"/>
  <c r="X70" i="27"/>
  <c r="X68" i="27"/>
  <c r="X92" i="27"/>
  <c r="X83" i="27"/>
  <c r="X81" i="27"/>
  <c r="X80" i="27"/>
  <c r="X71" i="27"/>
  <c r="X62" i="27"/>
  <c r="X73" i="27"/>
  <c r="Y92" i="27" l="1"/>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X93" i="27"/>
  <c r="X103" i="27"/>
  <c r="X95" i="27"/>
  <c r="X94" i="27"/>
  <c r="X102" i="27"/>
  <c r="X97" i="27"/>
  <c r="X100" i="27"/>
  <c r="X96" i="27"/>
  <c r="X99" i="27"/>
  <c r="X98" i="27"/>
  <c r="X101" i="27"/>
  <c r="Y103" i="27" l="1"/>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104" i="27"/>
  <c r="X105" i="27"/>
  <c r="Y105" i="27" l="1"/>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X106" i="27"/>
  <c r="X119" i="27"/>
  <c r="X117" i="27"/>
  <c r="X109" i="27"/>
  <c r="X112" i="27"/>
  <c r="X118" i="27"/>
  <c r="X108" i="27"/>
  <c r="X114" i="27"/>
  <c r="X107" i="27"/>
  <c r="X116" i="27"/>
  <c r="X110" i="27"/>
  <c r="X120" i="27"/>
  <c r="X113" i="27"/>
  <c r="X111" i="27"/>
  <c r="X115" i="27"/>
  <c r="Y120" i="27" l="1"/>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X123" i="27"/>
  <c r="X126" i="27"/>
  <c r="X122" i="27"/>
  <c r="X121" i="27"/>
  <c r="X124" i="27"/>
  <c r="X125" i="27"/>
  <c r="Y126" i="27" l="1"/>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65" i="27"/>
  <c r="J165" i="27"/>
  <c r="K165" i="27"/>
  <c r="L165" i="27"/>
  <c r="M165" i="27"/>
  <c r="N165" i="27"/>
  <c r="O165" i="27"/>
  <c r="P165" i="27"/>
  <c r="Q165" i="27"/>
  <c r="R165" i="27"/>
  <c r="S165" i="27"/>
  <c r="T165" i="27"/>
  <c r="U165" i="27"/>
  <c r="V165" i="27"/>
  <c r="W165" i="27"/>
  <c r="Y165" i="27"/>
  <c r="I166" i="27"/>
  <c r="J166" i="27"/>
  <c r="K166" i="27"/>
  <c r="L166" i="27"/>
  <c r="M166" i="27"/>
  <c r="N166" i="27"/>
  <c r="O166" i="27"/>
  <c r="P166" i="27"/>
  <c r="Q166" i="27"/>
  <c r="R166" i="27"/>
  <c r="S166" i="27"/>
  <c r="T166" i="27"/>
  <c r="U166" i="27"/>
  <c r="V166" i="27"/>
  <c r="W166" i="27"/>
  <c r="Y166" i="27"/>
  <c r="I167" i="27"/>
  <c r="J167" i="27"/>
  <c r="K167" i="27"/>
  <c r="L167" i="27"/>
  <c r="M167" i="27"/>
  <c r="N167" i="27"/>
  <c r="O167" i="27"/>
  <c r="P167" i="27"/>
  <c r="Q167" i="27"/>
  <c r="R167" i="27"/>
  <c r="S167" i="27"/>
  <c r="T167" i="27"/>
  <c r="U167" i="27"/>
  <c r="V167" i="27"/>
  <c r="W167" i="27"/>
  <c r="Y167" i="27"/>
  <c r="I168" i="27"/>
  <c r="J168" i="27"/>
  <c r="K168" i="27"/>
  <c r="L168" i="27"/>
  <c r="M168" i="27"/>
  <c r="N168" i="27"/>
  <c r="O168" i="27"/>
  <c r="P168" i="27"/>
  <c r="Q168" i="27"/>
  <c r="R168" i="27"/>
  <c r="S168" i="27"/>
  <c r="T168" i="27"/>
  <c r="U168" i="27"/>
  <c r="V168" i="27"/>
  <c r="W168" i="27"/>
  <c r="Y168" i="27"/>
  <c r="I169" i="27"/>
  <c r="J169" i="27"/>
  <c r="K169" i="27"/>
  <c r="L169" i="27"/>
  <c r="M169" i="27"/>
  <c r="N169" i="27"/>
  <c r="O169" i="27"/>
  <c r="P169" i="27"/>
  <c r="Q169" i="27"/>
  <c r="R169" i="27"/>
  <c r="S169" i="27"/>
  <c r="T169" i="27"/>
  <c r="U169" i="27"/>
  <c r="V169" i="27"/>
  <c r="W169" i="27"/>
  <c r="Y169"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X174" i="27"/>
  <c r="X132" i="27"/>
  <c r="X131" i="27"/>
  <c r="X186" i="27"/>
  <c r="X140" i="27"/>
  <c r="X204" i="27"/>
  <c r="X189" i="27"/>
  <c r="X213" i="27"/>
  <c r="X217" i="27"/>
  <c r="X133" i="27"/>
  <c r="X199" i="27"/>
  <c r="X165" i="27"/>
  <c r="X206" i="27"/>
  <c r="X195" i="27"/>
  <c r="X188" i="27"/>
  <c r="X160" i="27"/>
  <c r="X159" i="27"/>
  <c r="X141" i="27"/>
  <c r="X168" i="27"/>
  <c r="X167" i="27"/>
  <c r="X149" i="27"/>
  <c r="X176" i="27"/>
  <c r="X179" i="27"/>
  <c r="X201" i="27"/>
  <c r="X203" i="27"/>
  <c r="X180" i="27"/>
  <c r="X207" i="27"/>
  <c r="X198" i="27"/>
  <c r="X150" i="27"/>
  <c r="X187" i="27"/>
  <c r="X169" i="27"/>
  <c r="X197" i="27"/>
  <c r="X196" i="27"/>
  <c r="X177" i="27"/>
  <c r="X205" i="27"/>
  <c r="X144" i="27"/>
  <c r="X143" i="27"/>
  <c r="X215" i="27"/>
  <c r="X129" i="27"/>
  <c r="X142" i="27"/>
  <c r="X182" i="27"/>
  <c r="X139" i="27"/>
  <c r="X216" i="27"/>
  <c r="X157" i="27"/>
  <c r="X211" i="27"/>
  <c r="X185" i="27"/>
  <c r="X194" i="27"/>
  <c r="X130" i="27"/>
  <c r="X222" i="27"/>
  <c r="X158" i="27"/>
  <c r="X146" i="27"/>
  <c r="X153" i="27"/>
  <c r="X154" i="27"/>
  <c r="X127" i="27"/>
  <c r="X136" i="27"/>
  <c r="X190" i="27"/>
  <c r="X208" i="27"/>
  <c r="X151" i="27"/>
  <c r="X161" i="27"/>
  <c r="X221" i="27"/>
  <c r="X137" i="27"/>
  <c r="X163" i="27"/>
  <c r="X172" i="27"/>
  <c r="X166" i="27"/>
  <c r="X192" i="27"/>
  <c r="X200" i="27"/>
  <c r="X148" i="27"/>
  <c r="X219" i="27"/>
  <c r="X220" i="27"/>
  <c r="X138" i="27"/>
  <c r="X170" i="27"/>
  <c r="X128" i="27"/>
  <c r="X178" i="27"/>
  <c r="X135" i="27"/>
  <c r="X209" i="27"/>
  <c r="X147" i="27"/>
  <c r="X175" i="27"/>
  <c r="X202" i="27"/>
  <c r="X184" i="27"/>
  <c r="X155" i="27"/>
  <c r="X164" i="27"/>
  <c r="X145" i="27"/>
  <c r="X171" i="27"/>
  <c r="X183" i="27"/>
  <c r="X191" i="27"/>
  <c r="X181" i="27"/>
  <c r="X156" i="27"/>
  <c r="X214" i="27"/>
  <c r="X218" i="27"/>
  <c r="X134" i="27"/>
  <c r="X173" i="27"/>
  <c r="X212" i="27"/>
  <c r="X152" i="27"/>
  <c r="X210" i="27"/>
  <c r="X162"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5" i="30"/>
  <c r="G39" i="30"/>
  <c r="G37" i="30"/>
  <c r="G14" i="30"/>
  <c r="G16" i="30"/>
  <c r="G30" i="30"/>
  <c r="G26" i="30"/>
  <c r="G28" i="30"/>
  <c r="G24" i="30"/>
  <c r="G22" i="30"/>
  <c r="T8" i="30"/>
  <c r="T10" i="30"/>
  <c r="T12" i="30"/>
  <c r="T18" i="30"/>
  <c r="T20" i="30"/>
  <c r="T2" i="30"/>
  <c r="T4" i="30"/>
  <c r="T31" i="30"/>
  <c r="T33" i="30"/>
  <c r="T35" i="30"/>
  <c r="T39" i="30"/>
  <c r="T37" i="30"/>
  <c r="T14" i="30"/>
  <c r="T16" i="30"/>
  <c r="T30" i="30"/>
  <c r="T26" i="30"/>
  <c r="T28" i="30"/>
  <c r="T24" i="30"/>
  <c r="T22" i="30"/>
  <c r="S8" i="30"/>
  <c r="S10" i="30"/>
  <c r="S12" i="30"/>
  <c r="S18" i="30"/>
  <c r="S20" i="30"/>
  <c r="S2" i="30"/>
  <c r="S4" i="30"/>
  <c r="S31" i="30"/>
  <c r="S33" i="30"/>
  <c r="S35" i="30"/>
  <c r="S39" i="30"/>
  <c r="S37" i="30"/>
  <c r="S14" i="30"/>
  <c r="S16" i="30"/>
  <c r="S30" i="30"/>
  <c r="S26" i="30"/>
  <c r="S28" i="30"/>
  <c r="S24" i="30"/>
  <c r="S22" i="30"/>
  <c r="R8" i="30"/>
  <c r="R10" i="30"/>
  <c r="R12" i="30"/>
  <c r="R18" i="30"/>
  <c r="R20" i="30"/>
  <c r="R2" i="30"/>
  <c r="R4" i="30"/>
  <c r="R31" i="30"/>
  <c r="R33" i="30"/>
  <c r="R35" i="30"/>
  <c r="R39" i="30"/>
  <c r="R37" i="30"/>
  <c r="R14" i="30"/>
  <c r="R16" i="30"/>
  <c r="R30" i="30"/>
  <c r="R26" i="30"/>
  <c r="R28" i="30"/>
  <c r="R24" i="30"/>
  <c r="R22" i="30"/>
  <c r="Q8" i="30"/>
  <c r="Q10" i="30"/>
  <c r="Q12" i="30"/>
  <c r="Q18" i="30"/>
  <c r="Q20" i="30"/>
  <c r="Q2" i="30"/>
  <c r="Q4" i="30"/>
  <c r="Q31" i="30"/>
  <c r="Q33" i="30"/>
  <c r="Q35" i="30"/>
  <c r="Q39" i="30"/>
  <c r="Q37" i="30"/>
  <c r="Q14" i="30"/>
  <c r="Q16" i="30"/>
  <c r="Q30" i="30"/>
  <c r="Q26" i="30"/>
  <c r="Q28" i="30"/>
  <c r="Q24" i="30"/>
  <c r="Q22" i="30"/>
  <c r="P8" i="30"/>
  <c r="P10" i="30"/>
  <c r="P12" i="30"/>
  <c r="P18" i="30"/>
  <c r="P20" i="30"/>
  <c r="P2" i="30"/>
  <c r="P4" i="30"/>
  <c r="P31" i="30"/>
  <c r="P33" i="30"/>
  <c r="P35" i="30"/>
  <c r="P39" i="30"/>
  <c r="P37" i="30"/>
  <c r="P14" i="30"/>
  <c r="P16" i="30"/>
  <c r="P30" i="30"/>
  <c r="P26" i="30"/>
  <c r="P28" i="30"/>
  <c r="P24" i="30"/>
  <c r="P22" i="30"/>
  <c r="I8" i="30"/>
  <c r="I10" i="30"/>
  <c r="I12" i="30"/>
  <c r="I18" i="30"/>
  <c r="I20" i="30"/>
  <c r="I2" i="30"/>
  <c r="I4" i="30"/>
  <c r="I31" i="30"/>
  <c r="I33" i="30"/>
  <c r="I35" i="30"/>
  <c r="I39" i="30"/>
  <c r="I37" i="30"/>
  <c r="I14" i="30"/>
  <c r="I16" i="30"/>
  <c r="I30" i="30"/>
  <c r="I26" i="30"/>
  <c r="I28" i="30"/>
  <c r="I24" i="30"/>
  <c r="I22" i="30"/>
  <c r="J8" i="30"/>
  <c r="J10" i="30"/>
  <c r="J12" i="30"/>
  <c r="J18" i="30"/>
  <c r="J20" i="30"/>
  <c r="J2" i="30"/>
  <c r="J4" i="30"/>
  <c r="J31" i="30"/>
  <c r="J33" i="30"/>
  <c r="J35" i="30"/>
  <c r="J39" i="30"/>
  <c r="J37" i="30"/>
  <c r="J14" i="30"/>
  <c r="J16" i="30"/>
  <c r="J30" i="30"/>
  <c r="J26" i="30"/>
  <c r="J28" i="30"/>
  <c r="J24" i="30"/>
  <c r="J22" i="30"/>
  <c r="K8" i="30"/>
  <c r="K10" i="30"/>
  <c r="K12" i="30"/>
  <c r="K18" i="30"/>
  <c r="K20" i="30"/>
  <c r="K2" i="30"/>
  <c r="K4" i="30"/>
  <c r="K31" i="30"/>
  <c r="K33" i="30"/>
  <c r="K35" i="30"/>
  <c r="K39" i="30"/>
  <c r="K37" i="30"/>
  <c r="K14" i="30"/>
  <c r="K16" i="30"/>
  <c r="K30" i="30"/>
  <c r="K26" i="30"/>
  <c r="K28" i="30"/>
  <c r="K24" i="30"/>
  <c r="K22" i="30"/>
  <c r="L8" i="30"/>
  <c r="L10" i="30"/>
  <c r="L12" i="30"/>
  <c r="L18" i="30"/>
  <c r="L20" i="30"/>
  <c r="L2" i="30"/>
  <c r="L4" i="30"/>
  <c r="L31" i="30"/>
  <c r="L33" i="30"/>
  <c r="L35" i="30"/>
  <c r="L39" i="30"/>
  <c r="L37" i="30"/>
  <c r="L14" i="30"/>
  <c r="L16" i="30"/>
  <c r="L30" i="30"/>
  <c r="L26" i="30"/>
  <c r="L28" i="30"/>
  <c r="L24" i="30"/>
  <c r="L22" i="30"/>
  <c r="M8" i="30"/>
  <c r="M10" i="30"/>
  <c r="M12" i="30"/>
  <c r="M18" i="30"/>
  <c r="M20" i="30"/>
  <c r="M2" i="30"/>
  <c r="M4" i="30"/>
  <c r="M31" i="30"/>
  <c r="M33" i="30"/>
  <c r="M35" i="30"/>
  <c r="M39" i="30"/>
  <c r="M37" i="30"/>
  <c r="M14" i="30"/>
  <c r="M16" i="30"/>
  <c r="M30" i="30"/>
  <c r="M26" i="30"/>
  <c r="M28" i="30"/>
  <c r="M24" i="30"/>
  <c r="M22" i="30"/>
  <c r="N8" i="30"/>
  <c r="N10" i="30"/>
  <c r="N12" i="30"/>
  <c r="N18" i="30"/>
  <c r="N20" i="30"/>
  <c r="N2" i="30"/>
  <c r="N4" i="30"/>
  <c r="N31" i="30"/>
  <c r="N33" i="30"/>
  <c r="N35" i="30"/>
  <c r="N39" i="30"/>
  <c r="N37" i="30"/>
  <c r="N14" i="30"/>
  <c r="N16" i="30"/>
  <c r="N30" i="30"/>
  <c r="N26" i="30"/>
  <c r="N28" i="30"/>
  <c r="N24" i="30"/>
  <c r="N22" i="30"/>
  <c r="O8" i="30"/>
  <c r="O10" i="30"/>
  <c r="O12" i="30"/>
  <c r="O18" i="30"/>
  <c r="O20" i="30"/>
  <c r="O2" i="30"/>
  <c r="O4" i="30"/>
  <c r="O31" i="30"/>
  <c r="O33" i="30"/>
  <c r="O35" i="30"/>
  <c r="O39" i="30"/>
  <c r="O37" i="30"/>
  <c r="O14" i="30"/>
  <c r="O16" i="30"/>
  <c r="O30" i="30"/>
  <c r="O26" i="30"/>
  <c r="O28" i="30"/>
  <c r="O24" i="30"/>
  <c r="O22" i="30"/>
  <c r="H8" i="30"/>
  <c r="H10" i="30"/>
  <c r="H12" i="30"/>
  <c r="H18" i="30"/>
  <c r="H20" i="30"/>
  <c r="H2" i="30"/>
  <c r="H4" i="30"/>
  <c r="H31" i="30"/>
  <c r="H33" i="30"/>
  <c r="H35" i="30"/>
  <c r="H39" i="30"/>
  <c r="H37" i="30"/>
  <c r="H14" i="30"/>
  <c r="H16" i="30"/>
  <c r="H30" i="30"/>
  <c r="H26" i="30"/>
  <c r="H28" i="30"/>
  <c r="H24" i="30"/>
  <c r="H22" i="30"/>
</calcChain>
</file>

<file path=xl/sharedStrings.xml><?xml version="1.0" encoding="utf-8"?>
<sst xmlns="http://schemas.openxmlformats.org/spreadsheetml/2006/main" count="1370" uniqueCount="420">
  <si>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</si>
  <si>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</si>
  <si>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</si>
  <si>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</si>
  <si>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</si>
  <si>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</si>
  <si>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</si>
  <si>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</si>
  <si>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</si>
  <si>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</si>
  <si>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</si>
  <si>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</si>
  <si>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</si>
  <si>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</si>
  <si>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</si>
  <si>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</si>
  <si>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</si>
  <si>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</si>
  <si>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</si>
  <si>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</si>
  <si>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</si>
  <si>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</si>
  <si>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</si>
  <si>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</si>
  <si>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</si>
  <si>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</si>
  <si>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</si>
  <si>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</si>
  <si>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</si>
  <si>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</si>
  <si>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</si>
  <si>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</si>
  <si>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</si>
  <si>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</si>
  <si>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</si>
  <si>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</si>
  <si>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</si>
  <si>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</si>
  <si>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</si>
  <si>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</si>
  <si>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</si>
  <si>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</si>
  <si>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</si>
  <si>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</si>
  <si>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</si>
  <si>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</si>
  <si>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</si>
  <si>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</si>
  <si>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</si>
  <si>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</si>
  <si>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</si>
  <si>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</si>
  <si>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</si>
  <si>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</si>
  <si>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</si>
  <si>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</si>
  <si>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</si>
  <si>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</si>
  <si>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</si>
  <si>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</si>
  <si>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</si>
  <si>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</si>
  <si>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</si>
  <si>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</si>
  <si>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</si>
  <si>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</si>
  <si>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</si>
  <si>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</si>
  <si>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</si>
  <si>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</si>
  <si>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</si>
  <si>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</si>
  <si>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</si>
  <si>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</si>
  <si>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</si>
  <si>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</si>
  <si>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</si>
  <si>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</si>
  <si>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</si>
  <si>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</si>
  <si>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</si>
  <si>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</si>
  <si>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</si>
  <si>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</si>
  <si>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</si>
  <si>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</si>
  <si>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</si>
  <si>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</si>
  <si>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</si>
  <si>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</si>
  <si>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</si>
  <si>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</si>
  <si>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</si>
  <si>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</si>
  <si>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</si>
  <si>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</si>
  <si>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</si>
  <si>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</si>
  <si>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</si>
  <si>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</si>
  <si>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</si>
  <si>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</si>
  <si>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</si>
  <si>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</si>
  <si>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</si>
  <si>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</si>
  <si>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</si>
  <si>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</si>
  <si>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</si>
  <si>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</si>
  <si>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</si>
  <si>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</si>
  <si>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</si>
  <si>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</si>
  <si>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</si>
  <si>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</si>
  <si>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</si>
  <si>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</si>
  <si>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</si>
  <si>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</si>
  <si>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</si>
  <si>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</si>
  <si>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</si>
  <si>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</si>
  <si>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</si>
  <si>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</si>
  <si>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</si>
  <si>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</si>
  <si>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</si>
  <si>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</si>
  <si>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</si>
  <si>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</si>
  <si>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</si>
  <si>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</si>
  <si>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</si>
  <si>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</si>
  <si>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</si>
  <si>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</si>
  <si>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</si>
  <si>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</si>
  <si>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</si>
  <si>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</si>
  <si>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</si>
  <si>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</si>
  <si>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</si>
  <si>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</si>
  <si>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</si>
  <si>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</si>
  <si>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</si>
  <si>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</si>
  <si>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</si>
  <si>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</si>
  <si>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</si>
  <si>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</si>
  <si>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</si>
  <si>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</si>
  <si>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</si>
  <si>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</si>
  <si>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</si>
  <si>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</si>
  <si>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</si>
  <si>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</si>
  <si>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</si>
  <si>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</si>
  <si>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</si>
  <si>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</si>
  <si>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</si>
  <si>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</si>
  <si>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</si>
  <si>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</si>
  <si>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</si>
  <si>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</si>
  <si>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</si>
  <si>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</si>
  <si>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</si>
  <si>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</si>
  <si>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</si>
  <si>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</si>
  <si>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</si>
  <si>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</si>
  <si>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</si>
  <si>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</si>
  <si>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</si>
  <si>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</si>
  <si>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</si>
  <si>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</si>
  <si>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</si>
  <si>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</si>
  <si>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</si>
  <si>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</si>
  <si>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</si>
  <si>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</si>
  <si>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</si>
  <si>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</si>
  <si>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</si>
  <si>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</si>
  <si>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</si>
  <si>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</si>
  <si>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</si>
  <si>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</si>
  <si>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</si>
  <si>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</si>
  <si>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</si>
  <si>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</si>
  <si>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</si>
  <si>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</si>
  <si>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</si>
  <si>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</si>
  <si>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</si>
  <si>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</si>
  <si>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</si>
  <si>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</si>
  <si>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</si>
  <si>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</si>
  <si>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</si>
  <si>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</si>
  <si>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</si>
  <si>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</si>
  <si>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</si>
  <si>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</si>
  <si>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</si>
  <si>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</si>
  <si>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</si>
  <si>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</si>
  <si>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</si>
  <si>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</si>
  <si>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</si>
  <si>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</si>
  <si>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</si>
  <si>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</si>
  <si>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</si>
  <si>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</si>
  <si>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</si>
  <si>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</si>
  <si>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</si>
  <si>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</si>
  <si>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</si>
  <si>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</si>
  <si>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</si>
  <si>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</si>
  <si>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</si>
  <si>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</si>
  <si>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</si>
  <si>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</si>
  <si>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</si>
  <si>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</si>
  <si>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</si>
  <si>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</si>
  <si>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</si>
  <si>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</si>
  <si>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</si>
  <si>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</si>
  <si>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</si>
  <si>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</si>
  <si>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</si>
  <si>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</si>
  <si>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</si>
  <si>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</si>
  <si>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</si>
  <si>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</si>
  <si>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</si>
  <si>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</si>
  <si>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</si>
  <si>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</si>
  <si>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</si>
  <si>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</si>
  <si>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</si>
  <si>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</si>
  <si>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</si>
  <si>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</si>
  <si>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</si>
  <si>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</si>
  <si>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</si>
  <si>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</si>
  <si>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</si>
  <si>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</si>
  <si>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</si>
  <si>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</si>
  <si>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</si>
  <si>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</si>
  <si>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</si>
  <si>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</si>
  <si>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</si>
  <si>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</si>
  <si>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</si>
  <si>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</si>
  <si>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</si>
  <si>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</si>
  <si>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</si>
  <si>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</si>
  <si>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</si>
  <si>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</si>
  <si>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</si>
  <si>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</si>
  <si>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</si>
  <si>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</si>
  <si>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</si>
  <si>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</si>
  <si>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</si>
  <si>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</si>
  <si>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</si>
  <si>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</si>
  <si>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</si>
  <si>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</si>
  <si>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</si>
  <si>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</si>
  <si>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</si>
  <si>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</si>
  <si>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</si>
  <si>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</si>
  <si>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</si>
  <si>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</si>
  <si>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</si>
  <si>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</si>
  <si>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</si>
  <si>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</si>
  <si>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</si>
  <si>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</si>
  <si>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</si>
  <si>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</si>
  <si>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</si>
  <si>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</si>
  <si>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</si>
  <si>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</si>
  <si>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</si>
  <si>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</si>
  <si>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</si>
  <si>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</si>
  <si>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</si>
  <si>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</si>
  <si>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</si>
  <si>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</si>
  <si>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</si>
  <si>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</si>
  <si>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</si>
  <si>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</si>
  <si>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</si>
  <si>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</si>
  <si>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</si>
  <si>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</si>
  <si>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</si>
  <si>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</si>
  <si>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</si>
  <si>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</si>
  <si>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</si>
  <si>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</si>
  <si>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</si>
  <si>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</si>
  <si>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</si>
  <si>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</si>
  <si>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</si>
  <si>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</si>
  <si>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</si>
  <si>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</si>
  <si>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</si>
  <si>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</si>
  <si>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</si>
  <si>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</si>
  <si>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</si>
  <si>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</si>
  <si>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</si>
  <si>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</si>
  <si>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</si>
  <si>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</si>
  <si>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</si>
  <si>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</si>
  <si>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</si>
  <si>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</si>
  <si>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</si>
  <si>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</si>
  <si>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</si>
  <si>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</si>
  <si>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</si>
  <si>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</si>
  <si>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</si>
  <si>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</si>
  <si>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</si>
  <si>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</si>
  <si>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</si>
  <si>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</si>
  <si>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</si>
  <si>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</si>
  <si>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</si>
  <si>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</si>
  <si>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</si>
  <si>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</si>
  <si>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</si>
  <si>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</si>
  <si>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</si>
  <si>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</si>
  <si>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</si>
  <si>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</si>
  <si>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</si>
  <si>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</si>
  <si>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</si>
  <si>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</si>
  <si>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</si>
  <si>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</si>
  <si>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</si>
  <si>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</si>
  <si>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</si>
  <si>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</si>
  <si>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</si>
  <si>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</si>
  <si>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</si>
  <si>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</si>
  <si>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</si>
  <si>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</si>
  <si>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</si>
  <si>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</si>
  <si>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</si>
  <si>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</si>
  <si>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</si>
  <si>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</si>
  <si>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</si>
  <si>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</si>
  <si>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</si>
  <si>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</si>
  <si>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</si>
  <si>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 Data for this School Bus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</si>
</sst>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1">
    <xf numFmtId="0" fontId="0" fillId="0" borderId="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9" fillId="0" borderId="0"/>
    <xf numFmtId="0" fontId="6" fillId="0" borderId="0"/>
  </cellStyleXfs>
  <cellXfs count="58">
    <xf numFmtId="0" fontId="0" fillId="0" borderId="0" xfId="0"/>
    <xf numFmtId="0" fontId="23" fillId="0" borderId="0" xfId="719" applyFont="1" applyAlignment="1">
      <alignment vertical="top"/>
    </xf>
    <xf numFmtId="0" fontId="23" fillId="0" borderId="0" xfId="719" applyFont="1" applyAlignment="1">
      <alignment vertical="top" wrapText="1"/>
    </xf>
    <xf numFmtId="0" fontId="19" fillId="0" borderId="0" xfId="719"/>
    <xf numFmtId="0" fontId="19" fillId="0" borderId="0" xfId="719" applyNumberFormat="1" applyAlignment="1">
      <alignment vertical="top"/>
    </xf>
    <xf numFmtId="0" fontId="19" fillId="0" borderId="0" xfId="719" applyAlignment="1">
      <alignment vertical="top"/>
    </xf>
    <xf numFmtId="0" fontId="19" fillId="0" borderId="0" xfId="719" applyAlignment="1">
      <alignment vertical="top" wrapText="1"/>
    </xf>
    <xf numFmtId="0" fontId="22" fillId="0" borderId="0" xfId="0" applyFont="1"/>
    <xf numFmtId="0" fontId="18" fillId="0" borderId="0" xfId="719" applyFont="1"/>
    <xf numFmtId="0" fontId="17" fillId="0" borderId="0" xfId="719" applyFont="1"/>
    <xf numFmtId="0" fontId="0" fillId="0" borderId="0" xfId="0" applyAlignment="1">
      <alignment vertical="top"/>
    </xf>
    <xf numFmtId="0" fontId="23" fillId="0" borderId="0" xfId="0" applyFont="1" applyAlignment="1">
      <alignment vertical="top"/>
    </xf>
    <xf numFmtId="0" fontId="16" fillId="0" borderId="0" xfId="719" applyFont="1"/>
    <xf numFmtId="0" fontId="16" fillId="0" borderId="0" xfId="719" applyFont="1" applyAlignment="1">
      <alignment vertical="top"/>
    </xf>
    <xf numFmtId="0" fontId="19" fillId="0" borderId="0" xfId="719" applyFill="1" applyAlignment="1">
      <alignment vertical="top" wrapText="1"/>
    </xf>
    <xf numFmtId="0" fontId="19" fillId="0" borderId="0" xfId="719" applyNumberFormat="1" applyFill="1"/>
    <xf numFmtId="0" fontId="0" fillId="0" borderId="0" xfId="0" applyNumberFormat="1" applyAlignment="1">
      <alignment vertical="top"/>
    </xf>
    <xf numFmtId="0" fontId="15" fillId="0" borderId="0" xfId="719" applyFont="1"/>
    <xf numFmtId="0" fontId="15" fillId="0" borderId="0" xfId="719" applyFont="1" applyFill="1"/>
    <xf numFmtId="0" fontId="19" fillId="0" borderId="0" xfId="719" applyNumberFormat="1" applyFill="1" applyAlignment="1">
      <alignment vertical="top"/>
    </xf>
    <xf numFmtId="0" fontId="14" fillId="0" borderId="0" xfId="719" applyFont="1" applyAlignment="1">
      <alignment vertical="top"/>
    </xf>
    <xf numFmtId="0" fontId="14" fillId="0" borderId="0" xfId="719" applyFont="1" applyAlignment="1">
      <alignment vertical="top" wrapText="1"/>
    </xf>
    <xf numFmtId="0" fontId="13" fillId="0" borderId="0" xfId="719" applyFont="1" applyAlignment="1">
      <alignment vertical="top"/>
    </xf>
    <xf numFmtId="0" fontId="13" fillId="0" borderId="0" xfId="719" applyFont="1" applyAlignment="1">
      <alignment vertical="top" wrapText="1"/>
    </xf>
    <xf numFmtId="0" fontId="12" fillId="0" borderId="0" xfId="719" applyFont="1"/>
    <xf numFmtId="0" fontId="12" fillId="0" borderId="0" xfId="719" applyFont="1" applyAlignment="1">
      <alignment vertical="top"/>
    </xf>
    <xf numFmtId="0" fontId="12" fillId="0" borderId="0" xfId="719" applyFont="1" applyAlignment="1">
      <alignment vertical="top" wrapText="1"/>
    </xf>
    <xf numFmtId="0" fontId="19" fillId="0" borderId="0" xfId="719" applyAlignment="1"/>
    <xf numFmtId="0" fontId="12" fillId="0" borderId="0" xfId="719" applyFont="1" applyAlignment="1"/>
    <xf numFmtId="0" fontId="15" fillId="0" borderId="0" xfId="719" applyFont="1" applyAlignment="1"/>
    <xf numFmtId="0" fontId="11" fillId="0" borderId="0" xfId="719" applyNumberFormat="1" applyFont="1" applyAlignment="1">
      <alignment vertical="top"/>
    </xf>
    <xf numFmtId="0" fontId="11" fillId="0" borderId="0" xfId="719" applyFont="1"/>
    <xf numFmtId="0" fontId="10" fillId="0" borderId="0" xfId="719" applyFont="1"/>
    <xf numFmtId="0" fontId="0" fillId="0" borderId="0" xfId="0" applyNumberFormat="1"/>
    <xf numFmtId="0" fontId="9" fillId="0" borderId="0" xfId="719" applyFont="1" applyAlignment="1">
      <alignment vertical="top"/>
    </xf>
    <xf numFmtId="0" fontId="9" fillId="0" borderId="0" xfId="719" applyFont="1"/>
    <xf numFmtId="0" fontId="9" fillId="0" borderId="0" xfId="719" applyFont="1" applyAlignment="1">
      <alignment vertical="top" wrapText="1"/>
    </xf>
    <xf numFmtId="0" fontId="23" fillId="0" borderId="0" xfId="0" applyFont="1"/>
    <xf numFmtId="0" fontId="8" fillId="0" borderId="0" xfId="719" applyFont="1" applyAlignment="1">
      <alignment vertical="top"/>
    </xf>
    <xf numFmtId="0" fontId="7" fillId="0" borderId="0" xfId="719" applyFont="1" applyAlignment="1">
      <alignment vertical="top"/>
    </xf>
    <xf numFmtId="0" fontId="7" fillId="0" borderId="0" xfId="719" applyFont="1" applyFill="1"/>
    <xf numFmtId="0" fontId="7" fillId="0" borderId="0" xfId="719" applyNumberFormat="1" applyFont="1" applyAlignment="1">
      <alignment vertical="top"/>
    </xf>
    <xf numFmtId="0" fontId="6" fillId="0" borderId="0" xfId="719" applyFont="1" applyAlignment="1"/>
    <xf numFmtId="0" fontId="5" fillId="0" borderId="0" xfId="719" applyFont="1" applyAlignment="1"/>
    <xf numFmtId="0" fontId="5" fillId="0" borderId="0" xfId="719" applyFont="1" applyAlignment="1">
      <alignment vertical="top"/>
    </xf>
    <xf numFmtId="0" fontId="5" fillId="0" borderId="0" xfId="719" applyNumberFormat="1" applyFont="1" applyAlignment="1">
      <alignment vertical="top"/>
    </xf>
    <xf numFmtId="0" fontId="5" fillId="0" borderId="0" xfId="719" applyNumberFormat="1" applyFont="1" applyFill="1" applyAlignment="1">
      <alignment vertical="top"/>
    </xf>
    <xf numFmtId="0" fontId="4" fillId="0" borderId="0" xfId="719" applyFont="1" applyAlignment="1"/>
    <xf numFmtId="0" fontId="3" fillId="0" borderId="0" xfId="719" applyFont="1" applyAlignment="1">
      <alignment vertical="top"/>
    </xf>
    <xf numFmtId="0" fontId="3" fillId="0" borderId="0" xfId="719" applyFont="1"/>
    <xf numFmtId="0" fontId="3" fillId="0" borderId="0" xfId="719" applyFont="1" applyFill="1"/>
    <xf numFmtId="0" fontId="3" fillId="0" borderId="0" xfId="719" applyNumberFormat="1" applyFont="1" applyAlignment="1">
      <alignment vertical="top"/>
    </xf>
    <xf numFmtId="0" fontId="3" fillId="0" borderId="0" xfId="719" applyFont="1" applyAlignment="1"/>
    <xf numFmtId="0" fontId="2" fillId="0" borderId="0" xfId="719" applyFont="1"/>
    <xf numFmtId="0" fontId="2" fillId="0" borderId="0" xfId="719" applyFont="1" applyAlignment="1">
      <alignment vertical="top"/>
    </xf>
    <xf numFmtId="0" fontId="2" fillId="0" borderId="0" xfId="719" applyFont="1" applyAlignment="1">
      <alignment vertical="top" wrapText="1"/>
    </xf>
    <xf numFmtId="0" fontId="1" fillId="0" borderId="0" xfId="719" applyFont="1" applyAlignment="1">
      <alignment vertical="top"/>
    </xf>
    <xf numFmtId="0" fontId="1" fillId="0" borderId="0" xfId="719" applyFont="1" applyAlignment="1">
      <alignment vertical="top" wrapText="1"/>
    </xf>
  </cellXfs>
  <cellStyles count="72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2" totalsRowShown="0" headerRowDxfId="46" dataDxfId="45">
  <autoFilter ref="A1:Y222"/>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0" totalsRowShown="0" headerRowDxfId="20" dataDxfId="19">
  <autoFilter ref="A1:T40"/>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2"/>
  <sheetViews>
    <sheetView tabSelected="1" zoomScale="110" zoomScaleNormal="110" workbookViewId="0">
      <pane ySplit="1" topLeftCell="A8" activePane="bottomLeft" state="frozen"/>
      <selection pane="bottomLeft" activeCell="D33" sqref="D33"/>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4"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239</v>
      </c>
      <c r="E6" s="43" t="s">
        <v>356</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314</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315</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 t="s">
        <v>9</v>
      </c>
      <c r="C11" s="3"/>
      <c r="D11" s="24" t="s">
        <v>93</v>
      </c>
      <c r="E11" s="27"/>
      <c r="F11" s="24" t="s">
        <v>93</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3" t="s">
        <v>4</v>
      </c>
      <c r="B12" s="3" t="s">
        <v>8</v>
      </c>
      <c r="C12" s="3">
        <v>80</v>
      </c>
      <c r="D12" s="24" t="s">
        <v>237</v>
      </c>
      <c r="E12" s="43" t="s">
        <v>316</v>
      </c>
      <c r="F12" s="3" t="s">
        <v>6</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f>IF(LEN(Table2[[#This Row],[!Length]]) &gt; 0, Table2[[#This Row],[!Length]], "rg:None")</f>
        <v>80</v>
      </c>
      <c r="U12" s="10" t="str">
        <f>IF(LEN(Table2[[#This Row],[!Name]]) &gt; 0, Table2[[#This Row],[!Name]], "rg:None")</f>
        <v>homeTerminalAddress1</v>
      </c>
      <c r="V12" s="10" t="str">
        <f>IF(LEN(Table2[[#This Row],[!Description]]) &gt; 0, Table2[[#This Row],[!Description]], "rg:None")</f>
        <v>Address Line 1 of physical location of the School Bus.</v>
      </c>
      <c r="W12" s="10" t="str">
        <f>IF(LEN(Table2[[#This Row],[!FK]])&gt;0,Table2[[#This Row],[!FK]],"rg:None")</f>
        <v>rg:None</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238</v>
      </c>
      <c r="E13" s="43" t="s">
        <v>317</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homeTerminalAddress2</v>
      </c>
      <c r="V13" s="10" t="str">
        <f>IF(LEN(Table2[[#This Row],[!Description]]) &gt; 0, Table2[[#This Row],[!Description]], "rg:None")</f>
        <v>Address Line 2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9</v>
      </c>
      <c r="C14" s="3"/>
      <c r="D14" s="3" t="s">
        <v>17</v>
      </c>
      <c r="E14" s="27" t="s">
        <v>18</v>
      </c>
      <c r="F14" s="3" t="s">
        <v>19</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40</v>
      </c>
      <c r="D15" s="3" t="s">
        <v>20</v>
      </c>
      <c r="E15" s="27" t="s">
        <v>21</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40</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15</v>
      </c>
      <c r="D16" s="3" t="s">
        <v>22</v>
      </c>
      <c r="E16" s="27" t="s">
        <v>23</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15</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2048</v>
      </c>
      <c r="D17" s="3" t="s">
        <v>24</v>
      </c>
      <c r="E17" s="27" t="s">
        <v>318</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2048</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24" t="s">
        <v>266</v>
      </c>
      <c r="E18" s="27" t="s">
        <v>319</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restrictionsText</v>
      </c>
      <c r="V18" s="10" t="str">
        <f>IF(LEN(Table2[[#This Row],[!Description]]) &gt; 0, Table2[[#This Row],[!Description]], "rg:None")</f>
        <v>Text of any restrictions to be printed on the school bus permit. Standard comments are associated with the Permit Class but the inspector can enter free form text.</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25</v>
      </c>
      <c r="C19" s="3"/>
      <c r="D19" s="3" t="s">
        <v>26</v>
      </c>
      <c r="E19" s="27" t="s">
        <v>320</v>
      </c>
      <c r="F19" s="3" t="s">
        <v>6</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which is set when inspection results are saved</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30</v>
      </c>
      <c r="D20" s="24" t="s">
        <v>270</v>
      </c>
      <c r="E20" s="27" t="s">
        <v>321</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30</v>
      </c>
      <c r="U20" s="10" t="str">
        <f>IF(LEN(Table2[[#This Row],[!Name]]) &gt; 0, Table2[[#This Row],[!Name]], "rg:None")</f>
        <v>nextInspectionTypeCode</v>
      </c>
      <c r="V20" s="10" t="str">
        <f>IF(LEN(Table2[[#This Row],[!Description]]) &gt; 0, Table2[[#This Row],[!Description]], "rg:None")</f>
        <v xml:space="preserve"> Annual or Re-inspection based on the Pass/Fail status of the most recent inspection - An enumerated type (by the UI) to indicate the type of the next inspection</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9</v>
      </c>
      <c r="C21" s="3"/>
      <c r="D21" s="24" t="s">
        <v>267</v>
      </c>
      <c r="E21" s="27" t="s">
        <v>27</v>
      </c>
      <c r="F21" s="3" t="s">
        <v>28</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14</v>
      </c>
      <c r="C22" s="3"/>
      <c r="D22" s="3" t="s">
        <v>29</v>
      </c>
      <c r="E22" s="27" t="s">
        <v>30</v>
      </c>
      <c r="F22" s="3" t="s">
        <v>6</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8</v>
      </c>
      <c r="C23" s="3">
        <v>120</v>
      </c>
      <c r="D23" s="24" t="s">
        <v>265</v>
      </c>
      <c r="E23" s="27" t="s">
        <v>31</v>
      </c>
      <c r="F23" s="3" t="s">
        <v>6</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f>IF(LEN(Table2[[#This Row],[!Length]]) &gt; 0, Table2[[#This Row],[!Length]], "rg:None")</f>
        <v>120</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50</v>
      </c>
      <c r="D24" s="24" t="s">
        <v>268</v>
      </c>
      <c r="E24" s="27" t="s">
        <v>322</v>
      </c>
      <c r="F24" s="3" t="s">
        <v>6</v>
      </c>
      <c r="G24" s="45" t="s">
        <v>142</v>
      </c>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50</v>
      </c>
      <c r="U24" s="10" t="str">
        <f>IF(LEN(Table2[[#This Row],[!Name]]) &gt; 0, Table2[[#This Row],[!Name]], "rg:None")</f>
        <v>permitClassCode</v>
      </c>
      <c r="V24" s="10" t="str">
        <f>IF(LEN(Table2[[#This Row],[!Description]]) &gt; 0, Table2[[#This Row],[!Description]], "rg:None")</f>
        <v>The enumerated class of School Bus from drop down</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269</v>
      </c>
      <c r="E25" s="27" t="s">
        <v>323</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bodyTypeCode</v>
      </c>
      <c r="V25" s="10" t="str">
        <f>IF(LEN(Table2[[#This Row],[!Description]]) &gt; 0, Table2[[#This Row],[!Description]], "rg:None")</f>
        <v>The enumerated body type of the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30</v>
      </c>
      <c r="D26" s="24" t="s">
        <v>255</v>
      </c>
      <c r="E26" s="27" t="s">
        <v>32</v>
      </c>
      <c r="F26" s="3" t="s">
        <v>6</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30</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33</v>
      </c>
      <c r="C27" s="3"/>
      <c r="D27" s="3" t="s">
        <v>34</v>
      </c>
      <c r="E27" s="27" t="s">
        <v>324</v>
      </c>
      <c r="F27" s="3" t="s">
        <v>6</v>
      </c>
      <c r="G27" s="45" t="s">
        <v>142</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35</v>
      </c>
      <c r="E28" s="27" t="s">
        <v>36</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20" t="s">
        <v>9</v>
      </c>
      <c r="C29" s="3"/>
      <c r="D29" s="20" t="s">
        <v>74</v>
      </c>
      <c r="E29" s="20" t="s">
        <v>233</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 { 'req': 'status' }, { 'req': 'permitClassCode' }, { 'req': 'bodyTypeCode' }, { 'req': 'schoolBusSeatingCapacity'} ]</v>
      </c>
      <c r="Y29" s="16" t="str">
        <f>IF(LEN(Table2[[#This Row],[!Unique]])&gt;0,"rg:True","rg:None")</f>
        <v>rg:None</v>
      </c>
    </row>
    <row r="30" spans="1:25" x14ac:dyDescent="0.3">
      <c r="A30" s="25" t="s">
        <v>4</v>
      </c>
      <c r="B30" s="25" t="s">
        <v>59</v>
      </c>
      <c r="C30" s="3"/>
      <c r="D30" s="25" t="s">
        <v>58</v>
      </c>
      <c r="E30" s="25" t="s">
        <v>256</v>
      </c>
      <c r="F30" s="26" t="s">
        <v>240</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241</v>
      </c>
      <c r="E31" s="25" t="s">
        <v>257</v>
      </c>
      <c r="F31" s="26" t="s">
        <v>242</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243</v>
      </c>
      <c r="E32" s="25" t="s">
        <v>258</v>
      </c>
      <c r="F32" s="26" t="s">
        <v>244</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56" t="s">
        <v>4</v>
      </c>
      <c r="B33" s="56" t="s">
        <v>9</v>
      </c>
      <c r="C33" s="3"/>
      <c r="D33" s="56" t="s">
        <v>71</v>
      </c>
      <c r="E33" s="56" t="s">
        <v>419</v>
      </c>
      <c r="F33" s="57" t="s">
        <v>71</v>
      </c>
      <c r="G33" s="19"/>
      <c r="H33" s="19"/>
      <c r="I33" s="4" t="str">
        <f>IF(LEN(A33) &gt; 0,"Defs","-")</f>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CCWData</v>
      </c>
      <c r="V33" s="16" t="str">
        <f>IF(LEN(Table2[[#This Row],[!Description]]) &gt; 0, Table2[[#This Row],[!Description]], "rg:None")</f>
        <v>CCW Data for this School Bus</v>
      </c>
      <c r="W33" s="16" t="str">
        <f>IF(LEN(Table2[[#This Row],[!FK]])&gt;0,Table2[[#This Row],[!FK]],"rg:None")</f>
        <v>CCWData</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3" t="s">
        <v>11</v>
      </c>
      <c r="B34" s="3" t="s">
        <v>5</v>
      </c>
      <c r="C34" s="3"/>
      <c r="D34" s="3" t="s">
        <v>11</v>
      </c>
      <c r="E34" s="27" t="s">
        <v>325</v>
      </c>
      <c r="F34" s="3" t="s">
        <v>6</v>
      </c>
      <c r="G34" s="4"/>
      <c r="H34" s="4"/>
      <c r="I34" s="5" t="str">
        <f t="shared" si="0"/>
        <v>Defs</v>
      </c>
      <c r="J34" t="str">
        <f>IF(Table2[[#This Row],[!Type]]=J$1, J$1,"rg:None")</f>
        <v>rg:None</v>
      </c>
      <c r="K34" t="str">
        <f>IF(Table2[[#This Row],[!Type]]=K$1, K$1,"rg:None")</f>
        <v>rg:None</v>
      </c>
      <c r="L34" t="str">
        <f>IF(Table2[[#This Row],[!Type]]=L$1, L$1,"rg:None")</f>
        <v>rg:None</v>
      </c>
      <c r="M34" t="str">
        <f>IF(Table2[[#This Row],[!Type]]=M$1, M$1,"rg:None")</f>
        <v>rg:None</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table</v>
      </c>
      <c r="T34" s="10" t="str">
        <f>IF(LEN(Table2[[#This Row],[!Length]]) &gt; 0, Table2[[#This Row],[!Length]], "rg:None")</f>
        <v>rg:None</v>
      </c>
      <c r="U34" s="10" t="str">
        <f>IF(LEN(Table2[[#This Row],[!Name]]) &gt; 0, Table2[[#This Row],[!Name]], "rg:None")</f>
        <v>SchoolBusOwner</v>
      </c>
      <c r="V34" s="10" t="str">
        <f>IF(LEN(Table2[[#This Row],[!Description]]) &gt; 0, Table2[[#This Row],[!Description]], "rg:None")</f>
        <v>Demographic information about companies, organizations, school districts, or individuals who own or lease school buses</v>
      </c>
      <c r="W34" s="10" t="str">
        <f>IF(LEN(Table2[[#This Row],[!FK]])&gt;0,Table2[[#This Row],[!FK]],"rg:None")</f>
        <v>rg:None</v>
      </c>
      <c r="X34" s="10" t="str">
        <f>IF(LEN(concatif2(A:A,Table2[[#This Row],[!Table]],G:G,"Y",D:D,",")) &gt; 0,"rg:[ { 'req' : '"&amp;concatif2(A:A,Table2[[#This Row],[!Table]],G:G,"Y",D:D,"' }, { 'req': '")&amp;"'} ]","rg:[]")</f>
        <v>rg:[ { 'req' : 'id' }, { 'req': 'name' }, { 'req': 'status' }, { 'req': 'dateCreated'} ]</v>
      </c>
      <c r="Y34" s="10" t="str">
        <f>IF(LEN(Table2[[#This Row],[!Unique]])&gt;0,"rg:True","rg:None")</f>
        <v>rg:None</v>
      </c>
    </row>
    <row r="35" spans="1:25" x14ac:dyDescent="0.3">
      <c r="A35" s="3" t="s">
        <v>11</v>
      </c>
      <c r="B35" s="3" t="s">
        <v>7</v>
      </c>
      <c r="C35" s="3"/>
      <c r="D35" s="3" t="s">
        <v>7</v>
      </c>
      <c r="E35" s="27" t="s">
        <v>286</v>
      </c>
      <c r="F35" s="3" t="s">
        <v>6</v>
      </c>
      <c r="G35" s="4" t="s">
        <v>142</v>
      </c>
      <c r="H35" s="45" t="s">
        <v>142</v>
      </c>
      <c r="I35" s="5" t="str">
        <f t="shared" si="0"/>
        <v>Defs</v>
      </c>
      <c r="J35" t="str">
        <f>IF(Table2[[#This Row],[!Type]]=J$1, J$1,"rg:None")</f>
        <v>rg:None</v>
      </c>
      <c r="K35" t="str">
        <f>IF(Table2[[#This Row],[!Type]]=K$1, K$1,"rg:None")</f>
        <v>rg:None</v>
      </c>
      <c r="L35" t="str">
        <f>IF(Table2[[#This Row],[!Type]]=L$1, L$1,"rg:None")</f>
        <v>rg:None</v>
      </c>
      <c r="M35" t="str">
        <f>IF(Table2[[#This Row],[!Type]]=M$1, M$1,"rg:None")</f>
        <v>id</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rg:None</v>
      </c>
      <c r="S35" s="5" t="str">
        <f>IF(Table2[[#This Row],[!Type]]=S$1, S$1,"rg:None")</f>
        <v>rg:None</v>
      </c>
      <c r="T35" s="10" t="str">
        <f>IF(LEN(Table2[[#This Row],[!Length]]) &gt; 0, Table2[[#This Row],[!Length]], "rg:None")</f>
        <v>rg:None</v>
      </c>
      <c r="U35" s="10" t="str">
        <f>IF(LEN(Table2[[#This Row],[!Name]]) &gt; 0, Table2[[#This Row],[!Name]], "rg:None")</f>
        <v>id</v>
      </c>
      <c r="V35" s="10" t="str">
        <f>IF(LEN(Table2[[#This Row],[!Description]]) &gt; 0, Table2[[#This Row],[!Description]], "rg:None")</f>
        <v>A system-generated unique identifier for a SchoolBusOwner</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rg:True</v>
      </c>
    </row>
    <row r="36" spans="1:25" x14ac:dyDescent="0.3">
      <c r="A36" s="3" t="s">
        <v>11</v>
      </c>
      <c r="B36" s="3" t="s">
        <v>8</v>
      </c>
      <c r="C36" s="3">
        <v>150</v>
      </c>
      <c r="D36" s="3" t="s">
        <v>46</v>
      </c>
      <c r="E36" s="27" t="s">
        <v>47</v>
      </c>
      <c r="F36" s="3" t="s">
        <v>6</v>
      </c>
      <c r="G36" s="45" t="s">
        <v>142</v>
      </c>
      <c r="H36" s="45" t="s">
        <v>142</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150</v>
      </c>
      <c r="U36" s="10" t="str">
        <f>IF(LEN(Table2[[#This Row],[!Name]]) &gt; 0, Table2[[#This Row],[!Name]], "rg:None")</f>
        <v>name</v>
      </c>
      <c r="V36" s="10" t="str">
        <f>IF(LEN(Table2[[#This Row],[!Description]]) &gt; 0, Table2[[#This Row],[!Description]], "rg:None")</f>
        <v>The name of the School Bus owner as defined by the user/Inspector. Not tied to the ICBC or NSC names,  but whatever is most useful for the Inspectors.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rg:True</v>
      </c>
    </row>
    <row r="37" spans="1:25" x14ac:dyDescent="0.3">
      <c r="A37" s="3" t="s">
        <v>11</v>
      </c>
      <c r="B37" s="3" t="s">
        <v>8</v>
      </c>
      <c r="C37" s="3">
        <v>30</v>
      </c>
      <c r="D37" s="3" t="s">
        <v>13</v>
      </c>
      <c r="E37" s="27" t="s">
        <v>326</v>
      </c>
      <c r="F37" s="3" t="s">
        <v>6</v>
      </c>
      <c r="G37" s="45" t="s">
        <v>142</v>
      </c>
      <c r="H37" s="4"/>
      <c r="I37" s="5" t="str">
        <f t="shared" si="0"/>
        <v>Defs</v>
      </c>
      <c r="J37" t="str">
        <f>IF(Table2[[#This Row],[!Type]]=J$1, J$1,"rg:None")</f>
        <v>rg:None</v>
      </c>
      <c r="K37" t="str">
        <f>IF(Table2[[#This Row],[!Type]]=K$1, K$1,"rg:None")</f>
        <v>rg:None</v>
      </c>
      <c r="L37" t="str">
        <f>IF(Table2[[#This Row],[!Type]]=L$1, L$1,"rg:None")</f>
        <v>rg:None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string</v>
      </c>
      <c r="S37" s="5" t="str">
        <f>IF(Table2[[#This Row],[!Type]]=S$1, S$1,"rg:None")</f>
        <v>rg:None</v>
      </c>
      <c r="T37" s="10">
        <f>IF(LEN(Table2[[#This Row],[!Length]]) &gt; 0, Table2[[#This Row],[!Length]], "rg:None")</f>
        <v>30</v>
      </c>
      <c r="U37" s="10" t="str">
        <f>IF(LEN(Table2[[#This Row],[!Name]]) &gt; 0, Table2[[#This Row],[!Name]], "rg:None")</f>
        <v>status</v>
      </c>
      <c r="V37" s="10" t="str">
        <f>IF(LEN(Table2[[#This Row],[!Description]]) &gt; 0, Table2[[#This Row],[!Description]], "rg:None")</f>
        <v>Status of the School Bus owner - enumerated value Active,  Inactive or Archived from drop down</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rg:None</v>
      </c>
    </row>
    <row r="38" spans="1:25" x14ac:dyDescent="0.3">
      <c r="A38" s="3" t="s">
        <v>11</v>
      </c>
      <c r="B38" s="3" t="s">
        <v>25</v>
      </c>
      <c r="C38" s="3"/>
      <c r="D38" s="3" t="s">
        <v>48</v>
      </c>
      <c r="E38" s="27" t="s">
        <v>327</v>
      </c>
      <c r="F38" s="3" t="s">
        <v>6</v>
      </c>
      <c r="G38" s="45" t="s">
        <v>142</v>
      </c>
      <c r="H38" s="4"/>
      <c r="I38" s="5" t="str">
        <f t="shared" si="0"/>
        <v>Defs</v>
      </c>
      <c r="J38" t="str">
        <f>IF(Table2[[#This Row],[!Type]]=J$1, J$1,"rg:None")</f>
        <v>rg:None</v>
      </c>
      <c r="K38" t="str">
        <f>IF(Table2[[#This Row],[!Type]]=K$1, K$1,"rg:None")</f>
        <v>rg:None</v>
      </c>
      <c r="L38" t="str">
        <f>IF(Table2[[#This Row],[!Type]]=L$1, L$1,"rg:None")</f>
        <v>datetime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dateCreated</v>
      </c>
      <c r="V38" s="10" t="str">
        <f>IF(LEN(Table2[[#This Row],[!Description]]) &gt; 0, Table2[[#This Row],[!Description]], "rg:None")</f>
        <v>The original create date and time of the owner record. The date-time of the creation of the record from the audit fields. Since this might be surfaced in the API,  adding it to the definition.</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9</v>
      </c>
      <c r="C39" s="3"/>
      <c r="D39" s="3" t="s">
        <v>49</v>
      </c>
      <c r="E39" s="27" t="s">
        <v>50</v>
      </c>
      <c r="F39" s="24" t="s">
        <v>250</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primaryContact</v>
      </c>
      <c r="V39" s="10" t="str">
        <f>IF(LEN(Table2[[#This Row],[!Description]]) &gt; 0, Table2[[#This Row],[!Description]], "rg:None")</f>
        <v>Link to the designated Primary Contact for the Inspector to the School Bus Owner organization.</v>
      </c>
      <c r="W39" s="10" t="str">
        <f>IF(LEN(Table2[[#This Row],[!FK]])&gt;0,Table2[[#This Row],[!FK]],"rg:None")</f>
        <v>Contact</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9</v>
      </c>
      <c r="C40" s="3"/>
      <c r="D40" s="24" t="s">
        <v>93</v>
      </c>
      <c r="E40" s="27" t="s">
        <v>51</v>
      </c>
      <c r="F40" s="24" t="s">
        <v>93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ref</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District</v>
      </c>
      <c r="V40" s="10" t="str">
        <f>IF(LEN(Table2[[#This Row],[!Description]]) &gt; 0, Table2[[#This Row],[!Description]], "rg:None")</f>
        <v>The District to which this School Bus is affliated.</v>
      </c>
      <c r="W40" s="10" t="str">
        <f>IF(LEN(Table2[[#This Row],[!FK]])&gt;0,Table2[[#This Row],[!FK]],"rg:None")</f>
        <v>District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59</v>
      </c>
      <c r="C41" s="3"/>
      <c r="D41" s="3" t="s">
        <v>52</v>
      </c>
      <c r="E41" s="28" t="s">
        <v>262</v>
      </c>
      <c r="F41" s="24" t="s">
        <v>250</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contacts</v>
      </c>
      <c r="V41" s="10" t="str">
        <f>IF(LEN(Table2[[#This Row],[!Description]]) &gt; 0, Table2[[#This Row],[!Description]], "rg:None")</f>
        <v>The set of contacts related to the School Bus Owner.</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24" t="s">
        <v>59</v>
      </c>
      <c r="C42" s="3"/>
      <c r="D42" s="24" t="s">
        <v>58</v>
      </c>
      <c r="E42" s="25" t="s">
        <v>259</v>
      </c>
      <c r="F42" s="24" t="s">
        <v>240</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notes</v>
      </c>
      <c r="V42" s="10" t="str">
        <f>IF(LEN(Table2[[#This Row],[!Description]]) &gt; 0, Table2[[#This Row],[!Description]], "rg:None")</f>
        <v>The set of notes about the school bus owner entered by users.</v>
      </c>
      <c r="W42" s="10" t="str">
        <f>IF(LEN(Table2[[#This Row],[!FK]])&gt;0,Table2[[#This Row],[!FK]],"rg:None")</f>
        <v>Note</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24" t="s">
        <v>59</v>
      </c>
      <c r="C43" s="3"/>
      <c r="D43" s="24" t="s">
        <v>241</v>
      </c>
      <c r="E43" s="25" t="s">
        <v>260</v>
      </c>
      <c r="F43" s="24" t="s">
        <v>242</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attachments</v>
      </c>
      <c r="V43" s="10" t="str">
        <f>IF(LEN(Table2[[#This Row],[!Description]]) &gt; 0, Table2[[#This Row],[!Description]], "rg:None")</f>
        <v>The set of attachments about the school bus owner uploaded by the users.</v>
      </c>
      <c r="W43" s="10" t="str">
        <f>IF(LEN(Table2[[#This Row],[!FK]])&gt;0,Table2[[#This Row],[!FK]],"rg:None")</f>
        <v>Attachment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24" t="s">
        <v>11</v>
      </c>
      <c r="B44" s="24" t="s">
        <v>59</v>
      </c>
      <c r="C44" s="3"/>
      <c r="D44" s="24" t="s">
        <v>243</v>
      </c>
      <c r="E44" s="25" t="s">
        <v>261</v>
      </c>
      <c r="F44" s="24" t="s">
        <v>244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history</v>
      </c>
      <c r="V44" s="10" t="str">
        <f>IF(LEN(Table2[[#This Row],[!Description]]) &gt; 0, Table2[[#This Row],[!Description]], "rg:None")</f>
        <v>The history of updates made to the School Bus Owner data.</v>
      </c>
      <c r="W44" s="10" t="str">
        <f>IF(LEN(Table2[[#This Row],[!FK]])&gt;0,Table2[[#This Row],[!FK]],"rg:None")</f>
        <v>History</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71</v>
      </c>
      <c r="B45" s="3" t="s">
        <v>5</v>
      </c>
      <c r="C45" s="3"/>
      <c r="D45" s="3" t="s">
        <v>71</v>
      </c>
      <c r="E45" s="43" t="s">
        <v>404</v>
      </c>
      <c r="F45" s="3" t="s">
        <v>6</v>
      </c>
      <c r="I45" s="5" t="str">
        <f t="shared" ref="I45:I88" si="2">IF(LEN(A45) &gt; 0,"Defs","-")</f>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table</v>
      </c>
      <c r="T45" s="10" t="str">
        <f>IF(LEN(Table2[[#This Row],[!Length]]) &gt; 0, Table2[[#This Row],[!Length]], "rg:None")</f>
        <v>rg:None</v>
      </c>
      <c r="U45" s="10" t="str">
        <f>IF(LEN(Table2[[#This Row],[!Name]]) &gt; 0, Table2[[#This Row],[!Name]], "rg:None")</f>
        <v>CCWData</v>
      </c>
      <c r="V45"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rg:None</v>
      </c>
    </row>
    <row r="46" spans="1:25" x14ac:dyDescent="0.3">
      <c r="A46" s="3" t="s">
        <v>71</v>
      </c>
      <c r="B46" s="3" t="s">
        <v>7</v>
      </c>
      <c r="C46" s="3"/>
      <c r="D46" s="3" t="s">
        <v>7</v>
      </c>
      <c r="E46" s="42" t="s">
        <v>307</v>
      </c>
      <c r="F46" s="3" t="s">
        <v>6</v>
      </c>
      <c r="G46" s="4" t="s">
        <v>142</v>
      </c>
      <c r="H46" s="45" t="s">
        <v>142</v>
      </c>
      <c r="I46" s="5" t="str">
        <f t="shared" si="2"/>
        <v>Defs</v>
      </c>
      <c r="J46" t="str">
        <f>IF(Table2[[#This Row],[!Type]]=J$1, J$1,"rg:None")</f>
        <v>rg:None</v>
      </c>
      <c r="K46" t="str">
        <f>IF(Table2[[#This Row],[!Type]]=K$1, K$1,"rg:None")</f>
        <v>rg:None</v>
      </c>
      <c r="L46" t="str">
        <f>IF(Table2[[#This Row],[!Type]]=L$1, L$1,"rg:None")</f>
        <v>rg:None</v>
      </c>
      <c r="M46" t="str">
        <f>IF(Table2[[#This Row],[!Type]]=M$1, M$1,"rg:None")</f>
        <v>id</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id</v>
      </c>
      <c r="V46" s="10" t="str">
        <f>IF(LEN(Table2[[#This Row],[!Description]]) &gt; 0, Table2[[#This Row],[!Description]], "rg:None")</f>
        <v>A system-generated unique identifier for CCWData</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rg:True</v>
      </c>
    </row>
    <row r="47" spans="1:25" x14ac:dyDescent="0.3">
      <c r="A47" s="3" t="s">
        <v>71</v>
      </c>
      <c r="B47" s="3" t="s">
        <v>8</v>
      </c>
      <c r="C47" s="3">
        <v>255</v>
      </c>
      <c r="D47" s="24" t="s">
        <v>263</v>
      </c>
      <c r="E47" s="27" t="s">
        <v>328</v>
      </c>
      <c r="F47" s="3" t="s">
        <v>6</v>
      </c>
      <c r="H47" s="44" t="s">
        <v>142</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string</v>
      </c>
      <c r="S47" s="5" t="str">
        <f>IF(Table2[[#This Row],[!Type]]=S$1, S$1,"rg:None")</f>
        <v>rg:None</v>
      </c>
      <c r="T47" s="10">
        <f>IF(LEN(Table2[[#This Row],[!Length]]) &gt; 0, Table2[[#This Row],[!Length]], "rg:None")</f>
        <v>255</v>
      </c>
      <c r="U47" s="10" t="str">
        <f>IF(LEN(Table2[[#This Row],[!Name]]) &gt; 0, Table2[[#This Row],[!Name]], "rg:None")</f>
        <v>ICBCRegistrationNumber</v>
      </c>
      <c r="V47" s="10" t="str">
        <f>IF(LEN(Table2[[#This Row],[!Description]]) &gt; 0, Table2[[#This Row],[!Description]], "rg:None")</f>
        <v>The Registration Number (Regi) is the link between the CCW vehicle information and a specific School Bus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rg:True</v>
      </c>
    </row>
    <row r="48" spans="1:25" x14ac:dyDescent="0.3">
      <c r="A48" s="3" t="s">
        <v>71</v>
      </c>
      <c r="B48" s="3" t="s">
        <v>33</v>
      </c>
      <c r="C48" s="3"/>
      <c r="D48" s="5" t="s">
        <v>145</v>
      </c>
      <c r="E48" s="27" t="s">
        <v>72</v>
      </c>
      <c r="F48" s="3" t="s">
        <v>6</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integer</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ICBCModelYear</v>
      </c>
      <c r="V48" s="10" t="str">
        <f>IF(LEN(Table2[[#This Row],[!Description]]) &gt; 0, Table2[[#This Row],[!Description]], "rg:None")</f>
        <v>Vehicle Year</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row>
    <row r="49" spans="1:25" x14ac:dyDescent="0.3">
      <c r="A49" s="3" t="s">
        <v>71</v>
      </c>
      <c r="B49" s="3" t="s">
        <v>8</v>
      </c>
      <c r="C49" s="3">
        <v>255</v>
      </c>
      <c r="D49" s="5" t="s">
        <v>146</v>
      </c>
      <c r="E49" s="47" t="s">
        <v>407</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ICBCVehicleType</v>
      </c>
      <c r="V49" s="10" t="str">
        <f>IF(LEN(Table2[[#This Row],[!Description]]) &gt; 0, Table2[[#This Row],[!Description]], "rg:None")</f>
        <v>ICBC defined field - designates Commercial, Private, Other Categories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147</v>
      </c>
      <c r="E50" s="27" t="s">
        <v>329</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ICBCRateClass</v>
      </c>
      <c r="V50" s="10" t="str">
        <f>IF(LEN(Table2[[#This Row],[!Description]]) &gt; 0, Table2[[#This Row],[!Description]], "rg:None")</f>
        <v>Defines usage such as pleasure only, business, delivery, etc..</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8</v>
      </c>
      <c r="C51" s="3">
        <v>255</v>
      </c>
      <c r="D51" s="5" t="s">
        <v>148</v>
      </c>
      <c r="E51" s="27" t="s">
        <v>330</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ICBCCVIPDecal</v>
      </c>
      <c r="V51" s="10" t="str">
        <f>IF(LEN(Table2[[#This Row],[!Description]]) &gt; 0, Table2[[#This Row],[!Description]], "rg:None")</f>
        <v>Six monthly commercial vehicle inspection decal number</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33</v>
      </c>
      <c r="C52" s="3"/>
      <c r="D52" s="5" t="s">
        <v>149</v>
      </c>
      <c r="E52" s="43" t="s">
        <v>357</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ICBCFleetUnitNo</v>
      </c>
      <c r="V52" s="10" t="str">
        <f>IF(LEN(Table2[[#This Row],[!Description]]) &gt; 0, Table2[[#This Row],[!Description]], "rg:None")</f>
        <v>The owner-defined number of the bus within their bus fleet.</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33</v>
      </c>
      <c r="C53" s="3"/>
      <c r="D53" s="5" t="s">
        <v>150</v>
      </c>
      <c r="E53" s="27" t="s">
        <v>331</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integer</v>
      </c>
      <c r="O53" s="10" t="str">
        <f>IF(Table2[[#This Row],[!Type]]=O$1, O$1,"rg:None")</f>
        <v>rg:None</v>
      </c>
      <c r="P53" s="5" t="str">
        <f>IF(Table2[[#This Row],[!Type]]=P$1, P$1,"rg:None")</f>
        <v>rg:None</v>
      </c>
      <c r="Q53" s="5" t="str">
        <f>IF(Table2[[#This Row],[!Type]]=Q$1, Q$1,"rg:None")</f>
        <v>rg:None</v>
      </c>
      <c r="R53" s="5" t="str">
        <f>IF(Table2[[#This Row],[!Type]]=R$1, R$1,"rg:None")</f>
        <v>rg:None</v>
      </c>
      <c r="S53" s="5" t="str">
        <f>IF(Table2[[#This Row],[!Type]]=S$1, S$1,"rg:None")</f>
        <v>rg:None</v>
      </c>
      <c r="T53" s="10" t="str">
        <f>IF(LEN(Table2[[#This Row],[!Length]]) &gt; 0, Table2[[#This Row],[!Length]], "rg:None")</f>
        <v>rg:None</v>
      </c>
      <c r="U53" s="10" t="str">
        <f>IF(LEN(Table2[[#This Row],[!Name]]) &gt; 0, Table2[[#This Row],[!Name]], "rg:None")</f>
        <v>ICBCGrossVehicleWeight</v>
      </c>
      <c r="V53" s="10" t="str">
        <f>IF(LEN(Table2[[#This Row],[!Description]]) &gt; 0, Table2[[#This Row],[!Description]], "rg:None")</f>
        <v>Vehicle gross weight in kgs</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8</v>
      </c>
      <c r="C54" s="3">
        <v>255</v>
      </c>
      <c r="D54" s="5" t="s">
        <v>151</v>
      </c>
      <c r="E54" s="27" t="s">
        <v>332</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ICBCMake</v>
      </c>
      <c r="V54" s="10" t="str">
        <f>IF(LEN(Table2[[#This Row],[!Description]]) &gt; 0, Table2[[#This Row],[!Description]], "rg:None")</f>
        <v>Vehicle make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152</v>
      </c>
      <c r="E55" s="27" t="s">
        <v>333</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ICBCBody</v>
      </c>
      <c r="V55" s="10" t="str">
        <f>IF(LEN(Table2[[#This Row],[!Description]]) &gt; 0, Table2[[#This Row],[!Description]], "rg:None")</f>
        <v>Vehicle body code</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8</v>
      </c>
      <c r="C56" s="3">
        <v>255</v>
      </c>
      <c r="D56" s="5" t="s">
        <v>153</v>
      </c>
      <c r="E56" s="43" t="s">
        <v>376</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ICBCRebuiltStatus</v>
      </c>
      <c r="V56" s="10" t="str">
        <f>IF(LEN(Table2[[#This Row],[!Description]]) &gt; 0, Table2[[#This Row],[!Description]], "rg:None")</f>
        <v>ICBC coded field about whether or not the vehicle has been rebuilt and if so the nature of the rebuilding.</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25</v>
      </c>
      <c r="C57" s="3"/>
      <c r="D57" s="5" t="s">
        <v>154</v>
      </c>
      <c r="E57" s="27" t="s">
        <v>334</v>
      </c>
      <c r="F57" s="3" t="s">
        <v>6</v>
      </c>
      <c r="I57" s="5" t="str">
        <f t="shared" si="2"/>
        <v>Defs</v>
      </c>
      <c r="J57" t="str">
        <f>IF(Table2[[#This Row],[!Type]]=J$1, J$1,"rg:None")</f>
        <v>rg:None</v>
      </c>
      <c r="K57" t="str">
        <f>IF(Table2[[#This Row],[!Type]]=K$1, K$1,"rg:None")</f>
        <v>rg:None</v>
      </c>
      <c r="L57" t="str">
        <f>IF(Table2[[#This Row],[!Type]]=L$1, L$1,"rg:None")</f>
        <v>datetime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ICBCCVIPExpiry</v>
      </c>
      <c r="V57" s="10" t="str">
        <f>IF(LEN(Table2[[#This Row],[!Description]]) &gt; 0, Table2[[#This Row],[!Description]], "rg:None")</f>
        <v xml:space="preserve">Expiry date of the last 6 month commercial vehicle inspection. </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33</v>
      </c>
      <c r="C58" s="3"/>
      <c r="D58" s="5" t="s">
        <v>155</v>
      </c>
      <c r="E58" s="27" t="s">
        <v>335</v>
      </c>
      <c r="F58" s="3" t="s">
        <v>6</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integer</v>
      </c>
      <c r="O58" s="10" t="str">
        <f>IF(Table2[[#This Row],[!Type]]=O$1, O$1,"rg:None")</f>
        <v>rg:None</v>
      </c>
      <c r="P58" s="5" t="str">
        <f>IF(Table2[[#This Row],[!Type]]=P$1, P$1,"rg:None")</f>
        <v>rg:None</v>
      </c>
      <c r="Q58" s="5" t="str">
        <f>IF(Table2[[#This Row],[!Type]]=Q$1, Q$1,"rg:None")</f>
        <v>rg:None</v>
      </c>
      <c r="R58" s="5" t="str">
        <f>IF(Table2[[#This Row],[!Type]]=R$1, R$1,"rg:None")</f>
        <v>rg:None</v>
      </c>
      <c r="S58" s="5" t="str">
        <f>IF(Table2[[#This Row],[!Type]]=S$1, S$1,"rg:None")</f>
        <v>rg:None</v>
      </c>
      <c r="T58" s="10" t="str">
        <f>IF(LEN(Table2[[#This Row],[!Length]]) &gt; 0, Table2[[#This Row],[!Length]], "rg:None")</f>
        <v>rg:None</v>
      </c>
      <c r="U58" s="10" t="str">
        <f>IF(LEN(Table2[[#This Row],[!Name]]) &gt; 0, Table2[[#This Row],[!Name]], "rg:None")</f>
        <v>ICBCNetWt</v>
      </c>
      <c r="V58" s="10" t="str">
        <f>IF(LEN(Table2[[#This Row],[!Description]]) &gt; 0, Table2[[#This Row],[!Description]], "rg:None")</f>
        <v>Vehicle net weight in kgs</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8</v>
      </c>
      <c r="C59" s="3">
        <v>255</v>
      </c>
      <c r="D59" s="5" t="s">
        <v>156</v>
      </c>
      <c r="E59" s="52" t="s">
        <v>409</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ICBCModel</v>
      </c>
      <c r="V59" s="10" t="str">
        <f>IF(LEN(Table2[[#This Row],[!Description]]) &gt; 0, Table2[[#This Row],[!Description]], "rg:None")</f>
        <v>Vehicle model codes used by ICBC - for example bus, scbus, dump, logtr</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8</v>
      </c>
      <c r="C60" s="3">
        <v>255</v>
      </c>
      <c r="D60" s="5" t="s">
        <v>157</v>
      </c>
      <c r="E60" s="27" t="s">
        <v>336</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rg:None</v>
      </c>
      <c r="O60" s="10" t="str">
        <f>IF(Table2[[#This Row],[!Type]]=O$1, O$1,"rg:None")</f>
        <v>rg:None</v>
      </c>
      <c r="P60" s="5" t="str">
        <f>IF(Table2[[#This Row],[!Type]]=P$1, P$1,"rg:None")</f>
        <v>rg:None</v>
      </c>
      <c r="Q60" s="5" t="str">
        <f>IF(Table2[[#This Row],[!Type]]=Q$1, Q$1,"rg:None")</f>
        <v>rg:None</v>
      </c>
      <c r="R60" s="5" t="str">
        <f>IF(Table2[[#This Row],[!Type]]=R$1, R$1,"rg:None")</f>
        <v>string</v>
      </c>
      <c r="S60" s="5" t="str">
        <f>IF(Table2[[#This Row],[!Type]]=S$1, S$1,"rg:None")</f>
        <v>rg:None</v>
      </c>
      <c r="T60" s="10">
        <f>IF(LEN(Table2[[#This Row],[!Length]]) &gt; 0, Table2[[#This Row],[!Length]], "rg:None")</f>
        <v>255</v>
      </c>
      <c r="U60" s="10" t="str">
        <f>IF(LEN(Table2[[#This Row],[!Name]]) &gt; 0, Table2[[#This Row],[!Name]], "rg:None")</f>
        <v>ICBCFuel</v>
      </c>
      <c r="V60" s="10" t="str">
        <f>IF(LEN(Table2[[#This Row],[!Description]]) &gt; 0, Table2[[#This Row],[!Description]], "rg:None")</f>
        <v>Fuel type gasoline, propane, diesel etc..</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33</v>
      </c>
      <c r="C61" s="3"/>
      <c r="D61" s="5" t="s">
        <v>158</v>
      </c>
      <c r="E61" s="27" t="s">
        <v>337</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integer</v>
      </c>
      <c r="O61" s="10" t="str">
        <f>IF(Table2[[#This Row],[!Type]]=O$1, O$1,"rg:None")</f>
        <v>rg:None</v>
      </c>
      <c r="P61" s="5" t="str">
        <f>IF(Table2[[#This Row],[!Type]]=P$1, P$1,"rg:None")</f>
        <v>rg:None</v>
      </c>
      <c r="Q61" s="5" t="str">
        <f>IF(Table2[[#This Row],[!Type]]=Q$1, Q$1,"rg:None")</f>
        <v>rg:None</v>
      </c>
      <c r="R61" s="5" t="str">
        <f>IF(Table2[[#This Row],[!Type]]=R$1, R$1,"rg:None")</f>
        <v>rg:None</v>
      </c>
      <c r="S61" s="5" t="str">
        <f>IF(Table2[[#This Row],[!Type]]=S$1, S$1,"rg:None")</f>
        <v>rg:None</v>
      </c>
      <c r="T61" s="10" t="str">
        <f>IF(LEN(Table2[[#This Row],[!Length]]) &gt; 0, Table2[[#This Row],[!Length]], "rg:None")</f>
        <v>rg:None</v>
      </c>
      <c r="U61" s="10" t="str">
        <f>IF(LEN(Table2[[#This Row],[!Name]]) &gt; 0, Table2[[#This Row],[!Name]], "rg:None")</f>
        <v>ICBCSeatingCapacity</v>
      </c>
      <c r="V61" s="10" t="str">
        <f>IF(LEN(Table2[[#This Row],[!Description]]) &gt; 0, Table2[[#This Row],[!Description]], "rg:None")</f>
        <v>Vehicle seating capacity including driver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159</v>
      </c>
      <c r="E62" s="27" t="s">
        <v>338</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ICBCColour</v>
      </c>
      <c r="V62" s="10" t="str">
        <f>IF(LEN(Table2[[#This Row],[!Description]]) &gt; 0, Table2[[#This Row],[!Description]], "rg:None")</f>
        <v>Vehicle color ex BLU, WHI,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8</v>
      </c>
      <c r="C63" s="3">
        <v>255</v>
      </c>
      <c r="D63" s="5" t="s">
        <v>160</v>
      </c>
      <c r="E63" s="43" t="s">
        <v>377</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string</v>
      </c>
      <c r="S63" s="5" t="str">
        <f>IF(Table2[[#This Row],[!Type]]=S$1, S$1,"rg:None")</f>
        <v>rg:None</v>
      </c>
      <c r="T63" s="10">
        <f>IF(LEN(Table2[[#This Row],[!Length]]) &gt; 0, Table2[[#This Row],[!Length]], "rg:None")</f>
        <v>255</v>
      </c>
      <c r="U63" s="10" t="str">
        <f>IF(LEN(Table2[[#This Row],[!Name]]) &gt; 0, Table2[[#This Row],[!Name]], "rg:None")</f>
        <v>ICBCNotesAndOrders</v>
      </c>
      <c r="V63" s="10" t="str">
        <f>IF(LEN(Table2[[#This Row],[!Description]]) &gt; 0, Table2[[#This Row],[!Description]], "rg:None")</f>
        <v>Notes and orders from ICBC about the vehicle.</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25</v>
      </c>
      <c r="C64" s="3"/>
      <c r="D64" s="5" t="s">
        <v>161</v>
      </c>
      <c r="E64" s="43" t="s">
        <v>403</v>
      </c>
      <c r="F64" s="3" t="s">
        <v>6</v>
      </c>
      <c r="G64" s="4"/>
      <c r="H64" s="4"/>
      <c r="I64" s="5" t="str">
        <f t="shared" si="2"/>
        <v>Defs</v>
      </c>
      <c r="J64" t="str">
        <f>IF(Table2[[#This Row],[!Type]]=J$1, J$1,"rg:None")</f>
        <v>rg:None</v>
      </c>
      <c r="K64" t="str">
        <f>IF(Table2[[#This Row],[!Type]]=K$1, K$1,"rg:None")</f>
        <v>rg:None</v>
      </c>
      <c r="L64" t="str">
        <f>IF(Table2[[#This Row],[!Type]]=L$1, L$1,"rg:None")</f>
        <v>datetime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rg:None</v>
      </c>
      <c r="S64" s="5" t="str">
        <f>IF(Table2[[#This Row],[!Type]]=S$1, S$1,"rg:None")</f>
        <v>rg:None</v>
      </c>
      <c r="T64" s="10" t="str">
        <f>IF(LEN(Table2[[#This Row],[!Length]]) &gt; 0, Table2[[#This Row],[!Length]], "rg:None")</f>
        <v>rg:None</v>
      </c>
      <c r="U64" s="10" t="str">
        <f>IF(LEN(Table2[[#This Row],[!Name]]) &gt; 0, Table2[[#This Row],[!Name]], "rg:None")</f>
        <v>ICBCOrderedOn</v>
      </c>
      <c r="V64" s="10" t="str">
        <f>IF(LEN(Table2[[#This Row],[!Description]]) &gt; 0, Table2[[#This Row],[!Description]], "rg:None")</f>
        <v>TO BE DETERMINED</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162</v>
      </c>
      <c r="E65" s="43" t="s">
        <v>378</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ICBCRegOwnerName</v>
      </c>
      <c r="V65" s="10" t="str">
        <f>IF(LEN(Table2[[#This Row],[!Description]]) &gt; 0, Table2[[#This Row],[!Description]], "rg:None")</f>
        <v>The name of the registered owner of the vehicle - per ICBC.</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163</v>
      </c>
      <c r="E66" s="27" t="s">
        <v>339</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ICBCRegOwnerAddr1</v>
      </c>
      <c r="V66" s="10" t="str">
        <f>IF(LEN(Table2[[#This Row],[!Description]]) &gt; 0, Table2[[#This Row],[!Description]], "rg:None")</f>
        <v>Owners address line 1</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164</v>
      </c>
      <c r="E67" s="27" t="s">
        <v>340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ICBCRegOwnerAddr2</v>
      </c>
      <c r="V67" s="10" t="str">
        <f>IF(LEN(Table2[[#This Row],[!Description]]) &gt; 0, Table2[[#This Row],[!Description]], "rg:None")</f>
        <v>Owners address line 2</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165</v>
      </c>
      <c r="E68" s="27" t="s">
        <v>341</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ICBCRegOwnerCity</v>
      </c>
      <c r="V68" s="10" t="str">
        <f>IF(LEN(Table2[[#This Row],[!Description]]) &gt; 0, Table2[[#This Row],[!Description]], "rg:None")</f>
        <v>Owners address city</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166</v>
      </c>
      <c r="E69" s="27" t="s">
        <v>342</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ICBCRegOwnerProv</v>
      </c>
      <c r="V69" s="10" t="str">
        <f>IF(LEN(Table2[[#This Row],[!Description]]) &gt; 0, Table2[[#This Row],[!Description]], "rg:None")</f>
        <v xml:space="preserve">Owners address Province </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167</v>
      </c>
      <c r="E70" s="27" t="s">
        <v>343</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ICBCRegOwnerPostalCode</v>
      </c>
      <c r="V70" s="10" t="str">
        <f>IF(LEN(Table2[[#This Row],[!Description]]) &gt; 0, Table2[[#This Row],[!Description]], "rg:None")</f>
        <v>Owners address Postal Code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168</v>
      </c>
      <c r="E71" s="43" t="s">
        <v>402</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ICBCRegOwnerStatus</v>
      </c>
      <c r="V71" s="10" t="str">
        <f>IF(LEN(Table2[[#This Row],[!Description]]) &gt; 0, Table2[[#This Row],[!Description]], "rg:None")</f>
        <v>The status (as defined by ICBC) of the registered owner of the vehicle.</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5" t="s">
        <v>169</v>
      </c>
      <c r="E72" s="27" t="s">
        <v>344</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ICBCRegOwnerRODL</v>
      </c>
      <c r="V72" s="10" t="str">
        <f>IF(LEN(Table2[[#This Row],[!Description]]) &gt; 0, Table2[[#This Row],[!Description]], "rg:None")</f>
        <v>Registered Owners Driver Licence number</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48" t="s">
        <v>408</v>
      </c>
      <c r="E73" s="27" t="s">
        <v>345</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ICBCRegOwnerPODL</v>
      </c>
      <c r="V73" s="10" t="str">
        <f>IF(LEN(Table2[[#This Row],[!Description]]) &gt; 0, Table2[[#This Row],[!Description]], "rg:None")</f>
        <v>Previous Owners Driver Licence number</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54" t="s">
        <v>71</v>
      </c>
      <c r="B74" s="54" t="s">
        <v>8</v>
      </c>
      <c r="C74" s="3">
        <v>255</v>
      </c>
      <c r="D74" s="54" t="s">
        <v>416</v>
      </c>
      <c r="E74" s="27" t="s">
        <v>312</v>
      </c>
      <c r="F74" s="6"/>
      <c r="G74" s="19"/>
      <c r="H74" s="19"/>
      <c r="I74" s="4" t="str">
        <f>IF(LEN(A74) &gt; 0,"Defs","-")</f>
        <v>Defs</v>
      </c>
      <c r="J74" s="16" t="str">
        <f>IF(Table2[[#This Row],[!Type]]=J$1, J$1,"rg:None")</f>
        <v>rg:None</v>
      </c>
      <c r="K74" s="33" t="str">
        <f>IF(Table2[[#This Row],[!Type]]=K$1, K$1,"rg:None")</f>
        <v>rg:None</v>
      </c>
      <c r="L74" s="16" t="str">
        <f>IF(Table2[[#This Row],[!Type]]=L$1, L$1,"rg:None")</f>
        <v>rg:None</v>
      </c>
      <c r="M74" s="16" t="str">
        <f>IF(Table2[[#This Row],[!Type]]=M$1, M$1,"rg:None")</f>
        <v>rg:None</v>
      </c>
      <c r="N74" s="16" t="str">
        <f>IF(Table2[[#This Row],[!Type]]=N$1, N$1,"rg:None")</f>
        <v>rg:None</v>
      </c>
      <c r="O74" s="16"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6">
        <f>IF(LEN(Table2[[#This Row],[!Length]]) &gt; 0, Table2[[#This Row],[!Length]], "rg:None")</f>
        <v>255</v>
      </c>
      <c r="U74" s="16" t="str">
        <f>IF(LEN(Table2[[#This Row],[!Name]]) &gt; 0, Table2[[#This Row],[!Name]], "rg:None")</f>
        <v>ICBCLicencePlateNumber</v>
      </c>
      <c r="V74" s="16" t="str">
        <f>IF(LEN(Table2[[#This Row],[!Description]]) &gt; 0, Table2[[#This Row],[!Description]], "rg:None")</f>
        <v>The License Plate Number for the vehicle</v>
      </c>
      <c r="W74" s="16" t="str">
        <f>IF(LEN(Table2[[#This Row],[!FK]])&gt;0,Table2[[#This Row],[!FK]],"rg:None")</f>
        <v>rg:None</v>
      </c>
      <c r="X74" s="16" t="str">
        <f>IF(LEN(concatif2(A:A,Table2[[#This Row],[!Table]],G:G,"Y",D:D,",")) &gt; 0,"rg:[ { 'req' : '"&amp;concatif2(A:A,Table2[[#This Row],[!Table]],G:G,"Y",D:D,"' }, { 'req': '")&amp;"'} ]","rg:[]")</f>
        <v>rg:[ { 'req' : 'id'} ]</v>
      </c>
      <c r="Y74" s="16" t="str">
        <f>IF(LEN(Table2[[#This Row],[!Unique]])&gt;0,"rg:True","rg:None")</f>
        <v>rg:None</v>
      </c>
    </row>
    <row r="75" spans="1:25" x14ac:dyDescent="0.3">
      <c r="A75" s="54" t="s">
        <v>71</v>
      </c>
      <c r="B75" s="54" t="s">
        <v>8</v>
      </c>
      <c r="C75" s="3">
        <v>255</v>
      </c>
      <c r="D75" s="54" t="s">
        <v>417</v>
      </c>
      <c r="E75" s="43" t="s">
        <v>356</v>
      </c>
      <c r="F75" s="6"/>
      <c r="G75" s="19"/>
      <c r="H75" s="19"/>
      <c r="I75" s="4" t="str">
        <f>IF(LEN(A75) &gt; 0,"Defs","-")</f>
        <v>Defs</v>
      </c>
      <c r="J75" s="16" t="str">
        <f>IF(Table2[[#This Row],[!Type]]=J$1, J$1,"rg:None")</f>
        <v>rg:None</v>
      </c>
      <c r="K75" s="33" t="str">
        <f>IF(Table2[[#This Row],[!Type]]=K$1, K$1,"rg:None")</f>
        <v>rg:None</v>
      </c>
      <c r="L75" s="16" t="str">
        <f>IF(Table2[[#This Row],[!Type]]=L$1, L$1,"rg:None")</f>
        <v>rg:None</v>
      </c>
      <c r="M75" s="16" t="str">
        <f>IF(Table2[[#This Row],[!Type]]=M$1, M$1,"rg:None")</f>
        <v>rg:None</v>
      </c>
      <c r="N75" s="16" t="str">
        <f>IF(Table2[[#This Row],[!Type]]=N$1, N$1,"rg:None")</f>
        <v>rg:None</v>
      </c>
      <c r="O75" s="16"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6">
        <f>IF(LEN(Table2[[#This Row],[!Length]]) &gt; 0, Table2[[#This Row],[!Length]], "rg:None")</f>
        <v>255</v>
      </c>
      <c r="U75" s="16" t="str">
        <f>IF(LEN(Table2[[#This Row],[!Name]]) &gt; 0, Table2[[#This Row],[!Name]], "rg:None")</f>
        <v>ICBCVehicleIdentificationNumber</v>
      </c>
      <c r="V75"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5" s="16" t="str">
        <f>IF(LEN(Table2[[#This Row],[!FK]])&gt;0,Table2[[#This Row],[!FK]],"rg:None")</f>
        <v>rg:None</v>
      </c>
      <c r="X75" s="16" t="str">
        <f>IF(LEN(concatif2(A:A,Table2[[#This Row],[!Table]],G:G,"Y",D:D,",")) &gt; 0,"rg:[ { 'req' : '"&amp;concatif2(A:A,Table2[[#This Row],[!Table]],G:G,"Y",D:D,"' }, { 'req': '")&amp;"'} ]","rg:[]")</f>
        <v>rg:[ { 'req' : 'id'} ]</v>
      </c>
      <c r="Y75" s="16" t="str">
        <f>IF(LEN(Table2[[#This Row],[!Unique]])&gt;0,"rg:True","rg:None")</f>
        <v>rg:None</v>
      </c>
    </row>
    <row r="76" spans="1:25" x14ac:dyDescent="0.3">
      <c r="A76" s="3" t="s">
        <v>71</v>
      </c>
      <c r="B76" s="3" t="s">
        <v>8</v>
      </c>
      <c r="C76" s="3">
        <v>255</v>
      </c>
      <c r="D76" s="5" t="s">
        <v>170</v>
      </c>
      <c r="E76" s="27" t="s">
        <v>346</v>
      </c>
      <c r="F76" s="3" t="s">
        <v>6</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NSCClientNum</v>
      </c>
      <c r="V76" s="10" t="str">
        <f>IF(LEN(Table2[[#This Row],[!Description]]) &gt; 0, Table2[[#This Row],[!Description]], "rg:None")</f>
        <v>National Safety Code Carrier Number on ICBC client system</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row>
    <row r="77" spans="1:25" x14ac:dyDescent="0.3">
      <c r="A77" s="3" t="s">
        <v>71</v>
      </c>
      <c r="B77" s="3" t="s">
        <v>8</v>
      </c>
      <c r="C77" s="3">
        <v>255</v>
      </c>
      <c r="D77" s="5" t="s">
        <v>171</v>
      </c>
      <c r="E77" s="27" t="s">
        <v>347</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NSCCarrierName</v>
      </c>
      <c r="V77" s="10" t="str">
        <f>IF(LEN(Table2[[#This Row],[!Description]]) &gt; 0, Table2[[#This Row],[!Description]], "rg:None")</f>
        <v>National Safety Code Carrier Name on ICBC client system</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8</v>
      </c>
      <c r="C78" s="3">
        <v>255</v>
      </c>
      <c r="D78" s="5" t="s">
        <v>172</v>
      </c>
      <c r="E78" s="43" t="s">
        <v>379</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NSCCarrierConditions</v>
      </c>
      <c r="V78" s="10" t="str">
        <f>IF(LEN(Table2[[#This Row],[!Description]]) &gt; 0, Table2[[#This Row],[!Description]], "rg:None")</f>
        <v>Conditions imposed on the carrier (bus owner) within NSC</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8</v>
      </c>
      <c r="C79" s="3">
        <v>255</v>
      </c>
      <c r="D79" s="5" t="s">
        <v>173</v>
      </c>
      <c r="E79" s="27" t="s">
        <v>348</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NSCCarrierSafetyRating</v>
      </c>
      <c r="V79" s="10" t="str">
        <f>IF(LEN(Table2[[#This Row],[!Description]]) &gt; 0, Table2[[#This Row],[!Description]], "rg:None")</f>
        <v>Carrier safety rating ex - satisfatory, SAT-unaudited etc..</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8</v>
      </c>
      <c r="C80" s="3">
        <v>255</v>
      </c>
      <c r="D80" s="5" t="s">
        <v>174</v>
      </c>
      <c r="E80" s="52" t="s">
        <v>410</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NSCPolicyNumber</v>
      </c>
      <c r="V80" s="10" t="str">
        <f>IF(LEN(Table2[[#This Row],[!Description]]) &gt; 0, Table2[[#This Row],[!Description]], "rg:None")</f>
        <v>From NSC - The number of the carrier (NSC Clients) necessary insurance required to operate the vehicle.</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25</v>
      </c>
      <c r="C81" s="3"/>
      <c r="D81" s="5" t="s">
        <v>175</v>
      </c>
      <c r="E81" s="52" t="s">
        <v>411</v>
      </c>
      <c r="F81" s="3" t="s">
        <v>6</v>
      </c>
      <c r="G81" s="4"/>
      <c r="H81" s="4"/>
      <c r="I81" s="5" t="str">
        <f t="shared" si="2"/>
        <v>Defs</v>
      </c>
      <c r="J81" t="str">
        <f>IF(Table2[[#This Row],[!Type]]=J$1, J$1,"rg:None")</f>
        <v>rg:None</v>
      </c>
      <c r="K81" t="str">
        <f>IF(Table2[[#This Row],[!Type]]=K$1, K$1,"rg:None")</f>
        <v>rg:None</v>
      </c>
      <c r="L81" t="str">
        <f>IF(Table2[[#This Row],[!Type]]=L$1, L$1,"rg:None")</f>
        <v>datetime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rg:None</v>
      </c>
      <c r="S81" s="5" t="str">
        <f>IF(Table2[[#This Row],[!Type]]=S$1, S$1,"rg:None")</f>
        <v>rg:None</v>
      </c>
      <c r="T81" s="10" t="str">
        <f>IF(LEN(Table2[[#This Row],[!Length]]) &gt; 0, Table2[[#This Row],[!Length]], "rg:None")</f>
        <v>rg:None</v>
      </c>
      <c r="U81" s="10" t="str">
        <f>IF(LEN(Table2[[#This Row],[!Name]]) &gt; 0, Table2[[#This Row],[!Name]], "rg:None")</f>
        <v>NSCPolicyEffectiveDate</v>
      </c>
      <c r="V81" s="10" t="str">
        <f>IF(LEN(Table2[[#This Row],[!Description]]) &gt; 0, Table2[[#This Row],[!Description]], "rg:None")</f>
        <v>From NSC - The effective data of the policy.</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25</v>
      </c>
      <c r="C82" s="3"/>
      <c r="D82" s="5" t="s">
        <v>176</v>
      </c>
      <c r="E82" s="52" t="s">
        <v>412</v>
      </c>
      <c r="F82" s="3" t="s">
        <v>6</v>
      </c>
      <c r="G82" s="4"/>
      <c r="H82" s="4"/>
      <c r="I82" s="5" t="str">
        <f t="shared" si="2"/>
        <v>Defs</v>
      </c>
      <c r="J82" t="str">
        <f>IF(Table2[[#This Row],[!Type]]=J$1, J$1,"rg:None")</f>
        <v>rg:None</v>
      </c>
      <c r="K82" t="str">
        <f>IF(Table2[[#This Row],[!Type]]=K$1, K$1,"rg:None")</f>
        <v>rg:None</v>
      </c>
      <c r="L82" t="str">
        <f>IF(Table2[[#This Row],[!Type]]=L$1, L$1,"rg:None")</f>
        <v>datetime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rg:None</v>
      </c>
      <c r="S82" s="5" t="str">
        <f>IF(Table2[[#This Row],[!Type]]=S$1, S$1,"rg:None")</f>
        <v>rg:None</v>
      </c>
      <c r="T82" s="10" t="str">
        <f>IF(LEN(Table2[[#This Row],[!Length]]) &gt; 0, Table2[[#This Row],[!Length]], "rg:None")</f>
        <v>rg:None</v>
      </c>
      <c r="U82" s="10" t="str">
        <f>IF(LEN(Table2[[#This Row],[!Name]]) &gt; 0, Table2[[#This Row],[!Name]], "rg:None")</f>
        <v>NSCPolicyStatusDate</v>
      </c>
      <c r="V82" s="10" t="str">
        <f>IF(LEN(Table2[[#This Row],[!Description]]) &gt; 0, Table2[[#This Row],[!Description]], "rg:None")</f>
        <v>From NSC - The date the status of the policy was established.</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71</v>
      </c>
      <c r="B83" s="3" t="s">
        <v>25</v>
      </c>
      <c r="C83" s="3"/>
      <c r="D83" s="5" t="s">
        <v>177</v>
      </c>
      <c r="E83" s="52" t="s">
        <v>413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NSCPolicyExpiryDate</v>
      </c>
      <c r="V83" s="10" t="str">
        <f>IF(LEN(Table2[[#This Row],[!Description]]) &gt; 0, Table2[[#This Row],[!Description]], "rg:None")</f>
        <v>From NSC - The data of expiration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71</v>
      </c>
      <c r="B84" s="3" t="s">
        <v>8</v>
      </c>
      <c r="C84" s="3">
        <v>255</v>
      </c>
      <c r="D84" s="5" t="s">
        <v>178</v>
      </c>
      <c r="E84" s="52" t="s">
        <v>414</v>
      </c>
      <c r="F84" s="3" t="s">
        <v>6</v>
      </c>
      <c r="G84" s="4"/>
      <c r="H84" s="4"/>
      <c r="I84" s="5" t="str">
        <f t="shared" si="2"/>
        <v>Defs</v>
      </c>
      <c r="J84" t="str">
        <f>IF(Table2[[#This Row],[!Type]]=J$1, J$1,"rg:None")</f>
        <v>rg:None</v>
      </c>
      <c r="K84" t="str">
        <f>IF(Table2[[#This Row],[!Type]]=K$1, K$1,"rg:None")</f>
        <v>rg:None</v>
      </c>
      <c r="L84" t="str">
        <f>IF(Table2[[#This Row],[!Type]]=L$1, L$1,"rg:None")</f>
        <v>rg:None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string</v>
      </c>
      <c r="S84" s="5" t="str">
        <f>IF(Table2[[#This Row],[!Type]]=S$1, S$1,"rg:None")</f>
        <v>rg:None</v>
      </c>
      <c r="T84" s="10">
        <f>IF(LEN(Table2[[#This Row],[!Length]]) &gt; 0, Table2[[#This Row],[!Length]], "rg:None")</f>
        <v>255</v>
      </c>
      <c r="U84" s="10" t="str">
        <f>IF(LEN(Table2[[#This Row],[!Name]]) &gt; 0, Table2[[#This Row],[!Name]], "rg:None")</f>
        <v>NSCPolicyStatus</v>
      </c>
      <c r="V84" s="10" t="str">
        <f>IF(LEN(Table2[[#This Row],[!Description]]) &gt; 0, Table2[[#This Row],[!Description]], "rg:None")</f>
        <v>From NSC - The latest status of the policy.</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71</v>
      </c>
      <c r="B85" s="3" t="s">
        <v>8</v>
      </c>
      <c r="C85" s="3">
        <v>255</v>
      </c>
      <c r="D85" s="5" t="s">
        <v>144</v>
      </c>
      <c r="E85" s="52" t="s">
        <v>415</v>
      </c>
      <c r="F85" s="3" t="s">
        <v>6</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string</v>
      </c>
      <c r="S85" s="5" t="str">
        <f>IF(Table2[[#This Row],[!Type]]=S$1, S$1,"rg:None")</f>
        <v>rg:None</v>
      </c>
      <c r="T85" s="10">
        <f>IF(LEN(Table2[[#This Row],[!Length]]) &gt; 0, Table2[[#This Row],[!Length]], "rg:None")</f>
        <v>255</v>
      </c>
      <c r="U85" s="10" t="str">
        <f>IF(LEN(Table2[[#This Row],[!Name]]) &gt; 0, Table2[[#This Row],[!Name]], "rg:None")</f>
        <v>NSCPlateDecal</v>
      </c>
      <c r="V85" s="10" t="str">
        <f>IF(LEN(Table2[[#This Row],[!Description]]) &gt; 0, Table2[[#This Row],[!Description]], "rg:None")</f>
        <v>From NSC - The plate decal as defined by NSC on the vehicle</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73</v>
      </c>
      <c r="B86" s="3" t="s">
        <v>5</v>
      </c>
      <c r="C86" s="3"/>
      <c r="D86" s="3" t="s">
        <v>73</v>
      </c>
      <c r="E86" s="27" t="s">
        <v>349</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table</v>
      </c>
      <c r="T86" s="10" t="str">
        <f>IF(LEN(Table2[[#This Row],[!Length]]) &gt; 0, Table2[[#This Row],[!Length]], "rg:None")</f>
        <v>rg:None</v>
      </c>
      <c r="U86" s="10" t="str">
        <f>IF(LEN(Table2[[#This Row],[!Name]]) &gt; 0, Table2[[#This Row],[!Name]], "rg:None")</f>
        <v>Inspection</v>
      </c>
      <c r="V86" s="10" t="str">
        <f>IF(LEN(Table2[[#This Row],[!Description]]) &gt; 0, Table2[[#This Row],[!Description]], "rg:None")</f>
        <v>School Bus inspection details supplementary to the RIP inspection</v>
      </c>
      <c r="W86" s="10" t="str">
        <f>IF(LEN(Table2[[#This Row],[!FK]])&gt;0,Table2[[#This Row],[!FK]],"rg:None")</f>
        <v>rg:None</v>
      </c>
      <c r="X86" s="10" t="str">
        <f>IF(LEN(concatif2(A:A,Table2[[#This Row],[!Table]],G:G,"Y",D:D,",")) &gt; 0,"rg:[ { 'req' : '"&amp;concatif2(A:A,Table2[[#This Row],[!Table]],G:G,"Y",D:D,"' }, { 'req': '")&amp;"'} ]","rg:[]")</f>
        <v>rg:[ { 'req' : 'id' }, { 'req': 'inspectionDate' }, { 'req': 'inspectionTypeCode' }, { 'req': 'inspectionResultCode' }, { 'req': 'createdDate'} ]</v>
      </c>
      <c r="Y86" s="10" t="str">
        <f>IF(LEN(Table2[[#This Row],[!Unique]])&gt;0,"rg:True","rg:None")</f>
        <v>rg:None</v>
      </c>
    </row>
    <row r="87" spans="1:25" x14ac:dyDescent="0.3">
      <c r="A87" s="3" t="s">
        <v>73</v>
      </c>
      <c r="B87" s="3" t="s">
        <v>7</v>
      </c>
      <c r="C87" s="3"/>
      <c r="D87" s="3" t="s">
        <v>7</v>
      </c>
      <c r="E87" s="42" t="s">
        <v>308</v>
      </c>
      <c r="F87" s="3" t="s">
        <v>6</v>
      </c>
      <c r="G87" s="4" t="s">
        <v>142</v>
      </c>
      <c r="H87" s="45" t="s">
        <v>142</v>
      </c>
      <c r="I87" s="5" t="str">
        <f t="shared" si="2"/>
        <v>Defs</v>
      </c>
      <c r="J87" t="str">
        <f>IF(Table2[[#This Row],[!Type]]=J$1, J$1,"rg:None")</f>
        <v>rg:None</v>
      </c>
      <c r="K87" t="str">
        <f>IF(Table2[[#This Row],[!Type]]=K$1, K$1,"rg:None")</f>
        <v>rg:None</v>
      </c>
      <c r="L87" t="str">
        <f>IF(Table2[[#This Row],[!Type]]=L$1, L$1,"rg:None")</f>
        <v>rg:None</v>
      </c>
      <c r="M87" t="str">
        <f>IF(Table2[[#This Row],[!Type]]=M$1, M$1,"rg:None")</f>
        <v>id</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id</v>
      </c>
      <c r="V87" s="10" t="str">
        <f>IF(LEN(Table2[[#This Row],[!Description]]) &gt; 0, Table2[[#This Row],[!Description]], "rg:None")</f>
        <v>A system-generated unique identifier for an Inspection</v>
      </c>
      <c r="W87" s="10" t="str">
        <f>IF(LEN(Table2[[#This Row],[!FK]])&gt;0,Table2[[#This Row],[!FK]],"rg:None")</f>
        <v>rg:None</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rg:True</v>
      </c>
    </row>
    <row r="88" spans="1:25" x14ac:dyDescent="0.3">
      <c r="A88" s="3" t="s">
        <v>73</v>
      </c>
      <c r="B88" s="3" t="s">
        <v>9</v>
      </c>
      <c r="C88" s="3"/>
      <c r="D88" s="3" t="s">
        <v>39</v>
      </c>
      <c r="E88" s="27"/>
      <c r="F88" s="3" t="s">
        <v>4</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ref</v>
      </c>
      <c r="R88" s="5" t="str">
        <f>IF(Table2[[#This Row],[!Type]]=R$1, R$1,"rg:None")</f>
        <v>rg:None</v>
      </c>
      <c r="S88" s="5" t="str">
        <f>IF(Table2[[#This Row],[!Type]]=S$1, S$1,"rg:None")</f>
        <v>rg:None</v>
      </c>
      <c r="T88" s="10" t="str">
        <f>IF(LEN(Table2[[#This Row],[!Length]]) &gt; 0, Table2[[#This Row],[!Length]], "rg:None")</f>
        <v>rg:None</v>
      </c>
      <c r="U88" s="10" t="str">
        <f>IF(LEN(Table2[[#This Row],[!Name]]) &gt; 0, Table2[[#This Row],[!Name]], "rg:None")</f>
        <v>schoolBus</v>
      </c>
      <c r="V88" s="10" t="str">
        <f>IF(LEN(Table2[[#This Row],[!Description]]) &gt; 0, Table2[[#This Row],[!Description]], "rg:None")</f>
        <v>rg:None</v>
      </c>
      <c r="W88" s="10" t="str">
        <f>IF(LEN(Table2[[#This Row],[!FK]])&gt;0,Table2[[#This Row],[!FK]],"rg:None")</f>
        <v>SchoolBus</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9</v>
      </c>
      <c r="C89" s="3"/>
      <c r="D89" s="3" t="s">
        <v>74</v>
      </c>
      <c r="E89" s="27" t="s">
        <v>75</v>
      </c>
      <c r="F89" s="3" t="s">
        <v>0</v>
      </c>
      <c r="G89" s="4"/>
      <c r="H89" s="4"/>
      <c r="I89" s="5" t="str">
        <f t="shared" ref="I89:I183" si="3">IF(LEN(A89) &gt; 0,"Defs","-")</f>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ref</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inspector</v>
      </c>
      <c r="V89" s="10" t="str">
        <f>IF(LEN(Table2[[#This Row],[!Description]]) &gt; 0, Table2[[#This Row],[!Description]], "rg:None")</f>
        <v>Defaults for a new inspection to the current user,  but can be changed as needed.</v>
      </c>
      <c r="W89" s="10" t="str">
        <f>IF(LEN(Table2[[#This Row],[!FK]])&gt;0,Table2[[#This Row],[!FK]],"rg:None")</f>
        <v>User</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25</v>
      </c>
      <c r="C90" s="3"/>
      <c r="D90" s="3" t="s">
        <v>76</v>
      </c>
      <c r="E90" s="27" t="s">
        <v>350</v>
      </c>
      <c r="F90" s="3" t="s">
        <v>6</v>
      </c>
      <c r="G90" s="45" t="s">
        <v>142</v>
      </c>
      <c r="H90" s="4"/>
      <c r="I90" s="5" t="str">
        <f t="shared" si="3"/>
        <v>Defs</v>
      </c>
      <c r="J90" t="str">
        <f>IF(Table2[[#This Row],[!Type]]=J$1, J$1,"rg:None")</f>
        <v>rg:None</v>
      </c>
      <c r="K90" t="str">
        <f>IF(Table2[[#This Row],[!Type]]=K$1, K$1,"rg:None")</f>
        <v>rg:None</v>
      </c>
      <c r="L90" t="str">
        <f>IF(Table2[[#This Row],[!Type]]=L$1, L$1,"rg:None")</f>
        <v>datetime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inspectionDate</v>
      </c>
      <c r="V90" s="10" t="str">
        <f>IF(LEN(Table2[[#This Row],[!Description]]) &gt; 0, Table2[[#This Row],[!Description]], "rg:None")</f>
        <v>The date and time the inspection was conducted.</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8</v>
      </c>
      <c r="C91" s="3">
        <v>255</v>
      </c>
      <c r="D91" s="24" t="s">
        <v>271</v>
      </c>
      <c r="E91" s="27" t="s">
        <v>77</v>
      </c>
      <c r="F91" s="3" t="s">
        <v>6</v>
      </c>
      <c r="G91" s="45" t="s">
        <v>142</v>
      </c>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inspectionTypeCode</v>
      </c>
      <c r="V91" s="10" t="str">
        <f>IF(LEN(Table2[[#This Row],[!Description]]) &gt; 0, Table2[[#This Row],[!Description]], "rg:None")</f>
        <v>The type of the inspection - enumerated type of Annual or Re-inspection,  pulled from the School Bus record at the time the inspection record is created</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73</v>
      </c>
      <c r="B92" s="3" t="s">
        <v>8</v>
      </c>
      <c r="C92" s="3">
        <v>255</v>
      </c>
      <c r="D92" s="24" t="s">
        <v>272</v>
      </c>
      <c r="E92" s="27" t="s">
        <v>78</v>
      </c>
      <c r="F92" s="3" t="s">
        <v>6</v>
      </c>
      <c r="G92" s="45" t="s">
        <v>142</v>
      </c>
      <c r="H92" s="4"/>
      <c r="I92" s="5" t="str">
        <f t="shared" si="3"/>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10">
        <f>IF(LEN(Table2[[#This Row],[!Length]]) &gt; 0, Table2[[#This Row],[!Length]], "rg:None")</f>
        <v>255</v>
      </c>
      <c r="U92" s="10" t="str">
        <f>IF(LEN(Table2[[#This Row],[!Name]]) &gt; 0, Table2[[#This Row],[!Name]], "rg:None")</f>
        <v>inspectionResultCode</v>
      </c>
      <c r="V92" s="10" t="str">
        <f>IF(LEN(Table2[[#This Row],[!Description]]) &gt; 0, Table2[[#This Row],[!Description]], "rg:None")</f>
        <v>The result of the inspection - enumerated type of Passed or Failed. The detailed results of the inspection are in RIP and not duplicated here.</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73</v>
      </c>
      <c r="B93" s="3" t="s">
        <v>8</v>
      </c>
      <c r="C93" s="3">
        <v>2048</v>
      </c>
      <c r="D93" s="3" t="s">
        <v>58</v>
      </c>
      <c r="E93" s="27" t="s">
        <v>79</v>
      </c>
      <c r="F93" s="3" t="s">
        <v>6</v>
      </c>
      <c r="G93" s="4"/>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2048</v>
      </c>
      <c r="U93" s="10" t="str">
        <f>IF(LEN(Table2[[#This Row],[!Name]]) &gt; 0, Table2[[#This Row],[!Name]], "rg:None")</f>
        <v>notes</v>
      </c>
      <c r="V93" s="10" t="str">
        <f>IF(LEN(Table2[[#This Row],[!Description]]) &gt; 0, Table2[[#This Row],[!Description]], "rg:None")</f>
        <v>A note about the inspection independent of what goes into the RIP inspection - this is just for the School Bus application.</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73</v>
      </c>
      <c r="B94" s="3" t="s">
        <v>8</v>
      </c>
      <c r="C94" s="3">
        <v>255</v>
      </c>
      <c r="D94" s="3" t="s">
        <v>143</v>
      </c>
      <c r="E94" s="27" t="s">
        <v>80</v>
      </c>
      <c r="F94" s="3" t="s">
        <v>6</v>
      </c>
      <c r="G94" s="4"/>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RIPInspectionId</v>
      </c>
      <c r="V94"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22" t="s">
        <v>73</v>
      </c>
      <c r="B95" s="22" t="s">
        <v>25</v>
      </c>
      <c r="C95" s="3"/>
      <c r="D95" s="22" t="s">
        <v>235</v>
      </c>
      <c r="E95" s="22" t="s">
        <v>351</v>
      </c>
      <c r="F95" s="6"/>
      <c r="G95" s="46" t="s">
        <v>142</v>
      </c>
      <c r="H95" s="19"/>
      <c r="I95" s="4" t="str">
        <f t="shared" ref="I95:I127" si="4">IF(LEN(A95) &gt; 0,"Defs","-")</f>
        <v>Defs</v>
      </c>
      <c r="J95" s="16" t="str">
        <f>IF(Table2[[#This Row],[!Type]]=J$1, J$1,"rg:None")</f>
        <v>rg:None</v>
      </c>
      <c r="K95" s="16" t="str">
        <f>IF(Table2[[#This Row],[!Type]]=K$1, K$1,"rg:None")</f>
        <v>rg:None</v>
      </c>
      <c r="L95" s="16" t="str">
        <f>IF(Table2[[#This Row],[!Type]]=L$1, L$1,"rg:None")</f>
        <v>datetime</v>
      </c>
      <c r="M95" s="16" t="str">
        <f>IF(Table2[[#This Row],[!Type]]=M$1, M$1,"rg:None")</f>
        <v>rg:None</v>
      </c>
      <c r="N95" s="16" t="str">
        <f>IF(Table2[[#This Row],[!Type]]=N$1, N$1,"rg:None")</f>
        <v>rg:None</v>
      </c>
      <c r="O95" s="16"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6" t="str">
        <f>IF(LEN(Table2[[#This Row],[!Length]]) &gt; 0, Table2[[#This Row],[!Length]], "rg:None")</f>
        <v>rg:None</v>
      </c>
      <c r="U95" s="16" t="str">
        <f>IF(LEN(Table2[[#This Row],[!Name]]) &gt; 0, Table2[[#This Row],[!Name]], "rg:None")</f>
        <v>createdDate</v>
      </c>
      <c r="V95" s="16" t="str">
        <f>IF(LEN(Table2[[#This Row],[!Description]]) &gt; 0, Table2[[#This Row],[!Description]], "rg:None")</f>
        <v>Record creation date and time</v>
      </c>
      <c r="W95" s="16" t="str">
        <f>IF(LEN(Table2[[#This Row],[!FK]])&gt;0,Table2[[#This Row],[!FK]],"rg:None")</f>
        <v>rg:None</v>
      </c>
      <c r="X95" s="16" t="str">
        <f>IF(LEN(concatif2(A:A,Table2[[#This Row],[!Table]],G:G,"Y",D:D,",")) &gt; 0,"rg:[ { 'req' : '"&amp;concatif2(A:A,Table2[[#This Row],[!Table]],G:G,"Y",D:D,"' }, { 'req': '")&amp;"'} ]","rg:[]")</f>
        <v>rg:[ { 'req' : 'id' }, { 'req': 'inspectionDate' }, { 'req': 'inspectionTypeCode' }, { 'req': 'inspectionResultCode' }, { 'req': 'createdDate'} ]</v>
      </c>
      <c r="Y95" s="16" t="str">
        <f>IF(LEN(Table2[[#This Row],[!Unique]])&gt;0,"rg:True","rg:None")</f>
        <v>rg:None</v>
      </c>
    </row>
    <row r="96" spans="1:25" x14ac:dyDescent="0.3">
      <c r="A96" s="24" t="s">
        <v>240</v>
      </c>
      <c r="B96" s="3" t="s">
        <v>5</v>
      </c>
      <c r="C96" s="3"/>
      <c r="D96" s="24" t="s">
        <v>240</v>
      </c>
      <c r="E96" s="28" t="s">
        <v>245</v>
      </c>
      <c r="F96" s="3" t="s">
        <v>6</v>
      </c>
      <c r="G96" s="4"/>
      <c r="H96" s="4"/>
      <c r="I96" s="5" t="str">
        <f t="shared" si="4"/>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table</v>
      </c>
      <c r="T96" s="10" t="str">
        <f>IF(LEN(Table2[[#This Row],[!Length]]) &gt; 0, Table2[[#This Row],[!Length]], "rg:None")</f>
        <v>rg:None</v>
      </c>
      <c r="U96" s="10" t="str">
        <f>IF(LEN(Table2[[#This Row],[!Name]]) &gt; 0, Table2[[#This Row],[!Name]], "rg:None")</f>
        <v>Note</v>
      </c>
      <c r="V96" s="10" t="str">
        <f>IF(LEN(Table2[[#This Row],[!Description]]) &gt; 0, Table2[[#This Row],[!Description]], "rg:None")</f>
        <v>Notes entered by users about instance of entities - e.g. School Buses and School Bus Owners</v>
      </c>
      <c r="W96" s="10" t="str">
        <f>IF(LEN(Table2[[#This Row],[!FK]])&gt;0,Table2[[#This Row],[!FK]],"rg:None")</f>
        <v>rg:None</v>
      </c>
      <c r="X96" s="10" t="str">
        <f>IF(LEN(concatif2(A:A,Table2[[#This Row],[!Table]],G:G,"Y",D:D,",")) &gt; 0,"rg:[ { 'req' : '"&amp;concatif2(A:A,Table2[[#This Row],[!Table]],G:G,"Y",D:D,"' }, { 'req': '")&amp;"'} ]","rg:[]")</f>
        <v>rg:[ { 'req' : 'id' }, { 'req': 'noteText'} ]</v>
      </c>
      <c r="Y96" s="10" t="str">
        <f>IF(LEN(Table2[[#This Row],[!Unique]])&gt;0,"rg:True","rg:None")</f>
        <v>rg:None</v>
      </c>
    </row>
    <row r="97" spans="1:25" x14ac:dyDescent="0.3">
      <c r="A97" s="24" t="s">
        <v>240</v>
      </c>
      <c r="B97" s="3" t="s">
        <v>7</v>
      </c>
      <c r="C97" s="3"/>
      <c r="D97" s="3" t="s">
        <v>7</v>
      </c>
      <c r="E97" s="27" t="s">
        <v>287</v>
      </c>
      <c r="F97" s="3" t="s">
        <v>6</v>
      </c>
      <c r="G97" s="4" t="s">
        <v>142</v>
      </c>
      <c r="H97" s="45" t="s">
        <v>142</v>
      </c>
      <c r="I97" s="5" t="str">
        <f t="shared" si="4"/>
        <v>Defs</v>
      </c>
      <c r="J97" t="str">
        <f>IF(Table2[[#This Row],[!Type]]=J$1, J$1,"rg:None")</f>
        <v>rg:None</v>
      </c>
      <c r="K97" t="str">
        <f>IF(Table2[[#This Row],[!Type]]=K$1, K$1,"rg:None")</f>
        <v>rg:None</v>
      </c>
      <c r="L97" t="str">
        <f>IF(Table2[[#This Row],[!Type]]=L$1, L$1,"rg:None")</f>
        <v>rg:None</v>
      </c>
      <c r="M97" t="str">
        <f>IF(Table2[[#This Row],[!Type]]=M$1, M$1,"rg:None")</f>
        <v>id</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rg:None</v>
      </c>
      <c r="T97" s="10" t="str">
        <f>IF(LEN(Table2[[#This Row],[!Length]]) &gt; 0, Table2[[#This Row],[!Length]], "rg:None")</f>
        <v>rg:None</v>
      </c>
      <c r="U97" s="10" t="str">
        <f>IF(LEN(Table2[[#This Row],[!Name]]) &gt; 0, Table2[[#This Row],[!Name]], "rg:None")</f>
        <v>id</v>
      </c>
      <c r="V97" s="10" t="str">
        <f>IF(LEN(Table2[[#This Row],[!Description]]) &gt; 0, Table2[[#This Row],[!Description]], "rg:None")</f>
        <v>A system-generated unique identifier for a Note</v>
      </c>
      <c r="W97" s="10" t="str">
        <f>IF(LEN(Table2[[#This Row],[!FK]])&gt;0,Table2[[#This Row],[!FK]],"rg:None")</f>
        <v>rg:None</v>
      </c>
      <c r="X97" s="10" t="str">
        <f>IF(LEN(concatif2(A:A,Table2[[#This Row],[!Table]],G:G,"Y",D:D,",")) &gt; 0,"rg:[ { 'req' : '"&amp;concatif2(A:A,Table2[[#This Row],[!Table]],G:G,"Y",D:D,"' }, { 'req': '")&amp;"'} ]","rg:[]")</f>
        <v>rg:[ { 'req' : 'id' }, { 'req': 'noteText'} ]</v>
      </c>
      <c r="Y97" s="10" t="str">
        <f>IF(LEN(Table2[[#This Row],[!Unique]])&gt;0,"rg:True","rg:None")</f>
        <v>rg:True</v>
      </c>
    </row>
    <row r="98" spans="1:25" x14ac:dyDescent="0.3">
      <c r="A98" s="24" t="s">
        <v>240</v>
      </c>
      <c r="B98" s="3" t="s">
        <v>8</v>
      </c>
      <c r="C98" s="3">
        <v>2048</v>
      </c>
      <c r="D98" s="24" t="s">
        <v>273</v>
      </c>
      <c r="E98" s="27" t="s">
        <v>37</v>
      </c>
      <c r="F98" s="3" t="s">
        <v>6</v>
      </c>
      <c r="G98" s="45" t="s">
        <v>142</v>
      </c>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string</v>
      </c>
      <c r="S98" s="5" t="str">
        <f>IF(Table2[[#This Row],[!Type]]=S$1, S$1,"rg:None")</f>
        <v>rg:None</v>
      </c>
      <c r="T98" s="10">
        <f>IF(LEN(Table2[[#This Row],[!Length]]) &gt; 0, Table2[[#This Row],[!Length]], "rg:None")</f>
        <v>2048</v>
      </c>
      <c r="U98" s="10" t="str">
        <f>IF(LEN(Table2[[#This Row],[!Name]]) &gt; 0, Table2[[#This Row],[!Name]], "rg:None")</f>
        <v>noteText</v>
      </c>
      <c r="V98" s="10" t="str">
        <f>IF(LEN(Table2[[#This Row],[!Description]]) &gt; 0, Table2[[#This Row],[!Description]], "rg:None")</f>
        <v>The contents of the note.</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240</v>
      </c>
      <c r="B99" s="3" t="s">
        <v>14</v>
      </c>
      <c r="C99" s="3"/>
      <c r="D99" s="3" t="s">
        <v>38</v>
      </c>
      <c r="E99" s="28" t="s">
        <v>246</v>
      </c>
      <c r="F99" s="3" t="s">
        <v>6</v>
      </c>
      <c r="G99" s="4"/>
      <c r="H99" s="4"/>
      <c r="I99" s="5" t="str">
        <f t="shared" si="4"/>
        <v>Defs</v>
      </c>
      <c r="J99" t="str">
        <f>IF(Table2[[#This Row],[!Type]]=J$1, J$1,"rg:None")</f>
        <v>boolean</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isNoLongerRelevant</v>
      </c>
      <c r="V99" s="10" t="str">
        <f>IF(LEN(Table2[[#This Row],[!Description]]) &gt; 0, Table2[[#This Row],[!Description]], "rg:None")</f>
        <v>A user set flag that the note is no longer relevant. Allows the note to be retained for historical reasons,  but identified to other users as no longer applicable.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rg:None</v>
      </c>
    </row>
    <row r="100" spans="1:25" x14ac:dyDescent="0.3">
      <c r="A100" s="24" t="s">
        <v>242</v>
      </c>
      <c r="B100" s="3" t="s">
        <v>5</v>
      </c>
      <c r="C100" s="3"/>
      <c r="D100" s="24" t="s">
        <v>242</v>
      </c>
      <c r="E100" s="28" t="s">
        <v>247</v>
      </c>
      <c r="F100" s="3" t="s">
        <v>6</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table</v>
      </c>
      <c r="T100" s="10" t="str">
        <f>IF(LEN(Table2[[#This Row],[!Length]]) &gt; 0, Table2[[#This Row],[!Length]], "rg:None")</f>
        <v>rg:None</v>
      </c>
      <c r="U100" s="10" t="str">
        <f>IF(LEN(Table2[[#This Row],[!Name]]) &gt; 0, Table2[[#This Row],[!Name]], "rg:None")</f>
        <v>Attachment</v>
      </c>
      <c r="V100" s="10" t="str">
        <f>IF(LEN(Table2[[#This Row],[!Description]]) &gt; 0, Table2[[#This Row],[!Description]], "rg:None")</f>
        <v>Attachments uploaded by users about instance of entities - e.g. School Buses and School Bus Owners</v>
      </c>
      <c r="W100" s="10" t="str">
        <f>IF(LEN(Table2[[#This Row],[!FK]])&gt;0,Table2[[#This Row],[!FK]],"rg:None")</f>
        <v>rg:None</v>
      </c>
      <c r="X100" s="10" t="str">
        <f>IF(LEN(concatif2(A:A,Table2[[#This Row],[!Table]],G:G,"Y",D:D,",")) &gt; 0,"rg:[ { 'req' : '"&amp;concatif2(A:A,Table2[[#This Row],[!Table]],G:G,"Y",D:D,"' }, { 'req': '")&amp;"'} ]","rg:[]")</f>
        <v>rg:[ { 'req' : 'id' }, { 'req': 'internalFileName' }, { 'req': 'externalFileName'} ]</v>
      </c>
      <c r="Y100" s="10" t="str">
        <f>IF(LEN(Table2[[#This Row],[!Unique]])&gt;0,"rg:True","rg:None")</f>
        <v>rg:None</v>
      </c>
    </row>
    <row r="101" spans="1:25" x14ac:dyDescent="0.3">
      <c r="A101" s="24" t="s">
        <v>242</v>
      </c>
      <c r="B101" s="3" t="s">
        <v>7</v>
      </c>
      <c r="C101" s="3"/>
      <c r="D101" s="3" t="s">
        <v>7</v>
      </c>
      <c r="E101" s="42" t="s">
        <v>309</v>
      </c>
      <c r="F101" s="3" t="s">
        <v>6</v>
      </c>
      <c r="G101" s="4" t="s">
        <v>142</v>
      </c>
      <c r="H101" s="45" t="s">
        <v>142</v>
      </c>
      <c r="I101" s="5" t="str">
        <f t="shared" si="4"/>
        <v>Defs</v>
      </c>
      <c r="J101" t="str">
        <f>IF(Table2[[#This Row],[!Type]]=J$1, J$1,"rg:None")</f>
        <v>rg:None</v>
      </c>
      <c r="K101" t="str">
        <f>IF(Table2[[#This Row],[!Type]]=K$1, K$1,"rg:None")</f>
        <v>rg:None</v>
      </c>
      <c r="L101" t="str">
        <f>IF(Table2[[#This Row],[!Type]]=L$1, L$1,"rg:None")</f>
        <v>rg:None</v>
      </c>
      <c r="M101" t="str">
        <f>IF(Table2[[#This Row],[!Type]]=M$1, M$1,"rg:None")</f>
        <v>id</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id</v>
      </c>
      <c r="V101" s="10" t="str">
        <f>IF(LEN(Table2[[#This Row],[!Description]]) &gt; 0, Table2[[#This Row],[!Description]], "rg:None")</f>
        <v>A system-generated unique identifier for an Attachment</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rg:True</v>
      </c>
    </row>
    <row r="102" spans="1:25" x14ac:dyDescent="0.3">
      <c r="A102" s="24" t="s">
        <v>242</v>
      </c>
      <c r="B102" s="3" t="s">
        <v>8</v>
      </c>
      <c r="C102" s="3">
        <v>2048</v>
      </c>
      <c r="D102" s="3" t="s">
        <v>40</v>
      </c>
      <c r="E102" s="27" t="s">
        <v>41</v>
      </c>
      <c r="F102" s="3" t="s">
        <v>6</v>
      </c>
      <c r="G102" s="45" t="s">
        <v>142</v>
      </c>
      <c r="H102" s="45" t="s">
        <v>142</v>
      </c>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string</v>
      </c>
      <c r="S102" s="5" t="str">
        <f>IF(Table2[[#This Row],[!Type]]=S$1, S$1,"rg:None")</f>
        <v>rg:None</v>
      </c>
      <c r="T102" s="10">
        <f>IF(LEN(Table2[[#This Row],[!Length]]) &gt; 0, Table2[[#This Row],[!Length]], "rg:None")</f>
        <v>2048</v>
      </c>
      <c r="U102" s="10" t="str">
        <f>IF(LEN(Table2[[#This Row],[!Name]]) &gt; 0, Table2[[#This Row],[!Name]], "rg:None")</f>
        <v>internalFileName</v>
      </c>
      <c r="V102" s="10" t="str">
        <f>IF(LEN(Table2[[#This Row],[!Description]]) &gt; 0, Table2[[#This Row],[!Description]], "rg:None")</f>
        <v>The physical location of the attachment on the file system.</v>
      </c>
      <c r="W102" s="10" t="str">
        <f>IF(LEN(Table2[[#This Row],[!FK]])&gt;0,Table2[[#This Row],[!FK]],"rg:None")</f>
        <v>rg:None</v>
      </c>
      <c r="X102" s="10" t="str">
        <f>IF(LEN(concatif2(A:A,Table2[[#This Row],[!Table]],G:G,"Y",D:D,",")) &gt; 0,"rg:[ { 'req' : '"&amp;concatif2(A:A,Table2[[#This Row],[!Table]],G:G,"Y",D:D,"' }, { 'req': '")&amp;"'} ]","rg:[]")</f>
        <v>rg:[ { 'req' : 'id' }, { 'req': 'internalFileName' }, { 'req': 'externalFileName'} ]</v>
      </c>
      <c r="Y102" s="10" t="str">
        <f>IF(LEN(Table2[[#This Row],[!Unique]])&gt;0,"rg:True","rg:None")</f>
        <v>rg:True</v>
      </c>
    </row>
    <row r="103" spans="1:25" x14ac:dyDescent="0.3">
      <c r="A103" s="24" t="s">
        <v>242</v>
      </c>
      <c r="B103" s="3" t="s">
        <v>8</v>
      </c>
      <c r="C103" s="3">
        <v>2048</v>
      </c>
      <c r="D103" s="3" t="s">
        <v>42</v>
      </c>
      <c r="E103" s="27" t="s">
        <v>43</v>
      </c>
      <c r="F103" s="3" t="s">
        <v>6</v>
      </c>
      <c r="G103" s="45"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externalFileName</v>
      </c>
      <c r="V103" s="10" t="str">
        <f>IF(LEN(Table2[[#This Row],[!Description]]) &gt; 0, Table2[[#This Row],[!Description]], "rg:None")</f>
        <v>The name of the attachment as defined by the user in uploading the document.</v>
      </c>
      <c r="W103" s="10" t="str">
        <f>IF(LEN(Table2[[#This Row],[!FK]])&gt;0,Table2[[#This Row],[!FK]],"rg:None")</f>
        <v>rg:None</v>
      </c>
      <c r="X103" s="10" t="str">
        <f>IF(LEN(concatif2(A:A,Table2[[#This Row],[!Table]],G:G,"Y",D:D,",")) &gt; 0,"rg:[ { 'req' : '"&amp;concatif2(A:A,Table2[[#This Row],[!Table]],G:G,"Y",D:D,"' }, { 'req': '")&amp;"'} ]","rg:[]")</f>
        <v>rg:[ { 'req' : 'id' }, { 'req': 'internalFileName' }, { 'req': 'externalFileName'} ]</v>
      </c>
      <c r="Y103" s="10" t="str">
        <f>IF(LEN(Table2[[#This Row],[!Unique]])&gt;0,"rg:True","rg:None")</f>
        <v>rg:True</v>
      </c>
    </row>
    <row r="104" spans="1:25" x14ac:dyDescent="0.3">
      <c r="A104" s="24" t="s">
        <v>242</v>
      </c>
      <c r="B104" s="3" t="s">
        <v>8</v>
      </c>
      <c r="C104" s="3">
        <v>2048</v>
      </c>
      <c r="D104" s="3" t="s">
        <v>44</v>
      </c>
      <c r="E104" s="27" t="s">
        <v>45</v>
      </c>
      <c r="F104" s="3" t="s">
        <v>6</v>
      </c>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description</v>
      </c>
      <c r="V104" s="10" t="str">
        <f>IF(LEN(Table2[[#This Row],[!Description]]) &gt; 0, Table2[[#This Row],[!Description]], "rg:None")</f>
        <v>A note about the attachment,  optionally maintained by the user.</v>
      </c>
      <c r="W104" s="10" t="str">
        <f>IF(LEN(Table2[[#This Row],[!FK]])&gt;0,Table2[[#This Row],[!FK]],"rg:None")</f>
        <v>rg:None</v>
      </c>
      <c r="X104" s="10" t="str">
        <f>IF(LEN(concatif2(A:A,Table2[[#This Row],[!Table]],G:G,"Y",D:D,",")) &gt; 0,"rg:[ { 'req' : '"&amp;concatif2(A:A,Table2[[#This Row],[!Table]],G:G,"Y",D:D,"' }, { 'req': '")&amp;"'} ]","rg:[]")</f>
        <v>rg:[ { 'req' : 'id' }, { 'req': 'internalFileName' }, { 'req': 'externalFileName'} ]</v>
      </c>
      <c r="Y104" s="10" t="str">
        <f>IF(LEN(Table2[[#This Row],[!Unique]])&gt;0,"rg:True","rg:None")</f>
        <v>rg:None</v>
      </c>
    </row>
    <row r="105" spans="1:25" x14ac:dyDescent="0.3">
      <c r="A105" s="24" t="s">
        <v>244</v>
      </c>
      <c r="B105" s="3" t="s">
        <v>5</v>
      </c>
      <c r="C105" s="3"/>
      <c r="D105" s="24" t="s">
        <v>244</v>
      </c>
      <c r="E105" s="28" t="s">
        <v>248</v>
      </c>
      <c r="F105" s="3" t="s">
        <v>6</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History</v>
      </c>
      <c r="V105" s="10" t="str">
        <f>IF(LEN(Table2[[#This Row],[!Description]]) &gt; 0, Table2[[#This Row],[!Description]], "rg:None")</f>
        <v>The history of updates made to an entity - e.g. a School Bus or a School Bus Owner</v>
      </c>
      <c r="W105" s="10" t="str">
        <f>IF(LEN(Table2[[#This Row],[!FK]])&gt;0,Table2[[#This Row],[!FK]],"rg:None")</f>
        <v>rg:None</v>
      </c>
      <c r="X105" s="10" t="str">
        <f>IF(LEN(concatif2(A:A,Table2[[#This Row],[!Table]],G:G,"Y",D:D,",")) &gt; 0,"rg:[ { 'req' : '"&amp;concatif2(A:A,Table2[[#This Row],[!Table]],G:G,"Y",D:D,"' }, { 'req': '")&amp;"'} ]","rg:[]")</f>
        <v>rg:[ { 'req' : 'id' }, { 'req': 'historyText'} ]</v>
      </c>
      <c r="Y105" s="10" t="str">
        <f>IF(LEN(Table2[[#This Row],[!Unique]])&gt;0,"rg:True","rg:None")</f>
        <v>rg:None</v>
      </c>
    </row>
    <row r="106" spans="1:25" x14ac:dyDescent="0.3">
      <c r="A106" s="24" t="s">
        <v>244</v>
      </c>
      <c r="B106" s="3" t="s">
        <v>7</v>
      </c>
      <c r="C106" s="3"/>
      <c r="D106" s="3" t="s">
        <v>7</v>
      </c>
      <c r="E106" s="27" t="s">
        <v>288</v>
      </c>
      <c r="F106" s="3" t="s">
        <v>6</v>
      </c>
      <c r="G106" s="4" t="s">
        <v>142</v>
      </c>
      <c r="H106" s="45" t="s">
        <v>142</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 History</v>
      </c>
      <c r="W106" s="10" t="str">
        <f>IF(LEN(Table2[[#This Row],[!FK]])&gt;0,Table2[[#This Row],[!FK]],"rg:None")</f>
        <v>rg:None</v>
      </c>
      <c r="X106" s="10" t="str">
        <f>IF(LEN(concatif2(A:A,Table2[[#This Row],[!Table]],G:G,"Y",D:D,",")) &gt; 0,"rg:[ { 'req' : '"&amp;concatif2(A:A,Table2[[#This Row],[!Table]],G:G,"Y",D:D,"' }, { 'req': '")&amp;"'} ]","rg:[]")</f>
        <v>rg:[ { 'req' : 'id' }, { 'req': 'historyText'} ]</v>
      </c>
      <c r="Y106" s="10" t="str">
        <f>IF(LEN(Table2[[#This Row],[!Unique]])&gt;0,"rg:True","rg:None")</f>
        <v>rg:True</v>
      </c>
    </row>
    <row r="107" spans="1:25" x14ac:dyDescent="0.3">
      <c r="A107" s="24" t="s">
        <v>244</v>
      </c>
      <c r="B107" s="24" t="s">
        <v>8</v>
      </c>
      <c r="C107" s="3">
        <v>2048</v>
      </c>
      <c r="D107" s="24" t="s">
        <v>274</v>
      </c>
      <c r="E107" s="28" t="s">
        <v>249</v>
      </c>
      <c r="F107" s="3"/>
      <c r="G107" s="45" t="s">
        <v>142</v>
      </c>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historyText</v>
      </c>
      <c r="V107" s="10" t="str">
        <f>IF(LEN(Table2[[#This Row],[!Description]]) &gt; 0, Table2[[#This Row],[!Description]], "rg:None")</f>
        <v>The text of the history entry tracked against the related entity.</v>
      </c>
      <c r="W107" s="10" t="str">
        <f>IF(LEN(Table2[[#This Row],[!FK]])&gt;0,Table2[[#This Row],[!FK]],"rg:None")</f>
        <v>rg:None</v>
      </c>
      <c r="X107" s="10" t="str">
        <f>IF(LEN(concatif2(A:A,Table2[[#This Row],[!Table]],G:G,"Y",D:D,",")) &gt; 0,"rg:[ { 'req' : '"&amp;concatif2(A:A,Table2[[#This Row],[!Table]],G:G,"Y",D:D,"' }, { 'req': '")&amp;"'} ]","rg:[]")</f>
        <v>rg:[ { 'req' : 'id' }, { 'req': 'historyText'} ]</v>
      </c>
      <c r="Y107" s="10" t="str">
        <f>IF(LEN(Table2[[#This Row],[!Unique]])&gt;0,"rg:True","rg:None")</f>
        <v>rg:None</v>
      </c>
    </row>
    <row r="108" spans="1:25" x14ac:dyDescent="0.3">
      <c r="A108" s="24" t="s">
        <v>250</v>
      </c>
      <c r="B108" s="3" t="s">
        <v>5</v>
      </c>
      <c r="C108" s="3"/>
      <c r="D108" s="24" t="s">
        <v>250</v>
      </c>
      <c r="E108" s="43" t="s">
        <v>405</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Contact</v>
      </c>
      <c r="V108" s="10" t="str">
        <f>IF(LEN(Table2[[#This Row],[!Description]]) &gt; 0, Table2[[#This Row],[!Description]], "rg:None")</f>
        <v>A table of contacts related to various entities in the system. FK fields are used to link contacts to records in the system.</v>
      </c>
      <c r="W108" s="10" t="str">
        <f>IF(LEN(Table2[[#This Row],[!FK]])&gt;0,Table2[[#This Row],[!FK]],"rg:None")</f>
        <v>rg:None</v>
      </c>
      <c r="X108" s="10" t="str">
        <f>IF(LEN(concatif2(A:A,Table2[[#This Row],[!Table]],G:G,"Y",D:D,",")) &gt; 0,"rg:[ { 'req' : '"&amp;concatif2(A:A,Table2[[#This Row],[!Table]],G:G,"Y",D:D,"' }, { 'req': '")&amp;"'} ]","rg:[]")</f>
        <v>rg:[ { 'req' : 'id' }, { 'req': 'givenName' }, { 'req': 'surname' }, { 'req': 'role'} ]</v>
      </c>
      <c r="Y108" s="10" t="str">
        <f>IF(LEN(Table2[[#This Row],[!Unique]])&gt;0,"rg:True","rg:None")</f>
        <v>rg:None</v>
      </c>
    </row>
    <row r="109" spans="1:25" x14ac:dyDescent="0.3">
      <c r="A109" s="24" t="s">
        <v>250</v>
      </c>
      <c r="B109" s="3" t="s">
        <v>7</v>
      </c>
      <c r="C109" s="3"/>
      <c r="D109" s="3" t="s">
        <v>7</v>
      </c>
      <c r="E109" s="27" t="s">
        <v>289</v>
      </c>
      <c r="F109" s="3" t="s">
        <v>6</v>
      </c>
      <c r="G109" s="4" t="s">
        <v>142</v>
      </c>
      <c r="H109" s="45" t="s">
        <v>142</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Contact</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rg:True</v>
      </c>
    </row>
    <row r="110" spans="1:25" x14ac:dyDescent="0.3">
      <c r="A110" s="24" t="s">
        <v>250</v>
      </c>
      <c r="B110" s="3" t="s">
        <v>8</v>
      </c>
      <c r="C110" s="3">
        <v>50</v>
      </c>
      <c r="D110" s="3" t="s">
        <v>53</v>
      </c>
      <c r="E110" s="27" t="s">
        <v>54</v>
      </c>
      <c r="F110" s="3" t="s">
        <v>6</v>
      </c>
      <c r="G110" s="45" t="s">
        <v>142</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50</v>
      </c>
      <c r="U110" s="10" t="str">
        <f>IF(LEN(Table2[[#This Row],[!Name]]) &gt; 0, Table2[[#This Row],[!Name]], "rg:None")</f>
        <v>givenName</v>
      </c>
      <c r="V110" s="10" t="str">
        <f>IF(LEN(Table2[[#This Row],[!Description]]) &gt; 0, Table2[[#This Row],[!Description]], "rg:None")</f>
        <v>The given name of the contact.</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250</v>
      </c>
      <c r="B111" s="3" t="s">
        <v>8</v>
      </c>
      <c r="C111" s="3">
        <v>50</v>
      </c>
      <c r="D111" s="3" t="s">
        <v>55</v>
      </c>
      <c r="E111" s="27" t="s">
        <v>56</v>
      </c>
      <c r="F111" s="3" t="s">
        <v>6</v>
      </c>
      <c r="G111" s="45" t="s">
        <v>142</v>
      </c>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10">
        <f>IF(LEN(Table2[[#This Row],[!Length]]) &gt; 0, Table2[[#This Row],[!Length]], "rg:None")</f>
        <v>50</v>
      </c>
      <c r="U111" s="10" t="str">
        <f>IF(LEN(Table2[[#This Row],[!Name]]) &gt; 0, Table2[[#This Row],[!Name]], "rg:None")</f>
        <v>surname</v>
      </c>
      <c r="V111" s="10" t="str">
        <f>IF(LEN(Table2[[#This Row],[!Description]]) &gt; 0, Table2[[#This Row],[!Description]], "rg:None")</f>
        <v>The surname of the contact.</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250</v>
      </c>
      <c r="B112" s="3" t="s">
        <v>8</v>
      </c>
      <c r="C112" s="3">
        <v>100</v>
      </c>
      <c r="D112" s="3" t="s">
        <v>57</v>
      </c>
      <c r="E112" s="43" t="s">
        <v>406</v>
      </c>
      <c r="F112" s="3" t="s">
        <v>6</v>
      </c>
      <c r="G112" s="45" t="s">
        <v>142</v>
      </c>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10">
        <f>IF(LEN(Table2[[#This Row],[!Length]]) &gt; 0, Table2[[#This Row],[!Length]], "rg:None")</f>
        <v>100</v>
      </c>
      <c r="U112" s="10" t="str">
        <f>IF(LEN(Table2[[#This Row],[!Name]]) &gt; 0, Table2[[#This Row],[!Name]], "rg:None")</f>
        <v>role</v>
      </c>
      <c r="V112" s="10" t="str">
        <f>IF(LEN(Table2[[#This Row],[!Description]]) &gt; 0, Table2[[#This Row],[!Description]], "rg:None")</f>
        <v>The role of the contact. UI controlled as to whether it is free form or selected from an enumerated list - for initial implementation, the field is freeform.</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250</v>
      </c>
      <c r="B113" s="3" t="s">
        <v>8</v>
      </c>
      <c r="C113" s="3">
        <v>150</v>
      </c>
      <c r="D113" s="3" t="s">
        <v>58</v>
      </c>
      <c r="E113" s="28" t="s">
        <v>275</v>
      </c>
      <c r="F113" s="3" t="s">
        <v>6</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150</v>
      </c>
      <c r="U113" s="10" t="str">
        <f>IF(LEN(Table2[[#This Row],[!Name]]) &gt; 0, Table2[[#This Row],[!Name]], "rg:None")</f>
        <v>notes</v>
      </c>
      <c r="V113" s="10" t="str">
        <f>IF(LEN(Table2[[#This Row],[!Description]]) &gt; 0, Table2[[#This Row],[!Description]], "rg:None")</f>
        <v>A note about the contact maintained by the users.</v>
      </c>
      <c r="W113" s="10" t="str">
        <f>IF(LEN(Table2[[#This Row],[!FK]])&gt;0,Table2[[#This Row],[!FK]],"rg:None")</f>
        <v>rg:None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250</v>
      </c>
      <c r="B114" s="3" t="s">
        <v>59</v>
      </c>
      <c r="C114" s="3"/>
      <c r="D114" s="24" t="s">
        <v>251</v>
      </c>
      <c r="E114" s="27"/>
      <c r="F114" s="24" t="s">
        <v>254</v>
      </c>
      <c r="G114" s="4"/>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links</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contactPhones</v>
      </c>
      <c r="V114" s="10" t="str">
        <f>IF(LEN(Table2[[#This Row],[!Description]]) &gt; 0, Table2[[#This Row],[!Description]], "rg:None")</f>
        <v>rg:None</v>
      </c>
      <c r="W114" s="10" t="str">
        <f>IF(LEN(Table2[[#This Row],[!FK]])&gt;0,Table2[[#This Row],[!FK]],"rg:None")</f>
        <v>ContactPhone</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250</v>
      </c>
      <c r="B115" s="3" t="s">
        <v>59</v>
      </c>
      <c r="C115" s="3"/>
      <c r="D115" s="24" t="s">
        <v>252</v>
      </c>
      <c r="E115" s="27"/>
      <c r="F115" s="24" t="s">
        <v>253</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links</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contactAddresses</v>
      </c>
      <c r="V115" s="10" t="str">
        <f>IF(LEN(Table2[[#This Row],[!Description]]) &gt; 0, Table2[[#This Row],[!Description]], "rg:None")</f>
        <v>rg:None</v>
      </c>
      <c r="W115" s="10" t="str">
        <f>IF(LEN(Table2[[#This Row],[!FK]])&gt;0,Table2[[#This Row],[!FK]],"rg:None")</f>
        <v>ContactAddress</v>
      </c>
      <c r="X115" s="10" t="str">
        <f>IF(LEN(concatif2(A:A,Table2[[#This Row],[!Table]],G:G,"Y",D:D,",")) &gt; 0,"rg:[ { 'req' : '"&amp;concatif2(A:A,Table2[[#This Row],[!Table]],G:G,"Y",D:D,"' }, { 'req': '")&amp;"'} ]","rg:[]")</f>
        <v>rg:[ { 'req' : 'id' }, { 'req': 'givenName' }, { 'req': 'surname' }, { 'req': 'role'} ]</v>
      </c>
      <c r="Y115" s="10" t="str">
        <f>IF(LEN(Table2[[#This Row],[!Unique]])&gt;0,"rg:True","rg:None")</f>
        <v>rg:None</v>
      </c>
    </row>
    <row r="116" spans="1:25" x14ac:dyDescent="0.3">
      <c r="A116" s="24" t="s">
        <v>254</v>
      </c>
      <c r="B116" s="3" t="s">
        <v>5</v>
      </c>
      <c r="C116" s="3"/>
      <c r="D116" s="24" t="s">
        <v>254</v>
      </c>
      <c r="E116" s="27" t="s">
        <v>352</v>
      </c>
      <c r="F116" s="3" t="s">
        <v>6</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rg:None</v>
      </c>
      <c r="S116" s="5" t="str">
        <f>IF(Table2[[#This Row],[!Type]]=S$1, S$1,"rg:None")</f>
        <v>table</v>
      </c>
      <c r="T116" s="10" t="str">
        <f>IF(LEN(Table2[[#This Row],[!Length]]) &gt; 0, Table2[[#This Row],[!Length]], "rg:None")</f>
        <v>rg:None</v>
      </c>
      <c r="U116" s="10" t="str">
        <f>IF(LEN(Table2[[#This Row],[!Name]]) &gt; 0, Table2[[#This Row],[!Name]], "rg:None")</f>
        <v>ContactPhone</v>
      </c>
      <c r="V116" s="10" t="str">
        <f>IF(LEN(Table2[[#This Row],[!Description]]) &gt; 0, Table2[[#This Row],[!Description]], "rg:None")</f>
        <v>SB Owner contact phone information</v>
      </c>
      <c r="W116" s="10" t="str">
        <f>IF(LEN(Table2[[#This Row],[!FK]])&gt;0,Table2[[#This Row],[!FK]],"rg:None")</f>
        <v>rg:None</v>
      </c>
      <c r="X116" s="10" t="str">
        <f>IF(LEN(concatif2(A:A,Table2[[#This Row],[!Table]],G:G,"Y",D:D,",")) &gt; 0,"rg:[ { 'req' : '"&amp;concatif2(A:A,Table2[[#This Row],[!Table]],G:G,"Y",D:D,"' }, { 'req': '")&amp;"'} ]","rg:[]")</f>
        <v>rg:[ { 'req' : 'id' }, { 'req': 'type' }, { 'req': 'phoneNumber'} ]</v>
      </c>
      <c r="Y116" s="10" t="str">
        <f>IF(LEN(Table2[[#This Row],[!Unique]])&gt;0,"rg:True","rg:None")</f>
        <v>rg:None</v>
      </c>
    </row>
    <row r="117" spans="1:25" x14ac:dyDescent="0.3">
      <c r="A117" s="24" t="s">
        <v>254</v>
      </c>
      <c r="B117" s="3" t="s">
        <v>7</v>
      </c>
      <c r="C117" s="3"/>
      <c r="D117" s="3" t="s">
        <v>7</v>
      </c>
      <c r="E117" s="27" t="s">
        <v>290</v>
      </c>
      <c r="F117" s="3" t="s">
        <v>6</v>
      </c>
      <c r="G117" s="4" t="s">
        <v>142</v>
      </c>
      <c r="H117" s="45" t="s">
        <v>142</v>
      </c>
      <c r="I117" s="5" t="str">
        <f t="shared" si="4"/>
        <v>Defs</v>
      </c>
      <c r="J117" t="str">
        <f>IF(Table2[[#This Row],[!Type]]=J$1, J$1,"rg:None")</f>
        <v>rg:None</v>
      </c>
      <c r="K117" t="str">
        <f>IF(Table2[[#This Row],[!Type]]=K$1, K$1,"rg:None")</f>
        <v>rg:None</v>
      </c>
      <c r="L117" t="str">
        <f>IF(Table2[[#This Row],[!Type]]=L$1, L$1,"rg:None")</f>
        <v>rg:None</v>
      </c>
      <c r="M117" t="str">
        <f>IF(Table2[[#This Row],[!Type]]=M$1, M$1,"rg:None")</f>
        <v>id</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rg:None</v>
      </c>
      <c r="T117" s="10" t="str">
        <f>IF(LEN(Table2[[#This Row],[!Length]]) &gt; 0, Table2[[#This Row],[!Length]], "rg:None")</f>
        <v>rg:None</v>
      </c>
      <c r="U117" s="10" t="str">
        <f>IF(LEN(Table2[[#This Row],[!Name]]) &gt; 0, Table2[[#This Row],[!Name]], "rg:None")</f>
        <v>id</v>
      </c>
      <c r="V117" s="10" t="str">
        <f>IF(LEN(Table2[[#This Row],[!Description]]) &gt; 0, Table2[[#This Row],[!Description]], "rg:None")</f>
        <v>A system-generated unique identifier for a ContactPhone</v>
      </c>
      <c r="W117" s="10" t="str">
        <f>IF(LEN(Table2[[#This Row],[!FK]])&gt;0,Table2[[#This Row],[!FK]],"rg:None")</f>
        <v>rg:None</v>
      </c>
      <c r="X117" s="10" t="str">
        <f>IF(LEN(concatif2(A:A,Table2[[#This Row],[!Table]],G:G,"Y",D:D,",")) &gt; 0,"rg:[ { 'req' : '"&amp;concatif2(A:A,Table2[[#This Row],[!Table]],G:G,"Y",D:D,"' }, { 'req': '")&amp;"'} ]","rg:[]")</f>
        <v>rg:[ { 'req' : 'id' }, { 'req': 'type' }, { 'req': 'phoneNumber'} ]</v>
      </c>
      <c r="Y117" s="10" t="str">
        <f>IF(LEN(Table2[[#This Row],[!Unique]])&gt;0,"rg:True","rg:None")</f>
        <v>rg:True</v>
      </c>
    </row>
    <row r="118" spans="1:25" x14ac:dyDescent="0.3">
      <c r="A118" s="24" t="s">
        <v>254</v>
      </c>
      <c r="B118" s="3" t="s">
        <v>8</v>
      </c>
      <c r="C118" s="3">
        <v>100</v>
      </c>
      <c r="D118" s="3" t="s">
        <v>60</v>
      </c>
      <c r="E118" s="27" t="s">
        <v>353</v>
      </c>
      <c r="F118" s="3" t="s">
        <v>6</v>
      </c>
      <c r="G118" s="45" t="s">
        <v>142</v>
      </c>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10">
        <f>IF(LEN(Table2[[#This Row],[!Length]]) &gt; 0, Table2[[#This Row],[!Length]], "rg:None")</f>
        <v>100</v>
      </c>
      <c r="U118" s="10" t="str">
        <f>IF(LEN(Table2[[#This Row],[!Name]]) &gt; 0, Table2[[#This Row],[!Name]], "rg:None")</f>
        <v>type</v>
      </c>
      <c r="V118" s="10" t="str">
        <f>IF(LEN(Table2[[#This Row],[!Description]]) &gt; 0, Table2[[#This Row],[!Description]], "rg:None")</f>
        <v>The type of the phone number. UI controlled as to whether it is free form or selected from an enumerated list.  Ex. Home, Cell, Work etc..</v>
      </c>
      <c r="W118" s="10" t="str">
        <f>IF(LEN(Table2[[#This Row],[!FK]])&gt;0,Table2[[#This Row],[!FK]],"rg:None")</f>
        <v>rg:None</v>
      </c>
      <c r="X118" s="10" t="str">
        <f>IF(LEN(concatif2(A:A,Table2[[#This Row],[!Table]],G:G,"Y",D:D,",")) &gt; 0,"rg:[ { 'req' : '"&amp;concatif2(A:A,Table2[[#This Row],[!Table]],G:G,"Y",D:D,"' }, { 'req': '")&amp;"'} ]","rg:[]")</f>
        <v>rg:[ { 'req' : 'id' }, { 'req': 'type' }, { 'req': 'phoneNumber'} ]</v>
      </c>
      <c r="Y118" s="10" t="str">
        <f>IF(LEN(Table2[[#This Row],[!Unique]])&gt;0,"rg:True","rg:None")</f>
        <v>rg:None</v>
      </c>
    </row>
    <row r="119" spans="1:25" x14ac:dyDescent="0.3">
      <c r="A119" s="24" t="s">
        <v>254</v>
      </c>
      <c r="B119" s="3" t="s">
        <v>8</v>
      </c>
      <c r="C119" s="3">
        <v>20</v>
      </c>
      <c r="D119" s="3" t="s">
        <v>61</v>
      </c>
      <c r="E119" s="27" t="s">
        <v>62</v>
      </c>
      <c r="F119" s="3" t="s">
        <v>6</v>
      </c>
      <c r="G119" s="45" t="s">
        <v>142</v>
      </c>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20</v>
      </c>
      <c r="U119" s="10" t="str">
        <f>IF(LEN(Table2[[#This Row],[!Name]]) &gt; 0, Table2[[#This Row],[!Name]], "rg:None")</f>
        <v>phoneNumber</v>
      </c>
      <c r="V119" s="10" t="str">
        <f>IF(LEN(Table2[[#This Row],[!Description]]) &gt; 0, Table2[[#This Row],[!Description]], "rg:None")</f>
        <v>The phone number of the contact. Entered as free form to support a range of formats.</v>
      </c>
      <c r="W119" s="10" t="str">
        <f>IF(LEN(Table2[[#This Row],[!FK]])&gt;0,Table2[[#This Row],[!FK]],"rg:None")</f>
        <v>rg:None</v>
      </c>
      <c r="X119" s="10" t="str">
        <f>IF(LEN(concatif2(A:A,Table2[[#This Row],[!Table]],G:G,"Y",D:D,",")) &gt; 0,"rg:[ { 'req' : '"&amp;concatif2(A:A,Table2[[#This Row],[!Table]],G:G,"Y",D:D,"' }, { 'req': '")&amp;"'} ]","rg:[]")</f>
        <v>rg:[ { 'req' : 'id' }, { 'req': 'type' }, { 'req': 'phoneNumber'} ]</v>
      </c>
      <c r="Y119" s="10" t="str">
        <f>IF(LEN(Table2[[#This Row],[!Unique]])&gt;0,"rg:True","rg:None")</f>
        <v>rg:None</v>
      </c>
    </row>
    <row r="120" spans="1:25" x14ac:dyDescent="0.3">
      <c r="A120" s="24" t="s">
        <v>253</v>
      </c>
      <c r="B120" s="3" t="s">
        <v>5</v>
      </c>
      <c r="C120" s="3"/>
      <c r="D120" s="24" t="s">
        <v>253</v>
      </c>
      <c r="E120" s="27" t="s">
        <v>354</v>
      </c>
      <c r="F120" s="3" t="s">
        <v>6</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table</v>
      </c>
      <c r="T120" s="10" t="str">
        <f>IF(LEN(Table2[[#This Row],[!Length]]) &gt; 0, Table2[[#This Row],[!Length]], "rg:None")</f>
        <v>rg:None</v>
      </c>
      <c r="U120" s="10" t="str">
        <f>IF(LEN(Table2[[#This Row],[!Name]]) &gt; 0, Table2[[#This Row],[!Name]], "rg:None")</f>
        <v>ContactAddress</v>
      </c>
      <c r="V120" s="10" t="str">
        <f>IF(LEN(Table2[[#This Row],[!Description]]) &gt; 0, Table2[[#This Row],[!Description]], "rg:None")</f>
        <v>SB Owner contact address information</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24" t="s">
        <v>253</v>
      </c>
      <c r="B121" s="3" t="s">
        <v>7</v>
      </c>
      <c r="C121" s="3"/>
      <c r="D121" s="3" t="s">
        <v>7</v>
      </c>
      <c r="E121" s="27" t="s">
        <v>291</v>
      </c>
      <c r="F121" s="3" t="s">
        <v>6</v>
      </c>
      <c r="G121" s="4" t="s">
        <v>142</v>
      </c>
      <c r="H121" s="45" t="s">
        <v>142</v>
      </c>
      <c r="I121" s="5" t="str">
        <f t="shared" si="4"/>
        <v>Defs</v>
      </c>
      <c r="J121" t="str">
        <f>IF(Table2[[#This Row],[!Type]]=J$1, J$1,"rg:None")</f>
        <v>rg:None</v>
      </c>
      <c r="K121" t="str">
        <f>IF(Table2[[#This Row],[!Type]]=K$1, K$1,"rg:None")</f>
        <v>rg:None</v>
      </c>
      <c r="L121" t="str">
        <f>IF(Table2[[#This Row],[!Type]]=L$1, L$1,"rg:None")</f>
        <v>rg:None</v>
      </c>
      <c r="M121" t="str">
        <f>IF(Table2[[#This Row],[!Type]]=M$1, M$1,"rg:None")</f>
        <v>id</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10" t="str">
        <f>IF(LEN(Table2[[#This Row],[!Length]]) &gt; 0, Table2[[#This Row],[!Length]], "rg:None")</f>
        <v>rg:None</v>
      </c>
      <c r="U121" s="10" t="str">
        <f>IF(LEN(Table2[[#This Row],[!Name]]) &gt; 0, Table2[[#This Row],[!Name]], "rg:None")</f>
        <v>id</v>
      </c>
      <c r="V121" s="10" t="str">
        <f>IF(LEN(Table2[[#This Row],[!Description]]) &gt; 0, Table2[[#This Row],[!Description]], "rg:None")</f>
        <v>A system-generated unique identifier for a ContactAddress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rg:True</v>
      </c>
    </row>
    <row r="122" spans="1:25" x14ac:dyDescent="0.3">
      <c r="A122" s="24" t="s">
        <v>253</v>
      </c>
      <c r="B122" s="3" t="s">
        <v>8</v>
      </c>
      <c r="C122" s="3">
        <v>100</v>
      </c>
      <c r="D122" s="3" t="s">
        <v>60</v>
      </c>
      <c r="E122" s="27" t="s">
        <v>355</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100</v>
      </c>
      <c r="U122" s="10" t="str">
        <f>IF(LEN(Table2[[#This Row],[!Name]]) &gt; 0, Table2[[#This Row],[!Name]], "rg:None")</f>
        <v>type</v>
      </c>
      <c r="V122" s="10" t="str">
        <f>IF(LEN(Table2[[#This Row],[!Description]]) &gt; 0, Table2[[#This Row],[!Description]], "rg:None")</f>
        <v>The type of the address. UI controlled as to whether it is free form or selected from an enumerated list ex. Home, Office, etc..</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253</v>
      </c>
      <c r="B123" s="3" t="s">
        <v>8</v>
      </c>
      <c r="C123" s="3">
        <v>80</v>
      </c>
      <c r="D123" s="24" t="s">
        <v>276</v>
      </c>
      <c r="E123" s="27" t="s">
        <v>63</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address1</v>
      </c>
      <c r="V123" s="10" t="str">
        <f>IF(LEN(Table2[[#This Row],[!Description]]) &gt; 0, Table2[[#This Row],[!Description]], "rg:None")</f>
        <v>Address 1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253</v>
      </c>
      <c r="B124" s="3" t="s">
        <v>8</v>
      </c>
      <c r="C124" s="3">
        <v>80</v>
      </c>
      <c r="D124" s="24" t="s">
        <v>277</v>
      </c>
      <c r="E124" s="27" t="s">
        <v>64</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80</v>
      </c>
      <c r="U124" s="10" t="str">
        <f>IF(LEN(Table2[[#This Row],[!Name]]) &gt; 0, Table2[[#This Row],[!Name]], "rg:None")</f>
        <v>address2</v>
      </c>
      <c r="V124" s="10" t="str">
        <f>IF(LEN(Table2[[#This Row],[!Description]]) &gt; 0, Table2[[#This Row],[!Description]], "rg:None")</f>
        <v>Address 2 line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24" t="s">
        <v>253</v>
      </c>
      <c r="B125" s="3" t="s">
        <v>8</v>
      </c>
      <c r="C125" s="3">
        <v>100</v>
      </c>
      <c r="D125" s="3" t="s">
        <v>65</v>
      </c>
      <c r="E125" s="27" t="s">
        <v>66</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100</v>
      </c>
      <c r="U125" s="10" t="str">
        <f>IF(LEN(Table2[[#This Row],[!Name]]) &gt; 0, Table2[[#This Row],[!Name]], "rg:None")</f>
        <v>city</v>
      </c>
      <c r="V125" s="10" t="str">
        <f>IF(LEN(Table2[[#This Row],[!Description]]) &gt; 0, Table2[[#This Row],[!Description]], "rg:None")</f>
        <v>The City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253</v>
      </c>
      <c r="B126" s="3" t="s">
        <v>8</v>
      </c>
      <c r="C126" s="3">
        <v>50</v>
      </c>
      <c r="D126" s="3" t="s">
        <v>67</v>
      </c>
      <c r="E126" s="27" t="s">
        <v>68</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50</v>
      </c>
      <c r="U126" s="10" t="str">
        <f>IF(LEN(Table2[[#This Row],[!Name]]) &gt; 0, Table2[[#This Row],[!Name]], "rg:None")</f>
        <v>province</v>
      </c>
      <c r="V126" s="10" t="str">
        <f>IF(LEN(Table2[[#This Row],[!Description]]) &gt; 0, Table2[[#This Row],[!Description]], "rg:None")</f>
        <v>The Province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24" t="s">
        <v>253</v>
      </c>
      <c r="B127" s="3" t="s">
        <v>8</v>
      </c>
      <c r="C127" s="3">
        <v>15</v>
      </c>
      <c r="D127" s="3" t="s">
        <v>69</v>
      </c>
      <c r="E127" s="27" t="s">
        <v>70</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15</v>
      </c>
      <c r="U127" s="10" t="str">
        <f>IF(LEN(Table2[[#This Row],[!Name]]) &gt; 0, Table2[[#This Row],[!Name]], "rg:None")</f>
        <v>postalCode</v>
      </c>
      <c r="V127" s="10" t="str">
        <f>IF(LEN(Table2[[#This Row],[!Description]]) &gt; 0, Table2[[#This Row],[!Description]], "rg:None")</f>
        <v>The postal code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3" t="s">
        <v>81</v>
      </c>
      <c r="B128" s="3" t="s">
        <v>5</v>
      </c>
      <c r="C128" s="3"/>
      <c r="D128" s="3" t="s">
        <v>81</v>
      </c>
      <c r="E128" s="27" t="s">
        <v>179</v>
      </c>
      <c r="F128" s="3" t="s">
        <v>6</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table</v>
      </c>
      <c r="T128" s="10" t="str">
        <f>IF(LEN(Table2[[#This Row],[!Length]]) &gt; 0, Table2[[#This Row],[!Length]], "rg:None")</f>
        <v>rg:None</v>
      </c>
      <c r="U128" s="10" t="str">
        <f>IF(LEN(Table2[[#This Row],[!Name]]) &gt; 0, Table2[[#This Row],[!Name]], "rg:None")</f>
        <v>UserFavourite</v>
      </c>
      <c r="V128" s="10" t="str">
        <f>IF(LEN(Table2[[#This Row],[!Description]]) &gt; 0, Table2[[#This Row],[!Description]], "rg:None")</f>
        <v>User specific settings for a specific location in the UI. The location and saved settings are internally defined by the UI.</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3" t="s">
        <v>81</v>
      </c>
      <c r="B129" s="3" t="s">
        <v>7</v>
      </c>
      <c r="C129" s="3"/>
      <c r="D129" s="3" t="s">
        <v>7</v>
      </c>
      <c r="E129" s="27" t="s">
        <v>292</v>
      </c>
      <c r="F129" s="3" t="s">
        <v>6</v>
      </c>
      <c r="G129" s="4" t="s">
        <v>142</v>
      </c>
      <c r="H129" s="45" t="s">
        <v>142</v>
      </c>
      <c r="I129" s="5" t="str">
        <f t="shared" si="3"/>
        <v>Defs</v>
      </c>
      <c r="J129" t="str">
        <f>IF(Table2[[#This Row],[!Type]]=J$1, J$1,"rg:None")</f>
        <v>rg:None</v>
      </c>
      <c r="K129" t="str">
        <f>IF(Table2[[#This Row],[!Type]]=K$1, K$1,"rg:None")</f>
        <v>rg:None</v>
      </c>
      <c r="L129" t="str">
        <f>IF(Table2[[#This Row],[!Type]]=L$1, L$1,"rg:None")</f>
        <v>rg:None</v>
      </c>
      <c r="M129" t="str">
        <f>IF(Table2[[#This Row],[!Type]]=M$1, M$1,"rg:None")</f>
        <v>id</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10" t="str">
        <f>IF(LEN(Table2[[#This Row],[!Length]]) &gt; 0, Table2[[#This Row],[!Length]], "rg:None")</f>
        <v>rg:None</v>
      </c>
      <c r="U129" s="10" t="str">
        <f>IF(LEN(Table2[[#This Row],[!Name]]) &gt; 0, Table2[[#This Row],[!Name]], "rg:None")</f>
        <v>id</v>
      </c>
      <c r="V129" s="10" t="str">
        <f>IF(LEN(Table2[[#This Row],[!Description]]) &gt; 0, Table2[[#This Row],[!Description]], "rg:None")</f>
        <v>A system-generated unique identifier for a UserFavourite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rg:True</v>
      </c>
    </row>
    <row r="130" spans="1:25" x14ac:dyDescent="0.3">
      <c r="A130" s="3" t="s">
        <v>81</v>
      </c>
      <c r="B130" s="3" t="s">
        <v>8</v>
      </c>
      <c r="C130" s="3">
        <v>255</v>
      </c>
      <c r="D130" s="20" t="s">
        <v>60</v>
      </c>
      <c r="E130" s="20" t="s">
        <v>234</v>
      </c>
      <c r="F130" s="6"/>
      <c r="G130" s="19"/>
      <c r="H130" s="19"/>
      <c r="I130" s="4" t="str">
        <f>IF(LEN(A130) &gt; 0,"Defs","-")</f>
        <v>Defs</v>
      </c>
      <c r="J130" s="16" t="str">
        <f>IF(Table2[[#This Row],[!Type]]=J$1, J$1,"rg:None")</f>
        <v>rg:None</v>
      </c>
      <c r="K130" s="16" t="str">
        <f>IF(Table2[[#This Row],[!Type]]=K$1, K$1,"rg:None")</f>
        <v>rg:None</v>
      </c>
      <c r="L130" s="16" t="str">
        <f>IF(Table2[[#This Row],[!Type]]=L$1, L$1,"rg:None")</f>
        <v>rg:None</v>
      </c>
      <c r="M130" s="16" t="str">
        <f>IF(Table2[[#This Row],[!Type]]=M$1, M$1,"rg:None")</f>
        <v>rg:None</v>
      </c>
      <c r="N130" s="16" t="str">
        <f>IF(Table2[[#This Row],[!Type]]=N$1, N$1,"rg:None")</f>
        <v>rg:None</v>
      </c>
      <c r="O130" s="16"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16">
        <f>IF(LEN(Table2[[#This Row],[!Length]]) &gt; 0, Table2[[#This Row],[!Length]], "rg:None")</f>
        <v>255</v>
      </c>
      <c r="U130" s="16" t="str">
        <f>IF(LEN(Table2[[#This Row],[!Name]]) &gt; 0, Table2[[#This Row],[!Name]], "rg:None")</f>
        <v>type</v>
      </c>
      <c r="V130" s="16" t="str">
        <f>IF(LEN(Table2[[#This Row],[!Description]]) &gt; 0, Table2[[#This Row],[!Description]], "rg:None")</f>
        <v>The type of Favourite</v>
      </c>
      <c r="W130" s="16" t="str">
        <f>IF(LEN(Table2[[#This Row],[!FK]])&gt;0,Table2[[#This Row],[!FK]],"rg:None")</f>
        <v>rg:None</v>
      </c>
      <c r="X130" s="16" t="str">
        <f>IF(LEN(concatif2(A:A,Table2[[#This Row],[!Table]],G:G,"Y",D:D,",")) &gt; 0,"rg:[ { 'req' : '"&amp;concatif2(A:A,Table2[[#This Row],[!Table]],G:G,"Y",D:D,"' }, { 'req': '")&amp;"'} ]","rg:[]")</f>
        <v>rg:[ { 'req' : 'id'} ]</v>
      </c>
      <c r="Y130" s="16" t="str">
        <f>IF(LEN(Table2[[#This Row],[!Unique]])&gt;0,"rg:True","rg:None")</f>
        <v>rg:None</v>
      </c>
    </row>
    <row r="131" spans="1:25" x14ac:dyDescent="0.3">
      <c r="A131" s="3" t="s">
        <v>81</v>
      </c>
      <c r="B131" s="3" t="s">
        <v>8</v>
      </c>
      <c r="C131" s="3">
        <v>255</v>
      </c>
      <c r="D131" s="3" t="s">
        <v>46</v>
      </c>
      <c r="E131" s="27" t="s">
        <v>82</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255</v>
      </c>
      <c r="U131" s="10" t="str">
        <f>IF(LEN(Table2[[#This Row],[!Name]]) &gt; 0, Table2[[#This Row],[!Name]], "rg:None")</f>
        <v>name</v>
      </c>
      <c r="V131" s="10" t="str">
        <f>IF(LEN(Table2[[#This Row],[!Description]]) &gt; 0, Table2[[#This Row],[!Description]], "rg:None")</f>
        <v>The user-defined name for the recorded settings. Allows the user to save different groups of settings and access each one easily when needed.</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81</v>
      </c>
      <c r="B132" s="3" t="s">
        <v>8</v>
      </c>
      <c r="C132" s="3">
        <v>2048</v>
      </c>
      <c r="D132" s="24" t="s">
        <v>83</v>
      </c>
      <c r="E132" s="27" t="s">
        <v>84</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10">
        <f>IF(LEN(Table2[[#This Row],[!Length]]) &gt; 0, Table2[[#This Row],[!Length]], "rg:None")</f>
        <v>2048</v>
      </c>
      <c r="U132" s="10" t="str">
        <f>IF(LEN(Table2[[#This Row],[!Name]]) &gt; 0, Table2[[#This Row],[!Name]], "rg:None")</f>
        <v>value</v>
      </c>
      <c r="V132" s="10" t="str">
        <f>IF(LEN(Table2[[#This Row],[!Description]]) &gt; 0, Table2[[#This Row],[!Description]], "rg:None")</f>
        <v>The settings saved by the user. In general,  a UI defined chunk of json that stores the settings in place when the user created the favourite.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3" t="s">
        <v>81</v>
      </c>
      <c r="B133" s="3" t="s">
        <v>14</v>
      </c>
      <c r="C133" s="3"/>
      <c r="D133" s="3" t="s">
        <v>85</v>
      </c>
      <c r="E133" s="27" t="s">
        <v>86</v>
      </c>
      <c r="F133" s="3" t="s">
        <v>6</v>
      </c>
      <c r="G133" s="4"/>
      <c r="H133" s="4"/>
      <c r="I133" s="5" t="str">
        <f t="shared" si="3"/>
        <v>Defs</v>
      </c>
      <c r="J133" t="str">
        <f>IF(Table2[[#This Row],[!Type]]=J$1, J$1,"rg:None")</f>
        <v>boolean</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isDefault</v>
      </c>
      <c r="V133"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x14ac:dyDescent="0.3">
      <c r="A134" s="22" t="s">
        <v>81</v>
      </c>
      <c r="B134" s="3" t="s">
        <v>9</v>
      </c>
      <c r="C134" s="3"/>
      <c r="D134" s="22" t="s">
        <v>0</v>
      </c>
      <c r="E134" s="22" t="s">
        <v>236</v>
      </c>
      <c r="F134" s="23" t="s">
        <v>0</v>
      </c>
      <c r="G134" s="19"/>
      <c r="H134" s="19"/>
      <c r="I134" s="4" t="str">
        <f>IF(LEN(A134) &gt; 0,"Defs","-")</f>
        <v>Defs</v>
      </c>
      <c r="J134" s="16" t="str">
        <f>IF(Table2[[#This Row],[!Type]]=J$1, J$1,"rg:None")</f>
        <v>rg:None</v>
      </c>
      <c r="K134" s="16" t="str">
        <f>IF(Table2[[#This Row],[!Type]]=K$1, K$1,"rg:None")</f>
        <v>rg:None</v>
      </c>
      <c r="L134" s="16" t="str">
        <f>IF(Table2[[#This Row],[!Type]]=L$1, L$1,"rg:None")</f>
        <v>rg:None</v>
      </c>
      <c r="M134" s="16" t="str">
        <f>IF(Table2[[#This Row],[!Type]]=M$1, M$1,"rg:None")</f>
        <v>rg:None</v>
      </c>
      <c r="N134" s="16" t="str">
        <f>IF(Table2[[#This Row],[!Type]]=N$1, N$1,"rg:None")</f>
        <v>rg:None</v>
      </c>
      <c r="O134" s="16"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6" t="str">
        <f>IF(LEN(Table2[[#This Row],[!Length]]) &gt; 0, Table2[[#This Row],[!Length]], "rg:None")</f>
        <v>rg:None</v>
      </c>
      <c r="U134" s="16" t="str">
        <f>IF(LEN(Table2[[#This Row],[!Name]]) &gt; 0, Table2[[#This Row],[!Name]], "rg:None")</f>
        <v>User</v>
      </c>
      <c r="V134" s="16" t="str">
        <f>IF(LEN(Table2[[#This Row],[!Description]]) &gt; 0, Table2[[#This Row],[!Description]], "rg:None")</f>
        <v>The User who has this Favourite</v>
      </c>
      <c r="W134" s="16" t="str">
        <f>IF(LEN(Table2[[#This Row],[!FK]])&gt;0,Table2[[#This Row],[!FK]],"rg:None")</f>
        <v>User</v>
      </c>
      <c r="X134" s="16" t="str">
        <f>IF(LEN(concatif2(A:A,Table2[[#This Row],[!Table]],G:G,"Y",D:D,",")) &gt; 0,"rg:[ { 'req' : '"&amp;concatif2(A:A,Table2[[#This Row],[!Table]],G:G,"Y",D:D,"' }, { 'req': '")&amp;"'} ]","rg:[]")</f>
        <v>rg:[ { 'req' : 'id'} ]</v>
      </c>
      <c r="Y134" s="16" t="str">
        <f>IF(LEN(Table2[[#This Row],[!Unique]])&gt;0,"rg:True","rg:None")</f>
        <v>rg:None</v>
      </c>
    </row>
    <row r="135" spans="1:25" x14ac:dyDescent="0.3">
      <c r="A135" s="3" t="s">
        <v>87</v>
      </c>
      <c r="B135" s="3" t="s">
        <v>5</v>
      </c>
      <c r="C135" s="3"/>
      <c r="D135" s="3" t="s">
        <v>87</v>
      </c>
      <c r="E135" s="43" t="s">
        <v>358</v>
      </c>
      <c r="F135" s="3" t="s">
        <v>6</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table</v>
      </c>
      <c r="T135" s="10" t="str">
        <f>IF(LEN(Table2[[#This Row],[!Length]]) &gt; 0, Table2[[#This Row],[!Length]], "rg:None")</f>
        <v>rg:None</v>
      </c>
      <c r="U135" s="10" t="str">
        <f>IF(LEN(Table2[[#This Row],[!Name]]) &gt; 0, Table2[[#This Row],[!Name]], "rg:None")</f>
        <v>Region</v>
      </c>
      <c r="V135" s="10" t="str">
        <f>IF(LEN(Table2[[#This Row],[!Description]]) &gt; 0, Table2[[#This Row],[!Description]], "rg:None")</f>
        <v>The MOTI-defined Regions - must match the official MOTI List</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rg:None</v>
      </c>
    </row>
    <row r="136" spans="1:25" x14ac:dyDescent="0.3">
      <c r="A136" s="3" t="s">
        <v>87</v>
      </c>
      <c r="B136" s="3" t="s">
        <v>7</v>
      </c>
      <c r="C136" s="3"/>
      <c r="D136" s="3" t="s">
        <v>7</v>
      </c>
      <c r="E136" s="27" t="s">
        <v>293</v>
      </c>
      <c r="F136" s="3" t="s">
        <v>6</v>
      </c>
      <c r="G136" s="4" t="s">
        <v>142</v>
      </c>
      <c r="H136" s="45" t="s">
        <v>142</v>
      </c>
      <c r="I136" s="5" t="str">
        <f t="shared" si="3"/>
        <v>Defs</v>
      </c>
      <c r="J136" t="str">
        <f>IF(Table2[[#This Row],[!Type]]=J$1, J$1,"rg:None")</f>
        <v>rg:None</v>
      </c>
      <c r="K136" t="str">
        <f>IF(Table2[[#This Row],[!Type]]=K$1, K$1,"rg:None")</f>
        <v>rg:None</v>
      </c>
      <c r="L136" t="str">
        <f>IF(Table2[[#This Row],[!Type]]=L$1, L$1,"rg:None")</f>
        <v>rg:None</v>
      </c>
      <c r="M136" t="str">
        <f>IF(Table2[[#This Row],[!Type]]=M$1, M$1,"rg:None")</f>
        <v>id</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id</v>
      </c>
      <c r="V136" s="10" t="str">
        <f>IF(LEN(Table2[[#This Row],[!Description]]) &gt; 0, Table2[[#This Row],[!Description]], "rg:None")</f>
        <v>A system-generated unique identifier for a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
      <c r="A137" s="3" t="s">
        <v>87</v>
      </c>
      <c r="B137" s="3" t="s">
        <v>33</v>
      </c>
      <c r="C137" s="3"/>
      <c r="D137" s="3" t="s">
        <v>88</v>
      </c>
      <c r="E137" s="27" t="s">
        <v>89</v>
      </c>
      <c r="F137" s="3" t="s">
        <v>6</v>
      </c>
      <c r="G137" s="45" t="s">
        <v>142</v>
      </c>
      <c r="H137" s="45" t="s">
        <v>142</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integer</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ministryRegionID</v>
      </c>
      <c r="V137" s="10" t="str">
        <f>IF(LEN(Table2[[#This Row],[!Description]]) &gt; 0, Table2[[#This Row],[!Description]], "rg:None")</f>
        <v>The Ministry ID for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rg:True</v>
      </c>
    </row>
    <row r="138" spans="1:25" x14ac:dyDescent="0.3">
      <c r="A138" s="3" t="s">
        <v>87</v>
      </c>
      <c r="B138" s="3" t="s">
        <v>8</v>
      </c>
      <c r="C138" s="3">
        <v>255</v>
      </c>
      <c r="D138" s="3" t="s">
        <v>46</v>
      </c>
      <c r="E138" s="27" t="s">
        <v>90</v>
      </c>
      <c r="F138" s="3" t="s">
        <v>6</v>
      </c>
      <c r="G138" s="45" t="s">
        <v>142</v>
      </c>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string</v>
      </c>
      <c r="S138" s="5" t="str">
        <f>IF(Table2[[#This Row],[!Type]]=S$1, S$1,"rg:None")</f>
        <v>rg:None</v>
      </c>
      <c r="T138" s="10">
        <f>IF(LEN(Table2[[#This Row],[!Length]]) &gt; 0, Table2[[#This Row],[!Length]], "rg:None")</f>
        <v>255</v>
      </c>
      <c r="U138" s="10" t="str">
        <f>IF(LEN(Table2[[#This Row],[!Name]]) &gt; 0, Table2[[#This Row],[!Name]], "rg:None")</f>
        <v>name</v>
      </c>
      <c r="V138" s="10" t="str">
        <f>IF(LEN(Table2[[#This Row],[!Description]]) &gt; 0, Table2[[#This Row],[!Description]], "rg:None")</f>
        <v>The name of the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87</v>
      </c>
      <c r="B139" s="3" t="s">
        <v>25</v>
      </c>
      <c r="C139" s="3"/>
      <c r="D139" s="3" t="s">
        <v>91</v>
      </c>
      <c r="E139" s="43" t="s">
        <v>360</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startDate</v>
      </c>
      <c r="V139" s="10" t="str">
        <f>IF(LEN(Table2[[#This Row],[!Description]]) &gt; 0, Table2[[#This Row],[!Description]], "rg:None")</f>
        <v>The effective date of the Region record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87</v>
      </c>
      <c r="B140" s="3" t="s">
        <v>25</v>
      </c>
      <c r="C140" s="3"/>
      <c r="D140" s="3" t="s">
        <v>92</v>
      </c>
      <c r="E140" s="43" t="s">
        <v>361</v>
      </c>
      <c r="F140" s="3" t="s">
        <v>6</v>
      </c>
      <c r="G140" s="4"/>
      <c r="H140" s="4"/>
      <c r="I140" s="5" t="str">
        <f t="shared" si="3"/>
        <v>Defs</v>
      </c>
      <c r="J140" t="str">
        <f>IF(Table2[[#This Row],[!Type]]=J$1, J$1,"rg:None")</f>
        <v>rg:None</v>
      </c>
      <c r="K140" t="str">
        <f>IF(Table2[[#This Row],[!Type]]=K$1, K$1,"rg:None")</f>
        <v>rg:None</v>
      </c>
      <c r="L140" t="str">
        <f>IF(Table2[[#This Row],[!Type]]=L$1, L$1,"rg:None")</f>
        <v>datetime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endDate</v>
      </c>
      <c r="V140" s="10" t="str">
        <f>IF(LEN(Table2[[#This Row],[!Description]]) &gt; 0, Table2[[#This Row],[!Description]], "rg:None")</f>
        <v>The end date of the Region record; null if active - NOT CURRENTLY ENFORCED IN SCHOOL BUS</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x14ac:dyDescent="0.3">
      <c r="A141" s="3" t="s">
        <v>93</v>
      </c>
      <c r="B141" s="3" t="s">
        <v>5</v>
      </c>
      <c r="C141" s="3"/>
      <c r="D141" s="3" t="s">
        <v>93</v>
      </c>
      <c r="E141" s="43" t="s">
        <v>359</v>
      </c>
      <c r="F141" s="3" t="s">
        <v>6</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table</v>
      </c>
      <c r="T141" s="10" t="str">
        <f>IF(LEN(Table2[[#This Row],[!Length]]) &gt; 0, Table2[[#This Row],[!Length]], "rg:None")</f>
        <v>rg:None</v>
      </c>
      <c r="U141" s="10" t="str">
        <f>IF(LEN(Table2[[#This Row],[!Name]]) &gt; 0, Table2[[#This Row],[!Name]], "rg:None")</f>
        <v>District</v>
      </c>
      <c r="V141" s="10" t="str">
        <f>IF(LEN(Table2[[#This Row],[!Description]]) &gt; 0, Table2[[#This Row],[!Description]], "rg:None")</f>
        <v>The MOTI-defined Districts - must match the official MOTI List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rg:None</v>
      </c>
    </row>
    <row r="142" spans="1:25" x14ac:dyDescent="0.3">
      <c r="A142" s="3" t="s">
        <v>93</v>
      </c>
      <c r="B142" s="3" t="s">
        <v>7</v>
      </c>
      <c r="C142" s="3"/>
      <c r="D142" s="3" t="s">
        <v>7</v>
      </c>
      <c r="E142" s="27" t="s">
        <v>294</v>
      </c>
      <c r="F142" s="3" t="s">
        <v>6</v>
      </c>
      <c r="G142" s="4" t="s">
        <v>142</v>
      </c>
      <c r="H142" s="45" t="s">
        <v>142</v>
      </c>
      <c r="I142" s="5" t="str">
        <f t="shared" si="3"/>
        <v>Defs</v>
      </c>
      <c r="J142" t="str">
        <f>IF(Table2[[#This Row],[!Type]]=J$1, J$1,"rg:None")</f>
        <v>rg:None</v>
      </c>
      <c r="K142" t="str">
        <f>IF(Table2[[#This Row],[!Type]]=K$1, K$1,"rg:None")</f>
        <v>rg:None</v>
      </c>
      <c r="L142" t="str">
        <f>IF(Table2[[#This Row],[!Type]]=L$1, L$1,"rg:None")</f>
        <v>rg:None</v>
      </c>
      <c r="M142" t="str">
        <f>IF(Table2[[#This Row],[!Type]]=M$1, M$1,"rg:None")</f>
        <v>id</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id</v>
      </c>
      <c r="V142" s="10" t="str">
        <f>IF(LEN(Table2[[#This Row],[!Description]]) &gt; 0, Table2[[#This Row],[!Description]], "rg:None")</f>
        <v>A system-generated unique identifier for a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rg:True</v>
      </c>
    </row>
    <row r="143" spans="1:25" x14ac:dyDescent="0.3">
      <c r="A143" s="3" t="s">
        <v>93</v>
      </c>
      <c r="B143" s="3" t="s">
        <v>33</v>
      </c>
      <c r="C143" s="3"/>
      <c r="D143" s="3" t="s">
        <v>94</v>
      </c>
      <c r="E143" s="27" t="s">
        <v>95</v>
      </c>
      <c r="F143" s="3" t="s">
        <v>6</v>
      </c>
      <c r="G143" s="45" t="s">
        <v>142</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integer</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ministryDistrictID</v>
      </c>
      <c r="V143" s="10" t="str">
        <f>IF(LEN(Table2[[#This Row],[!Description]]) &gt; 0, Table2[[#This Row],[!Description]], "rg:None")</f>
        <v>The Ministry ID for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8</v>
      </c>
      <c r="C144" s="3">
        <v>255</v>
      </c>
      <c r="D144" s="3" t="s">
        <v>46</v>
      </c>
      <c r="E144" s="27" t="s">
        <v>96</v>
      </c>
      <c r="F144" s="3" t="s">
        <v>6</v>
      </c>
      <c r="G144" s="45" t="s">
        <v>142</v>
      </c>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10">
        <f>IF(LEN(Table2[[#This Row],[!Length]]) &gt; 0, Table2[[#This Row],[!Length]], "rg:None")</f>
        <v>255</v>
      </c>
      <c r="U144" s="10" t="str">
        <f>IF(LEN(Table2[[#This Row],[!Name]]) &gt; 0, Table2[[#This Row],[!Name]], "rg:None")</f>
        <v>name</v>
      </c>
      <c r="V144" s="10" t="str">
        <f>IF(LEN(Table2[[#This Row],[!Description]]) &gt; 0, Table2[[#This Row],[!Description]], "rg:None")</f>
        <v>The name of the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93</v>
      </c>
      <c r="B145" s="3" t="s">
        <v>9</v>
      </c>
      <c r="C145" s="3"/>
      <c r="D145" s="3" t="s">
        <v>97</v>
      </c>
      <c r="E145" s="27" t="s">
        <v>98</v>
      </c>
      <c r="F145" s="3" t="s">
        <v>87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ref</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region</v>
      </c>
      <c r="V145" s="10" t="str">
        <f>IF(LEN(Table2[[#This Row],[!Description]]) &gt; 0, Table2[[#This Row],[!Description]], "rg:None")</f>
        <v>The region in which the District is found.</v>
      </c>
      <c r="W145" s="10" t="str">
        <f>IF(LEN(Table2[[#This Row],[!FK]])&gt;0,Table2[[#This Row],[!FK]],"rg:None")</f>
        <v>Region</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93</v>
      </c>
      <c r="B146" s="3" t="s">
        <v>25</v>
      </c>
      <c r="C146" s="3"/>
      <c r="D146" s="3" t="s">
        <v>91</v>
      </c>
      <c r="E146" s="43" t="s">
        <v>362</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startDate</v>
      </c>
      <c r="V146" s="10" t="str">
        <f>IF(LEN(Table2[[#This Row],[!Description]]) &gt; 0, Table2[[#This Row],[!Description]], "rg:None")</f>
        <v>The effective date of the District record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93</v>
      </c>
      <c r="B147" s="3" t="s">
        <v>25</v>
      </c>
      <c r="C147" s="3"/>
      <c r="D147" s="3" t="s">
        <v>92</v>
      </c>
      <c r="E147" s="43" t="s">
        <v>363</v>
      </c>
      <c r="F147" s="3" t="s">
        <v>6</v>
      </c>
      <c r="G147" s="4"/>
      <c r="H147" s="4"/>
      <c r="I147" s="5" t="str">
        <f t="shared" si="3"/>
        <v>Defs</v>
      </c>
      <c r="J147" t="str">
        <f>IF(Table2[[#This Row],[!Type]]=J$1, J$1,"rg:None")</f>
        <v>rg:None</v>
      </c>
      <c r="K147" t="str">
        <f>IF(Table2[[#This Row],[!Type]]=K$1, K$1,"rg:None")</f>
        <v>rg:None</v>
      </c>
      <c r="L147" t="str">
        <f>IF(Table2[[#This Row],[!Type]]=L$1, L$1,"rg:None")</f>
        <v>datetime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endDate</v>
      </c>
      <c r="V147" s="10" t="str">
        <f>IF(LEN(Table2[[#This Row],[!Description]]) &gt; 0, Table2[[#This Row],[!Description]], "rg:None")</f>
        <v>The end date of the District record; null if active - NOT CURRENTLY ENFORCED IN SCHOOL BUS</v>
      </c>
      <c r="W147" s="10" t="str">
        <f>IF(LEN(Table2[[#This Row],[!FK]])&gt;0,Table2[[#This Row],[!FK]],"rg:None")</f>
        <v>rg:None</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
      <c r="A148" s="3" t="s">
        <v>16</v>
      </c>
      <c r="B148" s="3" t="s">
        <v>5</v>
      </c>
      <c r="C148" s="3"/>
      <c r="D148" s="3" t="s">
        <v>16</v>
      </c>
      <c r="E148" s="43" t="s">
        <v>364</v>
      </c>
      <c r="F148" s="3" t="s">
        <v>6</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table</v>
      </c>
      <c r="T148" s="10" t="str">
        <f>IF(LEN(Table2[[#This Row],[!Length]]) &gt; 0, Table2[[#This Row],[!Length]], "rg:None")</f>
        <v>rg:None</v>
      </c>
      <c r="U148" s="10" t="str">
        <f>IF(LEN(Table2[[#This Row],[!Name]]) &gt; 0, Table2[[#This Row],[!Name]], "rg:None")</f>
        <v>ServiceArea</v>
      </c>
      <c r="V148" s="10" t="str">
        <f>IF(LEN(Table2[[#This Row],[!Description]]) &gt; 0, Table2[[#This Row],[!Description]], "rg:None")</f>
        <v>The MOTI-defined Service Areas - must match the official MOTI List</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rg:None</v>
      </c>
    </row>
    <row r="149" spans="1:25" x14ac:dyDescent="0.3">
      <c r="A149" s="3" t="s">
        <v>16</v>
      </c>
      <c r="B149" s="3" t="s">
        <v>7</v>
      </c>
      <c r="C149" s="3"/>
      <c r="D149" s="3" t="s">
        <v>7</v>
      </c>
      <c r="E149" s="27" t="s">
        <v>295</v>
      </c>
      <c r="F149" s="3" t="s">
        <v>6</v>
      </c>
      <c r="G149" s="4" t="s">
        <v>142</v>
      </c>
      <c r="H149" s="45" t="s">
        <v>142</v>
      </c>
      <c r="I149" s="5" t="str">
        <f t="shared" si="3"/>
        <v>Defs</v>
      </c>
      <c r="J149" t="str">
        <f>IF(Table2[[#This Row],[!Type]]=J$1, J$1,"rg:None")</f>
        <v>rg:None</v>
      </c>
      <c r="K149" t="str">
        <f>IF(Table2[[#This Row],[!Type]]=K$1, K$1,"rg:None")</f>
        <v>rg:None</v>
      </c>
      <c r="L149" t="str">
        <f>IF(Table2[[#This Row],[!Type]]=L$1, L$1,"rg:None")</f>
        <v>rg:None</v>
      </c>
      <c r="M149" t="str">
        <f>IF(Table2[[#This Row],[!Type]]=M$1, M$1,"rg:None")</f>
        <v>id</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id</v>
      </c>
      <c r="V149" s="10" t="str">
        <f>IF(LEN(Table2[[#This Row],[!Description]]) &gt; 0, Table2[[#This Row],[!Description]], "rg:None")</f>
        <v>A system-generated unique identifier for a ServiceArea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rg:True</v>
      </c>
    </row>
    <row r="150" spans="1:25" x14ac:dyDescent="0.3">
      <c r="A150" s="3" t="s">
        <v>16</v>
      </c>
      <c r="B150" s="3" t="s">
        <v>33</v>
      </c>
      <c r="C150" s="3"/>
      <c r="D150" s="3" t="s">
        <v>99</v>
      </c>
      <c r="E150" s="27" t="s">
        <v>100</v>
      </c>
      <c r="F150" s="3" t="s">
        <v>6</v>
      </c>
      <c r="G150" s="45" t="s">
        <v>142</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integer</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ministryServiceAreaID</v>
      </c>
      <c r="V150" s="10" t="str">
        <f>IF(LEN(Table2[[#This Row],[!Description]]) &gt; 0, Table2[[#This Row],[!Description]], "rg:None")</f>
        <v>The Ministry ID for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8</v>
      </c>
      <c r="C151" s="3">
        <v>255</v>
      </c>
      <c r="D151" s="3" t="s">
        <v>46</v>
      </c>
      <c r="E151" s="27" t="s">
        <v>101</v>
      </c>
      <c r="F151" s="3" t="s">
        <v>6</v>
      </c>
      <c r="G151" s="45" t="s">
        <v>142</v>
      </c>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10">
        <f>IF(LEN(Table2[[#This Row],[!Length]]) &gt; 0, Table2[[#This Row],[!Length]], "rg:None")</f>
        <v>255</v>
      </c>
      <c r="U151" s="10" t="str">
        <f>IF(LEN(Table2[[#This Row],[!Name]]) &gt; 0, Table2[[#This Row],[!Name]], "rg:None")</f>
        <v>name</v>
      </c>
      <c r="V151" s="10" t="str">
        <f>IF(LEN(Table2[[#This Row],[!Description]]) &gt; 0, Table2[[#This Row],[!Description]], "rg:None")</f>
        <v>The name of the Service 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9</v>
      </c>
      <c r="C152" s="3"/>
      <c r="D152" s="3" t="s">
        <v>102</v>
      </c>
      <c r="E152" s="27" t="s">
        <v>103</v>
      </c>
      <c r="F152" s="3" t="s">
        <v>93</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ref</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district</v>
      </c>
      <c r="V152" s="10" t="str">
        <f>IF(LEN(Table2[[#This Row],[!Description]]) &gt; 0, Table2[[#This Row],[!Description]], "rg:None")</f>
        <v>The district in which the Service Area is found.</v>
      </c>
      <c r="W152" s="10" t="str">
        <f>IF(LEN(Table2[[#This Row],[!FK]])&gt;0,Table2[[#This Row],[!FK]],"rg:None")</f>
        <v>District</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25</v>
      </c>
      <c r="C153" s="3"/>
      <c r="D153" s="3" t="s">
        <v>91</v>
      </c>
      <c r="E153" s="43" t="s">
        <v>365</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startDate</v>
      </c>
      <c r="V153" s="10" t="str">
        <f>IF(LEN(Table2[[#This Row],[!Description]]) &gt; 0, Table2[[#This Row],[!Description]], "rg:None")</f>
        <v>The effective date of the Service Area record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16</v>
      </c>
      <c r="B154" s="3" t="s">
        <v>25</v>
      </c>
      <c r="C154" s="3"/>
      <c r="D154" s="3" t="s">
        <v>92</v>
      </c>
      <c r="E154" s="43" t="s">
        <v>366</v>
      </c>
      <c r="F154" s="3" t="s">
        <v>6</v>
      </c>
      <c r="G154" s="4"/>
      <c r="H154" s="4"/>
      <c r="I154" s="5" t="str">
        <f t="shared" si="3"/>
        <v>Defs</v>
      </c>
      <c r="J154" t="str">
        <f>IF(Table2[[#This Row],[!Type]]=J$1, J$1,"rg:None")</f>
        <v>rg:None</v>
      </c>
      <c r="K154" t="str">
        <f>IF(Table2[[#This Row],[!Type]]=K$1, K$1,"rg:None")</f>
        <v>rg:None</v>
      </c>
      <c r="L154" t="str">
        <f>IF(Table2[[#This Row],[!Type]]=L$1, L$1,"rg:None")</f>
        <v>datetime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endDate</v>
      </c>
      <c r="V154" s="10" t="str">
        <f>IF(LEN(Table2[[#This Row],[!Description]]) &gt; 0, Table2[[#This Row],[!Description]], "rg:None")</f>
        <v>The end date of the Service Area record; null if active - NOT CURRENTLY ENFORCED IN SCHOOL BUS</v>
      </c>
      <c r="W154" s="10" t="str">
        <f>IF(LEN(Table2[[#This Row],[!FK]])&gt;0,Table2[[#This Row],[!FK]],"rg:None")</f>
        <v>rg:None</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
      <c r="A155" s="3" t="s">
        <v>28</v>
      </c>
      <c r="B155" s="3" t="s">
        <v>5</v>
      </c>
      <c r="C155" s="3"/>
      <c r="D155" s="3" t="s">
        <v>28</v>
      </c>
      <c r="E155" s="29" t="s">
        <v>229</v>
      </c>
      <c r="F155" s="3" t="s">
        <v>6</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table</v>
      </c>
      <c r="T155" s="10" t="str">
        <f>IF(LEN(Table2[[#This Row],[!Length]]) &gt; 0, Table2[[#This Row],[!Length]], "rg:None")</f>
        <v>rg:None</v>
      </c>
      <c r="U155" s="10" t="str">
        <f>IF(LEN(Table2[[#This Row],[!Name]]) &gt; 0, Table2[[#This Row],[!Name]], "rg:None")</f>
        <v>SchoolDistrict</v>
      </c>
      <c r="V155" s="10" t="str">
        <f>IF(LEN(Table2[[#This Row],[!Description]]) &gt; 0, Table2[[#This Row],[!Description]], "rg:None")</f>
        <v>A list of School Districts in the Province of BC. Authoritative source to be determined.</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rg:None</v>
      </c>
    </row>
    <row r="156" spans="1:25" x14ac:dyDescent="0.3">
      <c r="A156" s="3" t="s">
        <v>28</v>
      </c>
      <c r="B156" s="3" t="s">
        <v>7</v>
      </c>
      <c r="C156" s="3"/>
      <c r="D156" s="3" t="s">
        <v>7</v>
      </c>
      <c r="E156" s="27" t="s">
        <v>296</v>
      </c>
      <c r="F156" s="3" t="s">
        <v>6</v>
      </c>
      <c r="G156" s="4" t="s">
        <v>142</v>
      </c>
      <c r="H156" s="45" t="s">
        <v>142</v>
      </c>
      <c r="I156" s="5" t="str">
        <f t="shared" si="3"/>
        <v>Defs</v>
      </c>
      <c r="J156" t="str">
        <f>IF(Table2[[#This Row],[!Type]]=J$1, J$1,"rg:None")</f>
        <v>rg:None</v>
      </c>
      <c r="K156" t="str">
        <f>IF(Table2[[#This Row],[!Type]]=K$1, K$1,"rg:None")</f>
        <v>rg:None</v>
      </c>
      <c r="L156" t="str">
        <f>IF(Table2[[#This Row],[!Type]]=L$1, L$1,"rg:None")</f>
        <v>rg:None</v>
      </c>
      <c r="M156" t="str">
        <f>IF(Table2[[#This Row],[!Type]]=M$1, M$1,"rg:None")</f>
        <v>id</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id</v>
      </c>
      <c r="V156" s="10" t="str">
        <f>IF(LEN(Table2[[#This Row],[!Description]]) &gt; 0, Table2[[#This Row],[!Description]], "rg:None")</f>
        <v>A system-generated unique identifier for a SchoolDistrict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
      <c r="A157" s="3" t="s">
        <v>28</v>
      </c>
      <c r="B157" s="3" t="s">
        <v>8</v>
      </c>
      <c r="C157" s="3">
        <v>255</v>
      </c>
      <c r="D157" s="3" t="s">
        <v>46</v>
      </c>
      <c r="E157" s="27" t="s">
        <v>104</v>
      </c>
      <c r="F157" s="3" t="s">
        <v>6</v>
      </c>
      <c r="G157" s="45" t="s">
        <v>142</v>
      </c>
      <c r="H157" s="45" t="s">
        <v>142</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name</v>
      </c>
      <c r="V157" s="10" t="str">
        <f>IF(LEN(Table2[[#This Row],[!Description]]) &gt; 0, Table2[[#This Row],[!Description]], "rg:None")</f>
        <v>The full name of the School District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rg:True</v>
      </c>
    </row>
    <row r="158" spans="1:25" x14ac:dyDescent="0.3">
      <c r="A158" s="3" t="s">
        <v>28</v>
      </c>
      <c r="B158" s="3" t="s">
        <v>8</v>
      </c>
      <c r="C158" s="3">
        <v>255</v>
      </c>
      <c r="D158" s="3" t="s">
        <v>105</v>
      </c>
      <c r="E158" s="27" t="s">
        <v>106</v>
      </c>
      <c r="F158" s="3" t="s">
        <v>6</v>
      </c>
      <c r="G158" s="45" t="s">
        <v>142</v>
      </c>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shortName</v>
      </c>
      <c r="V158" s="10" t="str">
        <f>IF(LEN(Table2[[#This Row],[!Description]]) &gt; 0, Table2[[#This Row],[!Description]], "rg:None")</f>
        <v>A short name for the School District useful in some areas of the UI. Usually with format \&amp;quot;SD 61\&amp;quot;.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rg:None</v>
      </c>
    </row>
    <row r="159" spans="1:25" x14ac:dyDescent="0.3">
      <c r="A159" s="3" t="s">
        <v>19</v>
      </c>
      <c r="B159" s="3" t="s">
        <v>5</v>
      </c>
      <c r="C159" s="3"/>
      <c r="D159" s="3" t="s">
        <v>19</v>
      </c>
      <c r="E159" s="27" t="s">
        <v>180</v>
      </c>
      <c r="F159" s="3" t="s">
        <v>6</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table</v>
      </c>
      <c r="T159" s="10" t="str">
        <f>IF(LEN(Table2[[#This Row],[!Length]]) &gt; 0, Table2[[#This Row],[!Length]], "rg:None")</f>
        <v>rg:None</v>
      </c>
      <c r="U159" s="10" t="str">
        <f>IF(LEN(Table2[[#This Row],[!Name]]) &gt; 0, Table2[[#This Row],[!Name]], "rg:None")</f>
        <v>City</v>
      </c>
      <c r="V159" s="10" t="str">
        <f>IF(LEN(Table2[[#This Row],[!Description]]) &gt; 0, Table2[[#This Row],[!Description]], "rg:None")</f>
        <v>A list of cities in BC. Authoritative source to be determined.</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rg:None</v>
      </c>
    </row>
    <row r="160" spans="1:25" x14ac:dyDescent="0.3">
      <c r="A160" s="3" t="s">
        <v>19</v>
      </c>
      <c r="B160" s="3" t="s">
        <v>7</v>
      </c>
      <c r="C160" s="3"/>
      <c r="D160" s="3" t="s">
        <v>7</v>
      </c>
      <c r="E160" s="27" t="s">
        <v>297</v>
      </c>
      <c r="F160" s="3" t="s">
        <v>6</v>
      </c>
      <c r="G160" s="4" t="s">
        <v>142</v>
      </c>
      <c r="H160" s="45" t="s">
        <v>142</v>
      </c>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rg:None</v>
      </c>
      <c r="T160" s="10" t="str">
        <f>IF(LEN(Table2[[#This Row],[!Length]]) &gt; 0, Table2[[#This Row],[!Length]], "rg:None")</f>
        <v>rg:None</v>
      </c>
      <c r="U160" s="10" t="str">
        <f>IF(LEN(Table2[[#This Row],[!Name]]) &gt; 0, Table2[[#This Row],[!Name]], "rg:None")</f>
        <v>id</v>
      </c>
      <c r="V160" s="10" t="str">
        <f>IF(LEN(Table2[[#This Row],[!Description]]) &gt; 0, Table2[[#This Row],[!Description]], "rg:None")</f>
        <v>A system-generated unique identifier for a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rg:True</v>
      </c>
    </row>
    <row r="161" spans="1:25" x14ac:dyDescent="0.3">
      <c r="A161" s="3" t="s">
        <v>19</v>
      </c>
      <c r="B161" s="3" t="s">
        <v>8</v>
      </c>
      <c r="C161" s="3">
        <v>255</v>
      </c>
      <c r="D161" s="3" t="s">
        <v>46</v>
      </c>
      <c r="E161" s="27" t="s">
        <v>107</v>
      </c>
      <c r="F161" s="3" t="s">
        <v>6</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10">
        <f>IF(LEN(Table2[[#This Row],[!Length]]) &gt; 0, Table2[[#This Row],[!Length]], "rg:None")</f>
        <v>255</v>
      </c>
      <c r="U161" s="10" t="str">
        <f>IF(LEN(Table2[[#This Row],[!Name]]) &gt; 0, Table2[[#This Row],[!Name]], "rg:None")</f>
        <v>name</v>
      </c>
      <c r="V161" s="10" t="str">
        <f>IF(LEN(Table2[[#This Row],[!Description]]) &gt; 0, Table2[[#This Row],[!Description]], "rg:None")</f>
        <v>The name of the City</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x14ac:dyDescent="0.3">
      <c r="A162" s="38" t="s">
        <v>19</v>
      </c>
      <c r="B162" s="38" t="s">
        <v>8</v>
      </c>
      <c r="C162" s="3">
        <v>255</v>
      </c>
      <c r="D162" s="38" t="s">
        <v>67</v>
      </c>
      <c r="E162" s="38" t="s">
        <v>310</v>
      </c>
      <c r="F162" s="6"/>
      <c r="G162" s="19"/>
      <c r="H162" s="19"/>
      <c r="I162" s="4" t="str">
        <f>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16">
        <f>IF(LEN(Table2[[#This Row],[!Length]]) &gt; 0, Table2[[#This Row],[!Length]], "rg:None")</f>
        <v>255</v>
      </c>
      <c r="U162" s="16" t="str">
        <f>IF(LEN(Table2[[#This Row],[!Name]]) &gt; 0, Table2[[#This Row],[!Name]], "rg:None")</f>
        <v>province</v>
      </c>
      <c r="V162" s="16" t="str">
        <f>IF(LEN(Table2[[#This Row],[!Description]]) &gt; 0, Table2[[#This Row],[!Description]], "rg:None")</f>
        <v>The name of the province of the city</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
      <c r="A163" s="3" t="s">
        <v>108</v>
      </c>
      <c r="B163" s="3" t="s">
        <v>5</v>
      </c>
      <c r="C163" s="3"/>
      <c r="D163" s="3" t="s">
        <v>108</v>
      </c>
      <c r="E163" s="43" t="s">
        <v>370</v>
      </c>
      <c r="F163" s="3" t="s">
        <v>6</v>
      </c>
      <c r="G163" s="4"/>
      <c r="H163" s="4"/>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table</v>
      </c>
      <c r="T163" s="10" t="str">
        <f>IF(LEN(Table2[[#This Row],[!Length]]) &gt; 0, Table2[[#This Row],[!Length]], "rg:None")</f>
        <v>rg:None</v>
      </c>
      <c r="U163" s="10" t="str">
        <f>IF(LEN(Table2[[#This Row],[!Name]]) &gt; 0, Table2[[#This Row],[!Name]], "rg:None")</f>
        <v>Notification</v>
      </c>
      <c r="V16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x14ac:dyDescent="0.3">
      <c r="A164" s="3" t="s">
        <v>108</v>
      </c>
      <c r="B164" s="3" t="s">
        <v>7</v>
      </c>
      <c r="C164" s="3"/>
      <c r="D164" s="3" t="s">
        <v>7</v>
      </c>
      <c r="E164" s="27" t="s">
        <v>298</v>
      </c>
      <c r="F164" s="3" t="s">
        <v>6</v>
      </c>
      <c r="G164" s="4" t="s">
        <v>142</v>
      </c>
      <c r="H164" s="45" t="s">
        <v>142</v>
      </c>
      <c r="I164" s="5" t="str">
        <f t="shared" si="3"/>
        <v>Defs</v>
      </c>
      <c r="J164" t="str">
        <f>IF(Table2[[#This Row],[!Type]]=J$1, J$1,"rg:None")</f>
        <v>rg:None</v>
      </c>
      <c r="K164" t="str">
        <f>IF(Table2[[#This Row],[!Type]]=K$1, K$1,"rg:None")</f>
        <v>rg:None</v>
      </c>
      <c r="L164" t="str">
        <f>IF(Table2[[#This Row],[!Type]]=L$1, L$1,"rg:None")</f>
        <v>rg:None</v>
      </c>
      <c r="M164" t="str">
        <f>IF(Table2[[#This Row],[!Type]]=M$1, M$1,"rg:None")</f>
        <v>id</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id</v>
      </c>
      <c r="V164" s="10" t="str">
        <f>IF(LEN(Table2[[#This Row],[!Description]]) &gt; 0, Table2[[#This Row],[!Description]], "rg:None")</f>
        <v>A system-generated unique identifier for a Notification</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rg:True</v>
      </c>
    </row>
    <row r="165" spans="1:25" x14ac:dyDescent="0.3">
      <c r="A165" s="3" t="s">
        <v>108</v>
      </c>
      <c r="B165" s="3" t="s">
        <v>9</v>
      </c>
      <c r="C165" s="3"/>
      <c r="D165" s="3" t="s">
        <v>109</v>
      </c>
      <c r="E165" s="27"/>
      <c r="F165" s="3" t="s">
        <v>110</v>
      </c>
      <c r="G165" s="4"/>
      <c r="H165" s="4"/>
      <c r="I165" s="5" t="str">
        <f t="shared" si="3"/>
        <v>Defs</v>
      </c>
      <c r="J165" t="str">
        <f>IF(Table2[[#This Row],[!Type]]=J$1, J$1,"rg:None")</f>
        <v>rg:None</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event</v>
      </c>
      <c r="V165" s="10" t="str">
        <f>IF(LEN(Table2[[#This Row],[!Description]]) &gt; 0, Table2[[#This Row],[!Description]], "rg:None")</f>
        <v>rg:None</v>
      </c>
      <c r="W165" s="10" t="str">
        <f>IF(LEN(Table2[[#This Row],[!FK]])&gt;0,Table2[[#This Row],[!FK]],"rg:None")</f>
        <v>NotificationEvent</v>
      </c>
      <c r="X165" s="10" t="str">
        <f>IF(LEN(concatif2(A:A,Table2[[#This Row],[!Table]],G:G,"Y",D:D,",")) &gt; 0,"rg:[ { 'req' : '"&amp;concatif2(A:A,Table2[[#This Row],[!Table]],G:G,"Y",D:D,"' }, { 'req': '")&amp;"'} ]","rg:[]")</f>
        <v>rg:[ { 'req' : 'id'} ]</v>
      </c>
      <c r="Y165" s="10" t="str">
        <f>IF(LEN(Table2[[#This Row],[!Unique]])&gt;0,"rg:True","rg:None")</f>
        <v>rg:None</v>
      </c>
    </row>
    <row r="166" spans="1:25" x14ac:dyDescent="0.3">
      <c r="A166" s="3" t="s">
        <v>108</v>
      </c>
      <c r="B166" s="3" t="s">
        <v>9</v>
      </c>
      <c r="C166" s="3"/>
      <c r="D166" s="3" t="s">
        <v>111</v>
      </c>
      <c r="E166" s="27"/>
      <c r="F166" s="3" t="s">
        <v>110</v>
      </c>
      <c r="G166" s="4"/>
      <c r="H166" s="4"/>
      <c r="I166" s="5" t="str">
        <f t="shared" si="3"/>
        <v>Defs</v>
      </c>
      <c r="J166" t="str">
        <f>IF(Table2[[#This Row],[!Type]]=J$1, J$1,"rg:None")</f>
        <v>rg:None</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ref</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event2</v>
      </c>
      <c r="V166" s="10" t="str">
        <f>IF(LEN(Table2[[#This Row],[!Description]]) &gt; 0, Table2[[#This Row],[!Description]], "rg:None")</f>
        <v>rg:None</v>
      </c>
      <c r="W166" s="10" t="str">
        <f>IF(LEN(Table2[[#This Row],[!FK]])&gt;0,Table2[[#This Row],[!FK]],"rg:None")</f>
        <v>NotificationEvent</v>
      </c>
      <c r="X166" s="10" t="str">
        <f>IF(LEN(concatif2(A:A,Table2[[#This Row],[!Table]],G:G,"Y",D:D,",")) &gt; 0,"rg:[ { 'req' : '"&amp;concatif2(A:A,Table2[[#This Row],[!Table]],G:G,"Y",D:D,"' }, { 'req': '")&amp;"'} ]","rg:[]")</f>
        <v>rg:[ { 'req' : 'id'} ]</v>
      </c>
      <c r="Y166" s="10" t="str">
        <f>IF(LEN(Table2[[#This Row],[!Unique]])&gt;0,"rg:True","rg:None")</f>
        <v>rg:None</v>
      </c>
    </row>
    <row r="167" spans="1:25" x14ac:dyDescent="0.3">
      <c r="A167" s="3" t="s">
        <v>108</v>
      </c>
      <c r="B167" s="3" t="s">
        <v>14</v>
      </c>
      <c r="C167" s="3"/>
      <c r="D167" s="3" t="s">
        <v>112</v>
      </c>
      <c r="E167" s="43" t="s">
        <v>367</v>
      </c>
      <c r="F167" s="3" t="s">
        <v>6</v>
      </c>
      <c r="G167" s="4"/>
      <c r="H167" s="4"/>
      <c r="I167" s="5" t="str">
        <f t="shared" si="3"/>
        <v>Defs</v>
      </c>
      <c r="J167" t="str">
        <f>IF(Table2[[#This Row],[!Type]]=J$1, J$1,"rg:None")</f>
        <v>boolean</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rg:None</v>
      </c>
      <c r="S167" s="5" t="str">
        <f>IF(Table2[[#This Row],[!Type]]=S$1, S$1,"rg:None")</f>
        <v>rg:None</v>
      </c>
      <c r="T167" s="10" t="str">
        <f>IF(LEN(Table2[[#This Row],[!Length]]) &gt; 0, Table2[[#This Row],[!Length]], "rg:None")</f>
        <v>rg:None</v>
      </c>
      <c r="U167" s="10" t="str">
        <f>IF(LEN(Table2[[#This Row],[!Name]]) &gt; 0, Table2[[#This Row],[!Name]], "rg:None")</f>
        <v>hasBeenViewed</v>
      </c>
      <c r="V167" s="10" t="str">
        <f>IF(LEN(Table2[[#This Row],[!Description]]) &gt; 0, Table2[[#This Row],[!Description]], "rg:None")</f>
        <v>True if the user linked to the inspection has read the notification</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row>
    <row r="168" spans="1:25" x14ac:dyDescent="0.3">
      <c r="A168" s="3" t="s">
        <v>108</v>
      </c>
      <c r="B168" s="3" t="s">
        <v>14</v>
      </c>
      <c r="C168" s="3"/>
      <c r="D168" s="3" t="s">
        <v>113</v>
      </c>
      <c r="E168" s="43" t="s">
        <v>368</v>
      </c>
      <c r="F168" s="3" t="s">
        <v>6</v>
      </c>
      <c r="G168" s="4"/>
      <c r="H168" s="4"/>
      <c r="I168" s="5" t="str">
        <f t="shared" si="3"/>
        <v>Defs</v>
      </c>
      <c r="J168" t="str">
        <f>IF(Table2[[#This Row],[!Type]]=J$1, J$1,"rg:None")</f>
        <v>boolean</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rg:None</v>
      </c>
      <c r="R168" s="5" t="str">
        <f>IF(Table2[[#This Row],[!Type]]=R$1, R$1,"rg:None")</f>
        <v>rg:None</v>
      </c>
      <c r="S168" s="5" t="str">
        <f>IF(Table2[[#This Row],[!Type]]=S$1, S$1,"rg:None")</f>
        <v>rg:None</v>
      </c>
      <c r="T168" s="10" t="str">
        <f>IF(LEN(Table2[[#This Row],[!Length]]) &gt; 0, Table2[[#This Row],[!Length]], "rg:None")</f>
        <v>rg:None</v>
      </c>
      <c r="U168" s="10" t="str">
        <f>IF(LEN(Table2[[#This Row],[!Name]]) &gt; 0, Table2[[#This Row],[!Name]], "rg:None")</f>
        <v>isWatchNotification</v>
      </c>
      <c r="V168" s="10" t="str">
        <f>IF(LEN(Table2[[#This Row],[!Description]]) &gt; 0, Table2[[#This Row],[!Description]], "rg:None")</f>
        <v>TO BE REMOVED</v>
      </c>
      <c r="W168" s="10" t="str">
        <f>IF(LEN(Table2[[#This Row],[!FK]])&gt;0,Table2[[#This Row],[!FK]],"rg:None")</f>
        <v>rg:None</v>
      </c>
      <c r="X168" s="10" t="str">
        <f>IF(LEN(concatif2(A:A,Table2[[#This Row],[!Table]],G:G,"Y",D:D,",")) &gt; 0,"rg:[ { 'req' : '"&amp;concatif2(A:A,Table2[[#This Row],[!Table]],G:G,"Y",D:D,"' }, { 'req': '")&amp;"'} ]","rg:[]")</f>
        <v>rg:[ { 'req' : 'id'} ]</v>
      </c>
      <c r="Y168" s="10" t="str">
        <f>IF(LEN(Table2[[#This Row],[!Unique]])&gt;0,"rg:True","rg:None")</f>
        <v>rg:None</v>
      </c>
    </row>
    <row r="169" spans="1:25" x14ac:dyDescent="0.3">
      <c r="A169" s="3" t="s">
        <v>108</v>
      </c>
      <c r="B169" s="3" t="s">
        <v>14</v>
      </c>
      <c r="C169" s="3"/>
      <c r="D169" s="3" t="s">
        <v>114</v>
      </c>
      <c r="E169" s="43" t="s">
        <v>368</v>
      </c>
      <c r="F169" s="3" t="s">
        <v>6</v>
      </c>
      <c r="G169" s="4"/>
      <c r="H169" s="4"/>
      <c r="I169" s="5" t="str">
        <f t="shared" si="3"/>
        <v>Defs</v>
      </c>
      <c r="J169" t="str">
        <f>IF(Table2[[#This Row],[!Type]]=J$1, J$1,"rg:None")</f>
        <v>boolean</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rg:None</v>
      </c>
      <c r="R169" s="5" t="str">
        <f>IF(Table2[[#This Row],[!Type]]=R$1, R$1,"rg:None")</f>
        <v>rg:None</v>
      </c>
      <c r="S169" s="5" t="str">
        <f>IF(Table2[[#This Row],[!Type]]=S$1, S$1,"rg:None")</f>
        <v>rg:None</v>
      </c>
      <c r="T169" s="10" t="str">
        <f>IF(LEN(Table2[[#This Row],[!Length]]) &gt; 0, Table2[[#This Row],[!Length]], "rg:None")</f>
        <v>rg:None</v>
      </c>
      <c r="U169" s="10" t="str">
        <f>IF(LEN(Table2[[#This Row],[!Name]]) &gt; 0, Table2[[#This Row],[!Name]], "rg:None")</f>
        <v>isExpired</v>
      </c>
      <c r="V169" s="10" t="str">
        <f>IF(LEN(Table2[[#This Row],[!Description]]) &gt; 0, Table2[[#This Row],[!Description]], "rg:None")</f>
        <v>TO BE REMOVED</v>
      </c>
      <c r="W169" s="10" t="str">
        <f>IF(LEN(Table2[[#This Row],[!FK]])&gt;0,Table2[[#This Row],[!FK]],"rg:None")</f>
        <v>rg:None</v>
      </c>
      <c r="X169" s="10" t="str">
        <f>IF(LEN(concatif2(A:A,Table2[[#This Row],[!Table]],G:G,"Y",D:D,",")) &gt; 0,"rg:[ { 'req' : '"&amp;concatif2(A:A,Table2[[#This Row],[!Table]],G:G,"Y",D:D,"' }, { 'req': '")&amp;"'} ]","rg:[]")</f>
        <v>rg:[ { 'req' : 'id'} ]</v>
      </c>
      <c r="Y169" s="10" t="str">
        <f>IF(LEN(Table2[[#This Row],[!Unique]])&gt;0,"rg:True","rg:None")</f>
        <v>rg:None</v>
      </c>
    </row>
    <row r="170" spans="1:25" x14ac:dyDescent="0.3">
      <c r="A170" s="3" t="s">
        <v>108</v>
      </c>
      <c r="B170" s="3" t="s">
        <v>14</v>
      </c>
      <c r="C170" s="3"/>
      <c r="D170" s="3" t="s">
        <v>115</v>
      </c>
      <c r="E170" s="43" t="s">
        <v>368</v>
      </c>
      <c r="F170" s="3" t="s">
        <v>6</v>
      </c>
      <c r="G170" s="4"/>
      <c r="H170" s="4"/>
      <c r="I170" s="5" t="str">
        <f t="shared" si="3"/>
        <v>Defs</v>
      </c>
      <c r="J170" t="str">
        <f>IF(Table2[[#This Row],[!Type]]=J$1, J$1,"rg:None")</f>
        <v>boolean</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rg:None</v>
      </c>
      <c r="T170" s="10" t="str">
        <f>IF(LEN(Table2[[#This Row],[!Length]]) &gt; 0, Table2[[#This Row],[!Length]], "rg:None")</f>
        <v>rg:None</v>
      </c>
      <c r="U170" s="10" t="str">
        <f>IF(LEN(Table2[[#This Row],[!Name]]) &gt; 0, Table2[[#This Row],[!Name]], "rg:None")</f>
        <v>isAllDay</v>
      </c>
      <c r="V170" s="10" t="str">
        <f>IF(LEN(Table2[[#This Row],[!Description]]) &gt; 0, Table2[[#This Row],[!Description]], "rg:None")</f>
        <v>TO BE REMOVED</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108</v>
      </c>
      <c r="B171" s="3" t="s">
        <v>8</v>
      </c>
      <c r="C171" s="3">
        <v>255</v>
      </c>
      <c r="D171" s="3" t="s">
        <v>116</v>
      </c>
      <c r="E171" s="43" t="s">
        <v>368</v>
      </c>
      <c r="F171" s="3" t="s">
        <v>6</v>
      </c>
      <c r="G171" s="4"/>
      <c r="H171" s="4"/>
      <c r="I171" s="5" t="str">
        <f t="shared" si="3"/>
        <v>Defs</v>
      </c>
      <c r="J171" t="str">
        <f>IF(Table2[[#This Row],[!Type]]=J$1, J$1,"rg:None")</f>
        <v>rg:None</v>
      </c>
      <c r="K171" t="str">
        <f>IF(Table2[[#This Row],[!Type]]=K$1, K$1,"rg:None")</f>
        <v>rg:None</v>
      </c>
      <c r="L171" t="str">
        <f>IF(Table2[[#This Row],[!Type]]=L$1, L$1,"rg:None")</f>
        <v>rg:None</v>
      </c>
      <c r="M171" t="str">
        <f>IF(Table2[[#This Row],[!Type]]=M$1, M$1,"rg:None")</f>
        <v>rg:None</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string</v>
      </c>
      <c r="S171" s="5" t="str">
        <f>IF(Table2[[#This Row],[!Type]]=S$1, S$1,"rg:None")</f>
        <v>rg:None</v>
      </c>
      <c r="T171" s="10">
        <f>IF(LEN(Table2[[#This Row],[!Length]]) &gt; 0, Table2[[#This Row],[!Length]], "rg:None")</f>
        <v>255</v>
      </c>
      <c r="U171" s="10" t="str">
        <f>IF(LEN(Table2[[#This Row],[!Name]]) &gt; 0, Table2[[#This Row],[!Name]], "rg:None")</f>
        <v>priorityCode</v>
      </c>
      <c r="V171" s="10" t="str">
        <f>IF(LEN(Table2[[#This Row],[!Description]]) &gt; 0, Table2[[#This Row],[!Description]], "rg:None")</f>
        <v>TO BE REMOVED</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rg:None</v>
      </c>
    </row>
    <row r="172" spans="1:25" x14ac:dyDescent="0.3">
      <c r="A172" s="3" t="s">
        <v>108</v>
      </c>
      <c r="B172" s="3" t="s">
        <v>9</v>
      </c>
      <c r="C172" s="3"/>
      <c r="D172" s="3" t="s">
        <v>117</v>
      </c>
      <c r="E172" s="27"/>
      <c r="F172" s="3" t="s">
        <v>0</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ref</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user</v>
      </c>
      <c r="V172" s="10" t="str">
        <f>IF(LEN(Table2[[#This Row],[!Description]]) &gt; 0, Table2[[#This Row],[!Description]], "rg:None")</f>
        <v>rg:None</v>
      </c>
      <c r="W172" s="10" t="str">
        <f>IF(LEN(Table2[[#This Row],[!FK]])&gt;0,Table2[[#This Row],[!FK]],"rg:None")</f>
        <v>User</v>
      </c>
      <c r="X172" s="10" t="str">
        <f>IF(LEN(concatif2(A:A,Table2[[#This Row],[!Table]],G:G,"Y",D:D,",")) &gt; 0,"rg:[ { 'req' : '"&amp;concatif2(A:A,Table2[[#This Row],[!Table]],G:G,"Y",D:D,"' }, { 'req': '")&amp;"'} ]","rg:[]")</f>
        <v>rg:[ { 'req' : 'id'} ]</v>
      </c>
      <c r="Y172" s="10" t="str">
        <f>IF(LEN(Table2[[#This Row],[!Unique]])&gt;0,"rg:True","rg:None")</f>
        <v>rg:None</v>
      </c>
    </row>
    <row r="173" spans="1:25" x14ac:dyDescent="0.3">
      <c r="A173" s="3" t="s">
        <v>110</v>
      </c>
      <c r="B173" s="3" t="s">
        <v>5</v>
      </c>
      <c r="C173" s="3"/>
      <c r="D173" s="3" t="s">
        <v>110</v>
      </c>
      <c r="E173" s="43" t="s">
        <v>369</v>
      </c>
      <c r="F173" s="3" t="s">
        <v>6</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NotificationEvent</v>
      </c>
      <c r="V173" s="10" t="str">
        <f>IF(LEN(Table2[[#This Row],[!Description]]) &gt; 0, Table2[[#This Row],[!Description]], "rg:None")</f>
        <v>Notifications associated about changes (mostly from CCW data) to information related to a specific school bus - e.g. change of owner at ICBC, change in NSC client rating, etc.</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x14ac:dyDescent="0.3">
      <c r="A174" s="3" t="s">
        <v>110</v>
      </c>
      <c r="B174" s="3" t="s">
        <v>7</v>
      </c>
      <c r="C174" s="3"/>
      <c r="D174" s="3" t="s">
        <v>7</v>
      </c>
      <c r="E174" s="27" t="s">
        <v>299</v>
      </c>
      <c r="F174" s="3" t="s">
        <v>6</v>
      </c>
      <c r="G174" s="4" t="s">
        <v>142</v>
      </c>
      <c r="H174" s="45" t="s">
        <v>142</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NotificationEvent</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x14ac:dyDescent="0.3">
      <c r="A175" s="3" t="s">
        <v>110</v>
      </c>
      <c r="B175" s="8" t="s">
        <v>25</v>
      </c>
      <c r="C175" s="3"/>
      <c r="D175" s="3" t="s">
        <v>118</v>
      </c>
      <c r="E175" s="43" t="s">
        <v>371</v>
      </c>
      <c r="F175" s="3" t="s">
        <v>6</v>
      </c>
      <c r="G175" s="4"/>
      <c r="H175" s="4"/>
      <c r="I175" s="5" t="str">
        <f t="shared" si="3"/>
        <v>Defs</v>
      </c>
      <c r="J175" t="str">
        <f>IF(Table2[[#This Row],[!Type]]=J$1, J$1,"rg:None")</f>
        <v>rg:None</v>
      </c>
      <c r="K175" t="str">
        <f>IF(Table2[[#This Row],[!Type]]=K$1, K$1,"rg:None")</f>
        <v>rg:None</v>
      </c>
      <c r="L175" t="str">
        <f>IF(Table2[[#This Row],[!Type]]=L$1, L$1,"rg:None")</f>
        <v>datetime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eventTime</v>
      </c>
      <c r="V175" s="10" t="str">
        <f>IF(LEN(Table2[[#This Row],[!Description]]) &gt; 0, Table2[[#This Row],[!Description]], "rg:None")</f>
        <v>The date/time of the creation of the event that triggered the creation of the notification.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110</v>
      </c>
      <c r="B176" s="3" t="s">
        <v>8</v>
      </c>
      <c r="C176" s="3">
        <v>255</v>
      </c>
      <c r="D176" s="3" t="s">
        <v>119</v>
      </c>
      <c r="E176" s="43" t="s">
        <v>380</v>
      </c>
      <c r="F176" s="3" t="s">
        <v>6</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string</v>
      </c>
      <c r="S176" s="5" t="str">
        <f>IF(Table2[[#This Row],[!Type]]=S$1, S$1,"rg:None")</f>
        <v>rg:None</v>
      </c>
      <c r="T176" s="10">
        <f>IF(LEN(Table2[[#This Row],[!Length]]) &gt; 0, Table2[[#This Row],[!Length]], "rg:None")</f>
        <v>255</v>
      </c>
      <c r="U176" s="10" t="str">
        <f>IF(LEN(Table2[[#This Row],[!Name]]) &gt; 0, Table2[[#This Row],[!Name]], "rg:None")</f>
        <v>eventTypeCode</v>
      </c>
      <c r="V17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110</v>
      </c>
      <c r="B177" s="3" t="s">
        <v>8</v>
      </c>
      <c r="C177" s="3">
        <v>255</v>
      </c>
      <c r="D177" s="3" t="s">
        <v>120</v>
      </c>
      <c r="E177" s="43" t="s">
        <v>381</v>
      </c>
      <c r="F177" s="3" t="s">
        <v>6</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10">
        <f>IF(LEN(Table2[[#This Row],[!Length]]) &gt; 0, Table2[[#This Row],[!Length]], "rg:None")</f>
        <v>255</v>
      </c>
      <c r="U177" s="10" t="str">
        <f>IF(LEN(Table2[[#This Row],[!Name]]) &gt; 0, Table2[[#This Row],[!Name]], "rg:None")</f>
        <v>eventSubTypeCode</v>
      </c>
      <c r="V177" s="10" t="str">
        <f>IF(LEN(Table2[[#This Row],[!Description]]) &gt; 0, Table2[[#This Row],[!Description]], "rg:None")</f>
        <v>A further categorization of the event for which the notification was created.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110</v>
      </c>
      <c r="B178" s="3" t="s">
        <v>8</v>
      </c>
      <c r="C178" s="3">
        <v>2048</v>
      </c>
      <c r="D178" s="3" t="s">
        <v>58</v>
      </c>
      <c r="E178" s="43" t="s">
        <v>382</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10">
        <f>IF(LEN(Table2[[#This Row],[!Length]]) &gt; 0, Table2[[#This Row],[!Length]], "rg:None")</f>
        <v>2048</v>
      </c>
      <c r="U178" s="10" t="str">
        <f>IF(LEN(Table2[[#This Row],[!Name]]) &gt; 0, Table2[[#This Row],[!Name]], "rg:None")</f>
        <v>notes</v>
      </c>
      <c r="V17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110</v>
      </c>
      <c r="B179" s="3" t="s">
        <v>14</v>
      </c>
      <c r="C179" s="3"/>
      <c r="D179" s="3" t="s">
        <v>121</v>
      </c>
      <c r="E179" s="43" t="s">
        <v>368</v>
      </c>
      <c r="F179" s="3" t="s">
        <v>6</v>
      </c>
      <c r="G179" s="4"/>
      <c r="H179" s="4"/>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notificationGenerated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
      <c r="A180" s="3" t="s">
        <v>110</v>
      </c>
      <c r="B180" s="3" t="s">
        <v>9</v>
      </c>
      <c r="C180" s="3"/>
      <c r="D180" s="3" t="s">
        <v>39</v>
      </c>
      <c r="E180" s="27"/>
      <c r="F180" s="3" t="s">
        <v>4</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ref</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schoolBus</v>
      </c>
      <c r="V180" s="10" t="str">
        <f>IF(LEN(Table2[[#This Row],[!Description]]) &gt; 0, Table2[[#This Row],[!Description]], "rg:None")</f>
        <v>rg:None</v>
      </c>
      <c r="W180" s="10" t="str">
        <f>IF(LEN(Table2[[#This Row],[!FK]])&gt;0,Table2[[#This Row],[!FK]],"rg:None")</f>
        <v>SchoolBus</v>
      </c>
      <c r="X180" s="10" t="str">
        <f>IF(LEN(concatif2(A:A,Table2[[#This Row],[!Table]],G:G,"Y",D:D,",")) &gt; 0,"rg:[ { 'req' : '"&amp;concatif2(A:A,Table2[[#This Row],[!Table]],G:G,"Y",D:D,"' }, { 'req': '")&amp;"'} ]","rg:[]")</f>
        <v>rg:[ { 'req' : 'id'} ]</v>
      </c>
      <c r="Y180" s="10" t="str">
        <f>IF(LEN(Table2[[#This Row],[!Unique]])&gt;0,"rg:True","rg:None")</f>
        <v>rg:None</v>
      </c>
    </row>
    <row r="181" spans="1:25" x14ac:dyDescent="0.3">
      <c r="A181" s="3" t="s">
        <v>0</v>
      </c>
      <c r="B181" s="3" t="s">
        <v>5</v>
      </c>
      <c r="C181" s="3"/>
      <c r="D181" s="3" t="s">
        <v>0</v>
      </c>
      <c r="E181" s="27" t="s">
        <v>181</v>
      </c>
      <c r="F181" s="3" t="s">
        <v>6</v>
      </c>
      <c r="G181" s="4"/>
      <c r="H181" s="4"/>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table</v>
      </c>
      <c r="T181" s="10" t="str">
        <f>IF(LEN(Table2[[#This Row],[!Length]]) &gt; 0, Table2[[#This Row],[!Length]], "rg:None")</f>
        <v>rg:None</v>
      </c>
      <c r="U181" s="10" t="str">
        <f>IF(LEN(Table2[[#This Row],[!Name]]) &gt; 0, Table2[[#This Row],[!Name]], "rg:None")</f>
        <v>User</v>
      </c>
      <c r="V181" s="10" t="str">
        <f>IF(LEN(Table2[[#This Row],[!Description]]) &gt; 0, Table2[[#This Row],[!Description]], "rg:None")</f>
        <v>Information about the users of the system.</v>
      </c>
      <c r="W181" s="10" t="str">
        <f>IF(LEN(Table2[[#This Row],[!FK]])&gt;0,Table2[[#This Row],[!FK]],"rg:None")</f>
        <v>rg:None</v>
      </c>
      <c r="X181" s="10" t="str">
        <f>IF(LEN(concatif2(A:A,Table2[[#This Row],[!Table]],G:G,"Y",D:D,",")) &gt; 0,"rg:[ { 'req' : '"&amp;concatif2(A:A,Table2[[#This Row],[!Table]],G:G,"Y",D:D,"' }, { 'req': '")&amp;"'} ]","rg:[]")</f>
        <v>rg:[ { 'req' : 'id' }, { 'req': 'givenName' }, { 'req': 'surname' }, { 'req': 'active'} ]</v>
      </c>
      <c r="Y181" s="10" t="str">
        <f>IF(LEN(Table2[[#This Row],[!Unique]])&gt;0,"rg:True","rg:None")</f>
        <v>rg:None</v>
      </c>
    </row>
    <row r="182" spans="1:25" x14ac:dyDescent="0.3">
      <c r="A182" s="3" t="s">
        <v>0</v>
      </c>
      <c r="B182" s="3" t="s">
        <v>7</v>
      </c>
      <c r="C182" s="3"/>
      <c r="D182" s="3" t="s">
        <v>7</v>
      </c>
      <c r="E182" s="27" t="s">
        <v>300</v>
      </c>
      <c r="F182" s="3" t="s">
        <v>6</v>
      </c>
      <c r="G182" s="4" t="s">
        <v>142</v>
      </c>
      <c r="H182" s="45" t="s">
        <v>142</v>
      </c>
      <c r="I182" s="5" t="str">
        <f t="shared" si="3"/>
        <v>Defs</v>
      </c>
      <c r="J182" t="str">
        <f>IF(Table2[[#This Row],[!Type]]=J$1, J$1,"rg:None")</f>
        <v>rg:None</v>
      </c>
      <c r="K182" t="str">
        <f>IF(Table2[[#This Row],[!Type]]=K$1, K$1,"rg:None")</f>
        <v>rg:None</v>
      </c>
      <c r="L182" t="str">
        <f>IF(Table2[[#This Row],[!Type]]=L$1, L$1,"rg:None")</f>
        <v>rg:None</v>
      </c>
      <c r="M182" t="str">
        <f>IF(Table2[[#This Row],[!Type]]=M$1, M$1,"rg:None")</f>
        <v>id</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id</v>
      </c>
      <c r="V182" s="10" t="str">
        <f>IF(LEN(Table2[[#This Row],[!Description]]) &gt; 0, Table2[[#This Row],[!Description]], "rg:None")</f>
        <v>A system-generated unique identifier for a User</v>
      </c>
      <c r="W182" s="10" t="str">
        <f>IF(LEN(Table2[[#This Row],[!FK]])&gt;0,Table2[[#This Row],[!FK]],"rg:None")</f>
        <v>rg:None</v>
      </c>
      <c r="X182" s="10" t="str">
        <f>IF(LEN(concatif2(A:A,Table2[[#This Row],[!Table]],G:G,"Y",D:D,",")) &gt; 0,"rg:[ { 'req' : '"&amp;concatif2(A:A,Table2[[#This Row],[!Table]],G:G,"Y",D:D,"' }, { 'req': '")&amp;"'} ]","rg:[]")</f>
        <v>rg:[ { 'req' : 'id' }, { 'req': 'givenName' }, { 'req': 'surname' }, { 'req': 'active'} ]</v>
      </c>
      <c r="Y182" s="10" t="str">
        <f>IF(LEN(Table2[[#This Row],[!Unique]])&gt;0,"rg:True","rg:None")</f>
        <v>rg:True</v>
      </c>
    </row>
    <row r="183" spans="1:25" x14ac:dyDescent="0.3">
      <c r="A183" s="3" t="s">
        <v>0</v>
      </c>
      <c r="B183" s="3" t="s">
        <v>8</v>
      </c>
      <c r="C183" s="3">
        <v>255</v>
      </c>
      <c r="D183" s="3" t="s">
        <v>53</v>
      </c>
      <c r="E183" s="43" t="s">
        <v>373</v>
      </c>
      <c r="F183" s="3" t="s">
        <v>6</v>
      </c>
      <c r="G183" s="45" t="s">
        <v>142</v>
      </c>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givenName</v>
      </c>
      <c r="V183" s="10" t="str">
        <f>IF(LEN(Table2[[#This Row],[!Description]]) &gt; 0, Table2[[#This Row],[!Description]], "rg:None")</f>
        <v>Given name of the user.</v>
      </c>
      <c r="W183" s="10" t="str">
        <f>IF(LEN(Table2[[#This Row],[!FK]])&gt;0,Table2[[#This Row],[!FK]],"rg:None")</f>
        <v>rg:None</v>
      </c>
      <c r="X183" s="10" t="str">
        <f>IF(LEN(concatif2(A:A,Table2[[#This Row],[!Table]],G:G,"Y",D:D,",")) &gt; 0,"rg:[ { 'req' : '"&amp;concatif2(A:A,Table2[[#This Row],[!Table]],G:G,"Y",D:D,"' }, { 'req': '")&amp;"'} ]","rg:[]")</f>
        <v>rg:[ { 'req' : 'id' }, { 'req': 'givenName' }, { 'req': 'surname' }, { 'req': 'active'} ]</v>
      </c>
      <c r="Y183" s="10" t="str">
        <f>IF(LEN(Table2[[#This Row],[!Unique]])&gt;0,"rg:True","rg:None")</f>
        <v>rg:None</v>
      </c>
    </row>
    <row r="184" spans="1:25" x14ac:dyDescent="0.3">
      <c r="A184" s="3" t="s">
        <v>0</v>
      </c>
      <c r="B184" s="3" t="s">
        <v>8</v>
      </c>
      <c r="C184" s="3">
        <v>50</v>
      </c>
      <c r="D184" s="3" t="s">
        <v>55</v>
      </c>
      <c r="E184" s="43" t="s">
        <v>372</v>
      </c>
      <c r="F184" s="3" t="s">
        <v>6</v>
      </c>
      <c r="G184" s="45" t="s">
        <v>142</v>
      </c>
      <c r="H184" s="4"/>
      <c r="I184" s="5" t="str">
        <f t="shared" ref="I184:I222" si="5">IF(LEN(A184) &gt; 0,"Defs","-")</f>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50</v>
      </c>
      <c r="U184" s="10" t="str">
        <f>IF(LEN(Table2[[#This Row],[!Name]]) &gt; 0, Table2[[#This Row],[!Name]], "rg:None")</f>
        <v>surname</v>
      </c>
      <c r="V184" s="10" t="str">
        <f>IF(LEN(Table2[[#This Row],[!Description]]) &gt; 0, Table2[[#This Row],[!Description]], "rg:None")</f>
        <v>Surname of the user.</v>
      </c>
      <c r="W184" s="10" t="str">
        <f>IF(LEN(Table2[[#This Row],[!FK]])&gt;0,Table2[[#This Row],[!FK]],"rg:None")</f>
        <v>rg:None</v>
      </c>
      <c r="X184" s="10" t="str">
        <f>IF(LEN(concatif2(A:A,Table2[[#This Row],[!Table]],G:G,"Y",D:D,",")) &gt; 0,"rg:[ { 'req' : '"&amp;concatif2(A:A,Table2[[#This Row],[!Table]],G:G,"Y",D:D,"' }, { 'req': '")&amp;"'} ]","rg:[]")</f>
        <v>rg:[ { 'req' : 'id' }, { 'req': 'givenName' }, { 'req': 'surname' }, { 'req': 'active'} ]</v>
      </c>
      <c r="Y184" s="10" t="str">
        <f>IF(LEN(Table2[[#This Row],[!Unique]])&gt;0,"rg:True","rg:None")</f>
        <v>rg:None</v>
      </c>
    </row>
    <row r="185" spans="1:25" x14ac:dyDescent="0.3">
      <c r="A185" s="3" t="s">
        <v>0</v>
      </c>
      <c r="B185" s="3" t="s">
        <v>8</v>
      </c>
      <c r="C185" s="3">
        <v>10</v>
      </c>
      <c r="D185" s="3" t="s">
        <v>123</v>
      </c>
      <c r="E185" s="43" t="s">
        <v>374</v>
      </c>
      <c r="F185" s="3" t="s">
        <v>6</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10</v>
      </c>
      <c r="U185" s="10" t="str">
        <f>IF(LEN(Table2[[#This Row],[!Name]]) &gt; 0, Table2[[#This Row],[!Name]], "rg:None")</f>
        <v>initials</v>
      </c>
      <c r="V185" s="10" t="str">
        <f>IF(LEN(Table2[[#This Row],[!Description]]) &gt; 0, Table2[[#This Row],[!Description]], "rg:None")</f>
        <v>Initials of the user, to be presented where screen space is at a premium.</v>
      </c>
      <c r="W185" s="10" t="str">
        <f>IF(LEN(Table2[[#This Row],[!FK]])&gt;0,Table2[[#This Row],[!FK]],"rg:None")</f>
        <v>rg:None</v>
      </c>
      <c r="X185" s="10" t="str">
        <f>IF(LEN(concatif2(A:A,Table2[[#This Row],[!Table]],G:G,"Y",D:D,",")) &gt; 0,"rg:[ { 'req' : '"&amp;concatif2(A:A,Table2[[#This Row],[!Table]],G:G,"Y",D:D,"' }, { 'req': '")&amp;"'} ]","rg:[]")</f>
        <v>rg:[ { 'req' : 'id' }, { 'req': 'givenName' }, { 'req': 'surname' }, { 'req': 'active'} ]</v>
      </c>
      <c r="Y185" s="10" t="str">
        <f>IF(LEN(Table2[[#This Row],[!Unique]])&gt;0,"rg:True","rg:None")</f>
        <v>rg:None</v>
      </c>
    </row>
    <row r="186" spans="1:25" x14ac:dyDescent="0.3">
      <c r="A186" s="3" t="s">
        <v>0</v>
      </c>
      <c r="B186" s="3" t="s">
        <v>8</v>
      </c>
      <c r="C186" s="3">
        <v>255</v>
      </c>
      <c r="D186" s="3" t="s">
        <v>124</v>
      </c>
      <c r="E186" s="43" t="s">
        <v>375</v>
      </c>
      <c r="F186" s="3" t="s">
        <v>6</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email</v>
      </c>
      <c r="V186" s="10" t="str">
        <f>IF(LEN(Table2[[#This Row],[!Description]]) &gt; 0, Table2[[#This Row],[!Description]], "rg:None")</f>
        <v>The email address of the user in the system.</v>
      </c>
      <c r="W186" s="10" t="str">
        <f>IF(LEN(Table2[[#This Row],[!FK]])&gt;0,Table2[[#This Row],[!FK]],"rg:None")</f>
        <v>rg:None</v>
      </c>
      <c r="X186" s="10" t="str">
        <f>IF(LEN(concatif2(A:A,Table2[[#This Row],[!Table]],G:G,"Y",D:D,",")) &gt; 0,"rg:[ { 'req' : '"&amp;concatif2(A:A,Table2[[#This Row],[!Table]],G:G,"Y",D:D,"' }, { 'req': '")&amp;"'} ]","rg:[]")</f>
        <v>rg:[ { 'req' : 'id' }, { 'req': 'givenName' }, { 'req': 'surname' }, { 'req': 'active'} ]</v>
      </c>
      <c r="Y186" s="10" t="str">
        <f>IF(LEN(Table2[[#This Row],[!Unique]])&gt;0,"rg:True","rg:None")</f>
        <v>rg:None</v>
      </c>
    </row>
    <row r="187" spans="1:25" x14ac:dyDescent="0.3">
      <c r="A187" s="3" t="s">
        <v>0</v>
      </c>
      <c r="B187" s="3" t="s">
        <v>14</v>
      </c>
      <c r="C187" s="3"/>
      <c r="D187" s="3" t="s">
        <v>122</v>
      </c>
      <c r="E187" s="43" t="s">
        <v>383</v>
      </c>
      <c r="F187" s="3" t="s">
        <v>6</v>
      </c>
      <c r="G187" s="4" t="s">
        <v>142</v>
      </c>
      <c r="H187" s="4"/>
      <c r="I187" s="5" t="str">
        <f t="shared" si="5"/>
        <v>Defs</v>
      </c>
      <c r="J187" t="str">
        <f>IF(Table2[[#This Row],[!Type]]=J$1, J$1,"rg:None")</f>
        <v>boolean</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active</v>
      </c>
      <c r="V187" s="10" t="str">
        <f>IF(LEN(Table2[[#This Row],[!Description]]) &gt; 0, Table2[[#This Row],[!Description]], "rg:None")</f>
        <v>A flag indicating the User is active in the system. Set false to remove access to the system for the user.</v>
      </c>
      <c r="W187" s="10" t="str">
        <f>IF(LEN(Table2[[#This Row],[!FK]])&gt;0,Table2[[#This Row],[!FK]],"rg:None")</f>
        <v>rg:None</v>
      </c>
      <c r="X187" s="10" t="str">
        <f>IF(LEN(concatif2(A:A,Table2[[#This Row],[!Table]],G:G,"Y",D:D,",")) &gt; 0,"rg:[ { 'req' : '"&amp;concatif2(A:A,Table2[[#This Row],[!Table]],G:G,"Y",D:D,"' }, { 'req': '")&amp;"'} ]","rg:[]")</f>
        <v>rg:[ { 'req' : 'id' }, { 'req': 'givenName' }, { 'req': 'surname' }, { 'req': 'active'} ]</v>
      </c>
      <c r="Y187" s="10" t="str">
        <f>IF(LEN(Table2[[#This Row],[!Unique]])&gt;0,"rg:True","rg:None")</f>
        <v>rg:None</v>
      </c>
    </row>
    <row r="188" spans="1:25" x14ac:dyDescent="0.3">
      <c r="A188" s="3" t="s">
        <v>0</v>
      </c>
      <c r="B188" s="3" t="s">
        <v>8</v>
      </c>
      <c r="C188" s="3">
        <v>255</v>
      </c>
      <c r="D188" s="3" t="s">
        <v>125</v>
      </c>
      <c r="E188" s="27" t="s">
        <v>126</v>
      </c>
      <c r="F188" s="3" t="s">
        <v>6</v>
      </c>
      <c r="G188" s="4"/>
      <c r="H188" s="4"/>
      <c r="I188" s="5" t="str">
        <f t="shared" si="5"/>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255</v>
      </c>
      <c r="U188" s="10" t="str">
        <f>IF(LEN(Table2[[#This Row],[!Name]]) &gt; 0, Table2[[#This Row],[!Name]], "rg:None")</f>
        <v>smUserId</v>
      </c>
      <c r="V188" s="10" t="str">
        <f>IF(LEN(Table2[[#This Row],[!Description]]) &gt; 0, Table2[[#This Row],[!Description]], "rg:None")</f>
        <v>Security Manager User ID</v>
      </c>
      <c r="W188" s="10" t="str">
        <f>IF(LEN(Table2[[#This Row],[!FK]])&gt;0,Table2[[#This Row],[!FK]],"rg:None")</f>
        <v>rg:None</v>
      </c>
      <c r="X188" s="10" t="str">
        <f>IF(LEN(concatif2(A:A,Table2[[#This Row],[!Table]],G:G,"Y",D:D,",")) &gt; 0,"rg:[ { 'req' : '"&amp;concatif2(A:A,Table2[[#This Row],[!Table]],G:G,"Y",D:D,"' }, { 'req': '")&amp;"'} ]","rg:[]")</f>
        <v>rg:[ { 'req' : 'id' }, { 'req': 'givenName' }, { 'req': 'surname' }, { 'req': 'active'} ]</v>
      </c>
      <c r="Y188" s="10" t="str">
        <f>IF(LEN(Table2[[#This Row],[!Unique]])&gt;0,"rg:True","rg:None")</f>
        <v>rg:None</v>
      </c>
    </row>
    <row r="189" spans="1:25" x14ac:dyDescent="0.3">
      <c r="A189" s="3" t="s">
        <v>0</v>
      </c>
      <c r="B189" s="3" t="s">
        <v>8</v>
      </c>
      <c r="C189" s="3">
        <v>255</v>
      </c>
      <c r="D189" s="3" t="s">
        <v>127</v>
      </c>
      <c r="E189" s="43" t="s">
        <v>384</v>
      </c>
      <c r="F189" s="3" t="s">
        <v>6</v>
      </c>
      <c r="G189" s="4"/>
      <c r="H189" s="4"/>
      <c r="I189" s="5" t="str">
        <f t="shared" si="5"/>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string</v>
      </c>
      <c r="S189" s="5" t="str">
        <f>IF(Table2[[#This Row],[!Type]]=S$1, S$1,"rg:None")</f>
        <v>rg:None</v>
      </c>
      <c r="T189" s="10">
        <f>IF(LEN(Table2[[#This Row],[!Length]]) &gt; 0, Table2[[#This Row],[!Length]], "rg:None")</f>
        <v>255</v>
      </c>
      <c r="U189" s="10" t="str">
        <f>IF(LEN(Table2[[#This Row],[!Name]]) &gt; 0, Table2[[#This Row],[!Name]], "rg:None")</f>
        <v>guid</v>
      </c>
      <c r="V18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rg:None</v>
      </c>
    </row>
    <row r="190" spans="1:25" x14ac:dyDescent="0.3">
      <c r="A190" s="3" t="s">
        <v>0</v>
      </c>
      <c r="B190" s="3" t="s">
        <v>8</v>
      </c>
      <c r="C190" s="3">
        <v>255</v>
      </c>
      <c r="D190" s="3" t="s">
        <v>128</v>
      </c>
      <c r="E190" s="43" t="s">
        <v>385</v>
      </c>
      <c r="F190" s="3" t="s">
        <v>6</v>
      </c>
      <c r="G190" s="4"/>
      <c r="H190" s="4"/>
      <c r="I190" s="5" t="str">
        <f t="shared" si="5"/>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10">
        <f>IF(LEN(Table2[[#This Row],[!Length]]) &gt; 0, Table2[[#This Row],[!Length]], "rg:None")</f>
        <v>255</v>
      </c>
      <c r="U190" s="10" t="str">
        <f>IF(LEN(Table2[[#This Row],[!Name]]) &gt; 0, Table2[[#This Row],[!Name]], "rg:None")</f>
        <v>smAuthorizationDirectory</v>
      </c>
      <c r="V190" s="10" t="str">
        <f>IF(LEN(Table2[[#This Row],[!Description]]) &gt; 0, Table2[[#This Row],[!Description]], "rg:None")</f>
        <v>The user directory service used by Siteminder to authenticate the user - usually IDIR or BCeID.</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rg:None</v>
      </c>
    </row>
    <row r="191" spans="1:25" x14ac:dyDescent="0.3">
      <c r="A191" s="34" t="s">
        <v>0</v>
      </c>
      <c r="B191" s="34" t="s">
        <v>59</v>
      </c>
      <c r="C191" s="3"/>
      <c r="D191" s="35" t="s">
        <v>129</v>
      </c>
      <c r="F191" s="36" t="s">
        <v>130</v>
      </c>
      <c r="G191" s="19"/>
      <c r="H191" s="19"/>
      <c r="I191" s="4" t="str">
        <f>IF(LEN(A191) &gt; 0,"Defs","-")</f>
        <v>Defs</v>
      </c>
      <c r="J191" s="16" t="str">
        <f>IF(Table2[[#This Row],[!Type]]=J$1, J$1,"rg:None")</f>
        <v>rg:None</v>
      </c>
      <c r="K191" s="33" t="str">
        <f>IF(Table2[[#This Row],[!Type]]=K$1, K$1,"rg:None")</f>
        <v>rg:None</v>
      </c>
      <c r="L191" s="16" t="str">
        <f>IF(Table2[[#This Row],[!Type]]=L$1, L$1,"rg:None")</f>
        <v>rg:None</v>
      </c>
      <c r="M191" s="16" t="str">
        <f>IF(Table2[[#This Row],[!Type]]=M$1, M$1,"rg:None")</f>
        <v>rg:None</v>
      </c>
      <c r="N191" s="16" t="str">
        <f>IF(Table2[[#This Row],[!Type]]=N$1, N$1,"rg:None")</f>
        <v>rg:None</v>
      </c>
      <c r="O191" s="16" t="str">
        <f>IF(Table2[[#This Row],[!Type]]=O$1, O$1,"rg:None")</f>
        <v>rg:None</v>
      </c>
      <c r="P191" s="4" t="str">
        <f>IF(Table2[[#This Row],[!Type]]=P$1, P$1,"rg:None")</f>
        <v>links</v>
      </c>
      <c r="Q191" s="4" t="str">
        <f>IF(Table2[[#This Row],[!Type]]=Q$1, Q$1,"rg:None")</f>
        <v>rg:None</v>
      </c>
      <c r="R191" s="4" t="str">
        <f>IF(Table2[[#This Row],[!Type]]=R$1, R$1,"rg:None")</f>
        <v>rg:None</v>
      </c>
      <c r="S191" s="4" t="str">
        <f>IF(Table2[[#This Row],[!Type]]=S$1, S$1,"rg:None")</f>
        <v>rg:None</v>
      </c>
      <c r="T191" s="16" t="str">
        <f>IF(LEN(Table2[[#This Row],[!Length]]) &gt; 0, Table2[[#This Row],[!Length]], "rg:None")</f>
        <v>rg:None</v>
      </c>
      <c r="U191" s="16" t="str">
        <f>IF(LEN(Table2[[#This Row],[!Name]]) &gt; 0, Table2[[#This Row],[!Name]], "rg:None")</f>
        <v>userRoles</v>
      </c>
      <c r="V191" s="16" t="str">
        <f>IF(LEN(Table2[[#This Row],[!Description]]) &gt; 0, Table2[[#This Row],[!Description]], "rg:None")</f>
        <v>rg:None</v>
      </c>
      <c r="W191" s="16" t="str">
        <f>IF(LEN(Table2[[#This Row],[!FK]])&gt;0,Table2[[#This Row],[!FK]],"rg:None")</f>
        <v>UserRole</v>
      </c>
      <c r="X191" s="16" t="str">
        <f>IF(LEN(concatif2(A:A,Table2[[#This Row],[!Table]],G:G,"Y",D:D,",")) &gt; 0,"rg:[ { 'req' : '"&amp;concatif2(A:A,Table2[[#This Row],[!Table]],G:G,"Y",D:D,"' }, { 'req': '")&amp;"'} ]","rg:[]")</f>
        <v>rg:[ { 'req' : 'id' }, { 'req': 'givenName' }, { 'req': 'surname' }, { 'req': 'active'} ]</v>
      </c>
      <c r="Y191" s="16" t="str">
        <f>IF(LEN(Table2[[#This Row],[!Unique]])&gt;0,"rg:True","rg:None")</f>
        <v>rg:None</v>
      </c>
    </row>
    <row r="192" spans="1:25" x14ac:dyDescent="0.3">
      <c r="A192" s="34" t="s">
        <v>0</v>
      </c>
      <c r="B192" s="34" t="s">
        <v>59</v>
      </c>
      <c r="C192" s="3"/>
      <c r="D192" s="34" t="s">
        <v>282</v>
      </c>
      <c r="F192" s="36" t="s">
        <v>139</v>
      </c>
      <c r="G192" s="19"/>
      <c r="H192" s="19"/>
      <c r="I192" s="4" t="str">
        <f>IF(LEN(A192) &gt; 0,"Defs","-")</f>
        <v>Defs</v>
      </c>
      <c r="J192" s="16" t="str">
        <f>IF(Table2[[#This Row],[!Type]]=J$1, J$1,"rg:None")</f>
        <v>rg:None</v>
      </c>
      <c r="K192" s="33" t="str">
        <f>IF(Table2[[#This Row],[!Type]]=K$1, K$1,"rg:None")</f>
        <v>rg:None</v>
      </c>
      <c r="L192" s="16" t="str">
        <f>IF(Table2[[#This Row],[!Type]]=L$1, L$1,"rg:None")</f>
        <v>rg:None</v>
      </c>
      <c r="M192" s="16" t="str">
        <f>IF(Table2[[#This Row],[!Type]]=M$1, M$1,"rg:None")</f>
        <v>rg:None</v>
      </c>
      <c r="N192" s="16" t="str">
        <f>IF(Table2[[#This Row],[!Type]]=N$1, N$1,"rg:None")</f>
        <v>rg:None</v>
      </c>
      <c r="O192" s="16" t="str">
        <f>IF(Table2[[#This Row],[!Type]]=O$1, O$1,"rg:None")</f>
        <v>rg:None</v>
      </c>
      <c r="P192" s="4" t="str">
        <f>IF(Table2[[#This Row],[!Type]]=P$1, P$1,"rg:None")</f>
        <v>links</v>
      </c>
      <c r="Q192" s="4" t="str">
        <f>IF(Table2[[#This Row],[!Type]]=Q$1, Q$1,"rg:None")</f>
        <v>rg:None</v>
      </c>
      <c r="R192" s="4" t="str">
        <f>IF(Table2[[#This Row],[!Type]]=R$1, R$1,"rg:None")</f>
        <v>rg:None</v>
      </c>
      <c r="S192" s="4" t="str">
        <f>IF(Table2[[#This Row],[!Type]]=S$1, S$1,"rg:None")</f>
        <v>rg:None</v>
      </c>
      <c r="T192" s="16" t="str">
        <f>IF(LEN(Table2[[#This Row],[!Length]]) &gt; 0, Table2[[#This Row],[!Length]], "rg:None")</f>
        <v>rg:None</v>
      </c>
      <c r="U192" s="16" t="str">
        <f>IF(LEN(Table2[[#This Row],[!Name]]) &gt; 0, Table2[[#This Row],[!Name]], "rg:None")</f>
        <v>groupMemberships</v>
      </c>
      <c r="V192" s="16" t="str">
        <f>IF(LEN(Table2[[#This Row],[!Description]]) &gt; 0, Table2[[#This Row],[!Description]], "rg:None")</f>
        <v>rg:None</v>
      </c>
      <c r="W192" s="16" t="str">
        <f>IF(LEN(Table2[[#This Row],[!FK]])&gt;0,Table2[[#This Row],[!FK]],"rg:None")</f>
        <v>GroupMembership</v>
      </c>
      <c r="X192" s="16" t="str">
        <f>IF(LEN(concatif2(A:A,Table2[[#This Row],[!Table]],G:G,"Y",D:D,",")) &gt; 0,"rg:[ { 'req' : '"&amp;concatif2(A:A,Table2[[#This Row],[!Table]],G:G,"Y",D:D,"' }, { 'req': '")&amp;"'} ]","rg:[]")</f>
        <v>rg:[ { 'req' : 'id' }, { 'req': 'givenName' }, { 'req': 'surname' }, { 'req': 'active'} ]</v>
      </c>
      <c r="Y192" s="16" t="str">
        <f>IF(LEN(Table2[[#This Row],[!Unique]])&gt;0,"rg:True","rg:None")</f>
        <v>rg:None</v>
      </c>
    </row>
    <row r="193" spans="1:25" x14ac:dyDescent="0.3">
      <c r="A193" s="54" t="s">
        <v>0</v>
      </c>
      <c r="B193" s="54" t="s">
        <v>9</v>
      </c>
      <c r="C193" s="3"/>
      <c r="D193" s="54" t="s">
        <v>102</v>
      </c>
      <c r="E193" s="54" t="s">
        <v>418</v>
      </c>
      <c r="F193" s="55" t="s">
        <v>93</v>
      </c>
      <c r="G193" s="19"/>
      <c r="H193" s="19"/>
      <c r="I193" s="4" t="str">
        <f>IF(LEN(A193) &gt; 0,"Defs","-")</f>
        <v>Defs</v>
      </c>
      <c r="J193" s="16" t="str">
        <f>IF(Table2[[#This Row],[!Type]]=J$1, J$1,"rg:None")</f>
        <v>rg:None</v>
      </c>
      <c r="K193" s="33" t="str">
        <f>IF(Table2[[#This Row],[!Type]]=K$1, K$1,"rg:None")</f>
        <v>rg:None</v>
      </c>
      <c r="L193" s="16" t="str">
        <f>IF(Table2[[#This Row],[!Type]]=L$1, L$1,"rg:None")</f>
        <v>rg:None</v>
      </c>
      <c r="M193" s="16" t="str">
        <f>IF(Table2[[#This Row],[!Type]]=M$1, M$1,"rg:None")</f>
        <v>rg:None</v>
      </c>
      <c r="N193" s="16" t="str">
        <f>IF(Table2[[#This Row],[!Type]]=N$1, N$1,"rg:None")</f>
        <v>rg:None</v>
      </c>
      <c r="O193" s="16"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16" t="str">
        <f>IF(LEN(Table2[[#This Row],[!Length]]) &gt; 0, Table2[[#This Row],[!Length]], "rg:None")</f>
        <v>rg:None</v>
      </c>
      <c r="U193" s="16" t="str">
        <f>IF(LEN(Table2[[#This Row],[!Name]]) &gt; 0, Table2[[#This Row],[!Name]], "rg:None")</f>
        <v>district</v>
      </c>
      <c r="V193" s="16" t="str">
        <f>IF(LEN(Table2[[#This Row],[!Description]]) &gt; 0, Table2[[#This Row],[!Description]], "rg:None")</f>
        <v>The District that the User belongs to</v>
      </c>
      <c r="W193" s="16" t="str">
        <f>IF(LEN(Table2[[#This Row],[!FK]])&gt;0,Table2[[#This Row],[!FK]],"rg:None")</f>
        <v>District</v>
      </c>
      <c r="X193" s="16" t="str">
        <f>IF(LEN(concatif2(A:A,Table2[[#This Row],[!Table]],G:G,"Y",D:D,",")) &gt; 0,"rg:[ { 'req' : '"&amp;concatif2(A:A,Table2[[#This Row],[!Table]],G:G,"Y",D:D,"' }, { 'req': '")&amp;"'} ]","rg:[]")</f>
        <v>rg:[ { 'req' : 'id' }, { 'req': 'givenName' }, { 'req': 'surname' }, { 'req': 'active'} ]</v>
      </c>
      <c r="Y193" s="16" t="str">
        <f>IF(LEN(Table2[[#This Row],[!Unique]])&gt;0,"rg:True","rg:None")</f>
        <v>rg:None</v>
      </c>
    </row>
    <row r="194" spans="1:25" x14ac:dyDescent="0.3">
      <c r="A194" s="3" t="s">
        <v>130</v>
      </c>
      <c r="B194" s="3" t="s">
        <v>5</v>
      </c>
      <c r="C194" s="3"/>
      <c r="D194" s="3" t="s">
        <v>130</v>
      </c>
      <c r="E194" s="43" t="s">
        <v>392</v>
      </c>
      <c r="F194" s="3" t="s">
        <v>6</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rg:None</v>
      </c>
      <c r="S194" s="5" t="str">
        <f>IF(Table2[[#This Row],[!Type]]=S$1, S$1,"rg:None")</f>
        <v>table</v>
      </c>
      <c r="T194" s="10" t="str">
        <f>IF(LEN(Table2[[#This Row],[!Length]]) &gt; 0, Table2[[#This Row],[!Length]], "rg:None")</f>
        <v>rg:None</v>
      </c>
      <c r="U194" s="10" t="str">
        <f>IF(LEN(Table2[[#This Row],[!Name]]) &gt; 0, Table2[[#This Row],[!Name]], "rg:None")</f>
        <v>UserRole</v>
      </c>
      <c r="V19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94" s="10" t="str">
        <f>IF(LEN(Table2[[#This Row],[!FK]])&gt;0,Table2[[#This Row],[!FK]],"rg:None")</f>
        <v>rg:None</v>
      </c>
      <c r="X194" s="10" t="str">
        <f>IF(LEN(concatif2(A:A,Table2[[#This Row],[!Table]],G:G,"Y",D:D,",")) &gt; 0,"rg:[ { 'req' : '"&amp;concatif2(A:A,Table2[[#This Row],[!Table]],G:G,"Y",D:D,"' }, { 'req': '")&amp;"'} ]","rg:[]")</f>
        <v>rg:[ { 'req' : 'id' }, { 'req': 'effectiveDate'} ]</v>
      </c>
      <c r="Y194" s="10" t="str">
        <f>IF(LEN(Table2[[#This Row],[!Unique]])&gt;0,"rg:True","rg:None")</f>
        <v>rg:None</v>
      </c>
    </row>
    <row r="195" spans="1:25" x14ac:dyDescent="0.3">
      <c r="A195" s="3" t="s">
        <v>130</v>
      </c>
      <c r="B195" s="3" t="s">
        <v>7</v>
      </c>
      <c r="C195" s="3"/>
      <c r="D195" s="3" t="s">
        <v>7</v>
      </c>
      <c r="E195" s="27" t="s">
        <v>301</v>
      </c>
      <c r="F195" s="3" t="s">
        <v>6</v>
      </c>
      <c r="G195" s="4" t="s">
        <v>142</v>
      </c>
      <c r="H195" s="4"/>
      <c r="I195" s="5" t="str">
        <f t="shared" si="5"/>
        <v>Defs</v>
      </c>
      <c r="J195" t="str">
        <f>IF(Table2[[#This Row],[!Type]]=J$1, J$1,"rg:None")</f>
        <v>rg:None</v>
      </c>
      <c r="K195" t="str">
        <f>IF(Table2[[#This Row],[!Type]]=K$1, K$1,"rg:None")</f>
        <v>rg:None</v>
      </c>
      <c r="L195" t="str">
        <f>IF(Table2[[#This Row],[!Type]]=L$1, L$1,"rg:None")</f>
        <v>rg:None</v>
      </c>
      <c r="M195" t="str">
        <f>IF(Table2[[#This Row],[!Type]]=M$1, M$1,"rg:None")</f>
        <v>id</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rg:None</v>
      </c>
      <c r="T195" s="10" t="str">
        <f>IF(LEN(Table2[[#This Row],[!Length]]) &gt; 0, Table2[[#This Row],[!Length]], "rg:None")</f>
        <v>rg:None</v>
      </c>
      <c r="U195" s="10" t="str">
        <f>IF(LEN(Table2[[#This Row],[!Name]]) &gt; 0, Table2[[#This Row],[!Name]], "rg:None")</f>
        <v>id</v>
      </c>
      <c r="V195" s="10" t="str">
        <f>IF(LEN(Table2[[#This Row],[!Description]]) &gt; 0, Table2[[#This Row],[!Description]], "rg:None")</f>
        <v>A system-generated unique identifier for a UserRole</v>
      </c>
      <c r="W195" s="10" t="str">
        <f>IF(LEN(Table2[[#This Row],[!FK]])&gt;0,Table2[[#This Row],[!FK]],"rg:None")</f>
        <v>rg:None</v>
      </c>
      <c r="X195" s="10" t="str">
        <f>IF(LEN(concatif2(A:A,Table2[[#This Row],[!Table]],G:G,"Y",D:D,",")) &gt; 0,"rg:[ { 'req' : '"&amp;concatif2(A:A,Table2[[#This Row],[!Table]],G:G,"Y",D:D,"' }, { 'req': '")&amp;"'} ]","rg:[]")</f>
        <v>rg:[ { 'req' : 'id' }, { 'req': 'effectiveDate'} ]</v>
      </c>
      <c r="Y195" s="10" t="str">
        <f>IF(LEN(Table2[[#This Row],[!Unique]])&gt;0,"rg:True","rg:None")</f>
        <v>rg:None</v>
      </c>
    </row>
    <row r="196" spans="1:25" x14ac:dyDescent="0.3">
      <c r="A196" s="3" t="s">
        <v>130</v>
      </c>
      <c r="B196" s="3" t="s">
        <v>25</v>
      </c>
      <c r="C196" s="3"/>
      <c r="D196" s="3" t="s">
        <v>131</v>
      </c>
      <c r="E196" s="43" t="s">
        <v>386</v>
      </c>
      <c r="F196" s="3" t="s">
        <v>6</v>
      </c>
      <c r="G196" s="4" t="s">
        <v>142</v>
      </c>
      <c r="H196" s="4"/>
      <c r="I196" s="5" t="str">
        <f t="shared" si="5"/>
        <v>Defs</v>
      </c>
      <c r="J196" t="str">
        <f>IF(Table2[[#This Row],[!Type]]=J$1, J$1,"rg:None")</f>
        <v>rg:None</v>
      </c>
      <c r="K196" t="str">
        <f>IF(Table2[[#This Row],[!Type]]=K$1, K$1,"rg:None")</f>
        <v>rg:None</v>
      </c>
      <c r="L196" t="str">
        <f>IF(Table2[[#This Row],[!Type]]=L$1, L$1,"rg:None")</f>
        <v>datetime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effectiveDate</v>
      </c>
      <c r="V196" s="10" t="str">
        <f>IF(LEN(Table2[[#This Row],[!Description]]) &gt; 0, Table2[[#This Row],[!Description]], "rg:None")</f>
        <v>The date on which the user was given the related role.</v>
      </c>
      <c r="W196" s="10" t="str">
        <f>IF(LEN(Table2[[#This Row],[!FK]])&gt;0,Table2[[#This Row],[!FK]],"rg:None")</f>
        <v>rg:None</v>
      </c>
      <c r="X196" s="10" t="str">
        <f>IF(LEN(concatif2(A:A,Table2[[#This Row],[!Table]],G:G,"Y",D:D,",")) &gt; 0,"rg:[ { 'req' : '"&amp;concatif2(A:A,Table2[[#This Row],[!Table]],G:G,"Y",D:D,"' }, { 'req': '")&amp;"'} ]","rg:[]")</f>
        <v>rg:[ { 'req' : 'id' }, { 'req': 'effectiveDate'} ]</v>
      </c>
      <c r="Y196" s="10" t="str">
        <f>IF(LEN(Table2[[#This Row],[!Unique]])&gt;0,"rg:True","rg:None")</f>
        <v>rg:None</v>
      </c>
    </row>
    <row r="197" spans="1:25" x14ac:dyDescent="0.3">
      <c r="A197" s="3" t="s">
        <v>130</v>
      </c>
      <c r="B197" s="3" t="s">
        <v>25</v>
      </c>
      <c r="C197" s="3"/>
      <c r="D197" s="3" t="s">
        <v>132</v>
      </c>
      <c r="E197" s="43" t="s">
        <v>387</v>
      </c>
      <c r="F197" s="3" t="s">
        <v>6</v>
      </c>
      <c r="G197" s="4"/>
      <c r="H197" s="4"/>
      <c r="I197" s="5" t="str">
        <f t="shared" si="5"/>
        <v>Defs</v>
      </c>
      <c r="J197" t="str">
        <f>IF(Table2[[#This Row],[!Type]]=J$1, J$1,"rg:None")</f>
        <v>rg:None</v>
      </c>
      <c r="K197" t="str">
        <f>IF(Table2[[#This Row],[!Type]]=K$1, K$1,"rg:None")</f>
        <v>rg:None</v>
      </c>
      <c r="L197" t="str">
        <f>IF(Table2[[#This Row],[!Type]]=L$1, L$1,"rg:None")</f>
        <v>datetime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expiryDate</v>
      </c>
      <c r="V197" s="10" t="str">
        <f>IF(LEN(Table2[[#This Row],[!Description]]) &gt; 0, Table2[[#This Row],[!Description]], "rg:None")</f>
        <v>The date on which a role previously assigned to a user was removed from that user.</v>
      </c>
      <c r="W197" s="10" t="str">
        <f>IF(LEN(Table2[[#This Row],[!FK]])&gt;0,Table2[[#This Row],[!FK]],"rg:None")</f>
        <v>rg:None</v>
      </c>
      <c r="X197" s="10" t="str">
        <f>IF(LEN(concatif2(A:A,Table2[[#This Row],[!Table]],G:G,"Y",D:D,",")) &gt; 0,"rg:[ { 'req' : '"&amp;concatif2(A:A,Table2[[#This Row],[!Table]],G:G,"Y",D:D,"' }, { 'req': '")&amp;"'} ]","rg:[]")</f>
        <v>rg:[ { 'req' : 'id' }, { 'req': 'effectiveDate'} ]</v>
      </c>
      <c r="Y197" s="10" t="str">
        <f>IF(LEN(Table2[[#This Row],[!Unique]])&gt;0,"rg:True","rg:None")</f>
        <v>rg:None</v>
      </c>
    </row>
    <row r="198" spans="1:25" x14ac:dyDescent="0.3">
      <c r="A198" s="3" t="s">
        <v>130</v>
      </c>
      <c r="B198" s="3" t="s">
        <v>9</v>
      </c>
      <c r="C198" s="3"/>
      <c r="D198" s="3" t="s">
        <v>57</v>
      </c>
      <c r="E198" s="27"/>
      <c r="F198" s="3" t="s">
        <v>133</v>
      </c>
      <c r="G198" s="4"/>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ref</v>
      </c>
      <c r="R198" s="5" t="str">
        <f>IF(Table2[[#This Row],[!Type]]=R$1, R$1,"rg:None")</f>
        <v>rg:None</v>
      </c>
      <c r="S198" s="5" t="str">
        <f>IF(Table2[[#This Row],[!Type]]=S$1, S$1,"rg:None")</f>
        <v>rg:None</v>
      </c>
      <c r="T198" s="10" t="str">
        <f>IF(LEN(Table2[[#This Row],[!Length]]) &gt; 0, Table2[[#This Row],[!Length]], "rg:None")</f>
        <v>rg:None</v>
      </c>
      <c r="U198" s="10" t="str">
        <f>IF(LEN(Table2[[#This Row],[!Name]]) &gt; 0, Table2[[#This Row],[!Name]], "rg:None")</f>
        <v>role</v>
      </c>
      <c r="V198" s="10" t="str">
        <f>IF(LEN(Table2[[#This Row],[!Description]]) &gt; 0, Table2[[#This Row],[!Description]], "rg:None")</f>
        <v>rg:None</v>
      </c>
      <c r="W198" s="10" t="str">
        <f>IF(LEN(Table2[[#This Row],[!FK]])&gt;0,Table2[[#This Row],[!FK]],"rg:None")</f>
        <v>Role</v>
      </c>
      <c r="X198" s="10" t="str">
        <f>IF(LEN(concatif2(A:A,Table2[[#This Row],[!Table]],G:G,"Y",D:D,",")) &gt; 0,"rg:[ { 'req' : '"&amp;concatif2(A:A,Table2[[#This Row],[!Table]],G:G,"Y",D:D,"' }, { 'req': '")&amp;"'} ]","rg:[]")</f>
        <v>rg:[ { 'req' : 'id' }, { 'req': 'effectiveDate'} ]</v>
      </c>
      <c r="Y198" s="10" t="str">
        <f>IF(LEN(Table2[[#This Row],[!Unique]])&gt;0,"rg:True","rg:None")</f>
        <v>rg:None</v>
      </c>
    </row>
    <row r="199" spans="1:25" x14ac:dyDescent="0.3">
      <c r="A199" s="3" t="s">
        <v>133</v>
      </c>
      <c r="B199" s="3" t="s">
        <v>5</v>
      </c>
      <c r="C199" s="3"/>
      <c r="D199" s="3" t="s">
        <v>133</v>
      </c>
      <c r="E199" s="43" t="s">
        <v>388</v>
      </c>
      <c r="F199" s="3" t="s">
        <v>6</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rg:None</v>
      </c>
      <c r="S199" s="5" t="str">
        <f>IF(Table2[[#This Row],[!Type]]=S$1, S$1,"rg:None")</f>
        <v>table</v>
      </c>
      <c r="T199" s="10" t="str">
        <f>IF(LEN(Table2[[#This Row],[!Length]]) &gt; 0, Table2[[#This Row],[!Length]], "rg:None")</f>
        <v>rg:None</v>
      </c>
      <c r="U199" s="10" t="str">
        <f>IF(LEN(Table2[[#This Row],[!Name]]) &gt; 0, Table2[[#This Row],[!Name]], "rg:None")</f>
        <v>Role</v>
      </c>
      <c r="V19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99" s="10" t="str">
        <f>IF(LEN(Table2[[#This Row],[!FK]])&gt;0,Table2[[#This Row],[!FK]],"rg:None")</f>
        <v>rg:None</v>
      </c>
      <c r="X199" s="10" t="str">
        <f>IF(LEN(concatif2(A:A,Table2[[#This Row],[!Table]],G:G,"Y",D:D,",")) &gt; 0,"rg:[ { 'req' : '"&amp;concatif2(A:A,Table2[[#This Row],[!Table]],G:G,"Y",D:D,"' }, { 'req': '")&amp;"'} ]","rg:[]")</f>
        <v>rg:[ { 'req' : 'id' }, { 'req': 'name' }, { 'req': 'description'} ]</v>
      </c>
      <c r="Y199" s="10" t="str">
        <f>IF(LEN(Table2[[#This Row],[!Unique]])&gt;0,"rg:True","rg:None")</f>
        <v>rg:None</v>
      </c>
    </row>
    <row r="200" spans="1:25" x14ac:dyDescent="0.3">
      <c r="A200" s="3" t="s">
        <v>133</v>
      </c>
      <c r="B200" s="3" t="s">
        <v>7</v>
      </c>
      <c r="C200" s="3"/>
      <c r="D200" s="3" t="s">
        <v>7</v>
      </c>
      <c r="E200" s="27" t="s">
        <v>302</v>
      </c>
      <c r="F200" s="3" t="s">
        <v>6</v>
      </c>
      <c r="G200" s="4" t="s">
        <v>142</v>
      </c>
      <c r="H200" s="4"/>
      <c r="I200" s="5" t="str">
        <f t="shared" si="5"/>
        <v>Defs</v>
      </c>
      <c r="J200" t="str">
        <f>IF(Table2[[#This Row],[!Type]]=J$1, J$1,"rg:None")</f>
        <v>rg:None</v>
      </c>
      <c r="K200" t="str">
        <f>IF(Table2[[#This Row],[!Type]]=K$1, K$1,"rg:None")</f>
        <v>rg:None</v>
      </c>
      <c r="L200" t="str">
        <f>IF(Table2[[#This Row],[!Type]]=L$1, L$1,"rg:None")</f>
        <v>rg:None</v>
      </c>
      <c r="M200" t="str">
        <f>IF(Table2[[#This Row],[!Type]]=M$1, M$1,"rg:None")</f>
        <v>id</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rg:None</v>
      </c>
      <c r="S200" s="5" t="str">
        <f>IF(Table2[[#This Row],[!Type]]=S$1, S$1,"rg:None")</f>
        <v>rg:None</v>
      </c>
      <c r="T200" s="10" t="str">
        <f>IF(LEN(Table2[[#This Row],[!Length]]) &gt; 0, Table2[[#This Row],[!Length]], "rg:None")</f>
        <v>rg:None</v>
      </c>
      <c r="U200" s="10" t="str">
        <f>IF(LEN(Table2[[#This Row],[!Name]]) &gt; 0, Table2[[#This Row],[!Name]], "rg:None")</f>
        <v>id</v>
      </c>
      <c r="V200" s="10" t="str">
        <f>IF(LEN(Table2[[#This Row],[!Description]]) &gt; 0, Table2[[#This Row],[!Description]], "rg:None")</f>
        <v>A system-generated unique identifier for a Role</v>
      </c>
      <c r="W200" s="10" t="str">
        <f>IF(LEN(Table2[[#This Row],[!FK]])&gt;0,Table2[[#This Row],[!FK]],"rg:None")</f>
        <v>rg:None</v>
      </c>
      <c r="X200" s="10" t="str">
        <f>IF(LEN(concatif2(A:A,Table2[[#This Row],[!Table]],G:G,"Y",D:D,",")) &gt; 0,"rg:[ { 'req' : '"&amp;concatif2(A:A,Table2[[#This Row],[!Table]],G:G,"Y",D:D,"' }, { 'req': '")&amp;"'} ]","rg:[]")</f>
        <v>rg:[ { 'req' : 'id' }, { 'req': 'name' }, { 'req': 'description'} ]</v>
      </c>
      <c r="Y200" s="10" t="str">
        <f>IF(LEN(Table2[[#This Row],[!Unique]])&gt;0,"rg:True","rg:None")</f>
        <v>rg:None</v>
      </c>
    </row>
    <row r="201" spans="1:25" x14ac:dyDescent="0.3">
      <c r="A201" s="3" t="s">
        <v>133</v>
      </c>
      <c r="B201" s="3" t="s">
        <v>8</v>
      </c>
      <c r="C201" s="3">
        <v>255</v>
      </c>
      <c r="D201" s="3" t="s">
        <v>46</v>
      </c>
      <c r="E201" s="43" t="s">
        <v>389</v>
      </c>
      <c r="F201" s="3" t="s">
        <v>6</v>
      </c>
      <c r="G201" s="4" t="s">
        <v>142</v>
      </c>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string</v>
      </c>
      <c r="S201" s="5" t="str">
        <f>IF(Table2[[#This Row],[!Type]]=S$1, S$1,"rg:None")</f>
        <v>rg:None</v>
      </c>
      <c r="T201" s="10">
        <f>IF(LEN(Table2[[#This Row],[!Length]]) &gt; 0, Table2[[#This Row],[!Length]], "rg:None")</f>
        <v>255</v>
      </c>
      <c r="U201" s="10" t="str">
        <f>IF(LEN(Table2[[#This Row],[!Name]]) &gt; 0, Table2[[#This Row],[!Name]], "rg:None")</f>
        <v>name</v>
      </c>
      <c r="V201" s="10" t="str">
        <f>IF(LEN(Table2[[#This Row],[!Description]]) &gt; 0, Table2[[#This Row],[!Description]], "rg:None")</f>
        <v>The name of the Role, as established by the user creating the role.</v>
      </c>
      <c r="W201" s="10" t="str">
        <f>IF(LEN(Table2[[#This Row],[!FK]])&gt;0,Table2[[#This Row],[!FK]],"rg:None")</f>
        <v>rg:None</v>
      </c>
      <c r="X201" s="10" t="str">
        <f>IF(LEN(concatif2(A:A,Table2[[#This Row],[!Table]],G:G,"Y",D:D,",")) &gt; 0,"rg:[ { 'req' : '"&amp;concatif2(A:A,Table2[[#This Row],[!Table]],G:G,"Y",D:D,"' }, { 'req': '")&amp;"'} ]","rg:[]")</f>
        <v>rg:[ { 'req' : 'id' }, { 'req': 'name' }, { 'req': 'description'} ]</v>
      </c>
      <c r="Y201" s="10" t="str">
        <f>IF(LEN(Table2[[#This Row],[!Unique]])&gt;0,"rg:True","rg:None")</f>
        <v>rg:None</v>
      </c>
    </row>
    <row r="202" spans="1:25" x14ac:dyDescent="0.3">
      <c r="A202" s="3" t="s">
        <v>133</v>
      </c>
      <c r="B202" s="3" t="s">
        <v>8</v>
      </c>
      <c r="C202" s="3">
        <v>255</v>
      </c>
      <c r="D202" s="3" t="s">
        <v>44</v>
      </c>
      <c r="E202" s="43" t="s">
        <v>390</v>
      </c>
      <c r="F202" s="3" t="s">
        <v>6</v>
      </c>
      <c r="G202" s="4" t="s">
        <v>142</v>
      </c>
      <c r="H202" s="4"/>
      <c r="I202" s="5" t="str">
        <f t="shared" si="5"/>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string</v>
      </c>
      <c r="S202" s="5" t="str">
        <f>IF(Table2[[#This Row],[!Type]]=S$1, S$1,"rg:None")</f>
        <v>rg:None</v>
      </c>
      <c r="T202" s="10">
        <f>IF(LEN(Table2[[#This Row],[!Length]]) &gt; 0, Table2[[#This Row],[!Length]], "rg:None")</f>
        <v>255</v>
      </c>
      <c r="U202" s="10" t="str">
        <f>IF(LEN(Table2[[#This Row],[!Name]]) &gt; 0, Table2[[#This Row],[!Name]], "rg:None")</f>
        <v>description</v>
      </c>
      <c r="V202" s="10" t="str">
        <f>IF(LEN(Table2[[#This Row],[!Description]]) &gt; 0, Table2[[#This Row],[!Description]], "rg:None")</f>
        <v>A description of the role as set by the user creating/updating the role.</v>
      </c>
      <c r="W202" s="10" t="str">
        <f>IF(LEN(Table2[[#This Row],[!FK]])&gt;0,Table2[[#This Row],[!FK]],"rg:None")</f>
        <v>rg:None</v>
      </c>
      <c r="X202" s="10" t="str">
        <f>IF(LEN(concatif2(A:A,Table2[[#This Row],[!Table]],G:G,"Y",D:D,",")) &gt; 0,"rg:[ { 'req' : '"&amp;concatif2(A:A,Table2[[#This Row],[!Table]],G:G,"Y",D:D,"' }, { 'req': '")&amp;"'} ]","rg:[]")</f>
        <v>rg:[ { 'req' : 'id' }, { 'req': 'name' }, { 'req': 'description'} ]</v>
      </c>
      <c r="Y202" s="10" t="str">
        <f>IF(LEN(Table2[[#This Row],[!Unique]])&gt;0,"rg:True","rg:None")</f>
        <v>rg:None</v>
      </c>
    </row>
    <row r="203" spans="1:25" x14ac:dyDescent="0.3">
      <c r="A203" s="3" t="s">
        <v>133</v>
      </c>
      <c r="B203" s="3" t="s">
        <v>59</v>
      </c>
      <c r="C203" s="3"/>
      <c r="D203" s="3" t="s">
        <v>134</v>
      </c>
      <c r="E203" s="27"/>
      <c r="F203" s="3" t="s">
        <v>135</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links</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rolePermissions</v>
      </c>
      <c r="V203" s="10" t="str">
        <f>IF(LEN(Table2[[#This Row],[!Description]]) &gt; 0, Table2[[#This Row],[!Description]], "rg:None")</f>
        <v>rg:None</v>
      </c>
      <c r="W203" s="10" t="str">
        <f>IF(LEN(Table2[[#This Row],[!FK]])&gt;0,Table2[[#This Row],[!FK]],"rg:None")</f>
        <v>RolePermission</v>
      </c>
      <c r="X203" s="10" t="str">
        <f>IF(LEN(concatif2(A:A,Table2[[#This Row],[!Table]],G:G,"Y",D:D,",")) &gt; 0,"rg:[ { 'req' : '"&amp;concatif2(A:A,Table2[[#This Row],[!Table]],G:G,"Y",D:D,"' }, { 'req': '")&amp;"'} ]","rg:[]")</f>
        <v>rg:[ { 'req' : 'id' }, { 'req': 'name' }, { 'req': 'description'} ]</v>
      </c>
      <c r="Y203" s="10" t="str">
        <f>IF(LEN(Table2[[#This Row],[!Unique]])&gt;0,"rg:True","rg:None")</f>
        <v>rg:None</v>
      </c>
    </row>
    <row r="204" spans="1:25" x14ac:dyDescent="0.3">
      <c r="A204" s="3" t="s">
        <v>133</v>
      </c>
      <c r="B204" s="3" t="s">
        <v>59</v>
      </c>
      <c r="C204" s="3"/>
      <c r="D204" s="3" t="s">
        <v>129</v>
      </c>
      <c r="E204" s="27"/>
      <c r="F204" s="3" t="s">
        <v>130</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links</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userRoles</v>
      </c>
      <c r="V204" s="10" t="str">
        <f>IF(LEN(Table2[[#This Row],[!Description]]) &gt; 0, Table2[[#This Row],[!Description]], "rg:None")</f>
        <v>rg:None</v>
      </c>
      <c r="W204" s="10" t="str">
        <f>IF(LEN(Table2[[#This Row],[!FK]])&gt;0,Table2[[#This Row],[!FK]],"rg:None")</f>
        <v>UserRole</v>
      </c>
      <c r="X204" s="10" t="str">
        <f>IF(LEN(concatif2(A:A,Table2[[#This Row],[!Table]],G:G,"Y",D:D,",")) &gt; 0,"rg:[ { 'req' : '"&amp;concatif2(A:A,Table2[[#This Row],[!Table]],G:G,"Y",D:D,"' }, { 'req': '")&amp;"'} ]","rg:[]")</f>
        <v>rg:[ { 'req' : 'id' }, { 'req': 'name' }, { 'req': 'description'} ]</v>
      </c>
      <c r="Y204" s="10" t="str">
        <f>IF(LEN(Table2[[#This Row],[!Unique]])&gt;0,"rg:True","rg:None")</f>
        <v>rg:None</v>
      </c>
    </row>
    <row r="205" spans="1:25" x14ac:dyDescent="0.3">
      <c r="A205" s="3" t="s">
        <v>135</v>
      </c>
      <c r="B205" s="3" t="s">
        <v>5</v>
      </c>
      <c r="C205" s="3"/>
      <c r="D205" s="3" t="s">
        <v>135</v>
      </c>
      <c r="E205" s="43" t="s">
        <v>391</v>
      </c>
      <c r="F205" s="3" t="s">
        <v>6</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RolePermission</v>
      </c>
      <c r="V205" s="10" t="str">
        <f>IF(LEN(Table2[[#This Row],[!Description]]) &gt; 0, Table2[[#This Row],[!Description]], "rg:None")</f>
        <v>The collection of permissions included in a role.</v>
      </c>
      <c r="W205" s="10" t="str">
        <f>IF(LEN(Table2[[#This Row],[!FK]])&gt;0,Table2[[#This Row],[!FK]],"rg:None")</f>
        <v>rg:None</v>
      </c>
      <c r="X205" s="10" t="str">
        <f>IF(LEN(concatif2(A:A,Table2[[#This Row],[!Table]],G:G,"Y",D:D,",")) &gt; 0,"rg:[ { 'req' : '"&amp;concatif2(A:A,Table2[[#This Row],[!Table]],G:G,"Y",D:D,"' }, { 'req': '")&amp;"'} ]","rg:[]")</f>
        <v>rg:[ { 'req' : 'id'} ]</v>
      </c>
      <c r="Y205" s="10" t="str">
        <f>IF(LEN(Table2[[#This Row],[!Unique]])&gt;0,"rg:True","rg:None")</f>
        <v>rg:None</v>
      </c>
    </row>
    <row r="206" spans="1:25" x14ac:dyDescent="0.3">
      <c r="A206" s="3" t="s">
        <v>135</v>
      </c>
      <c r="B206" s="3" t="s">
        <v>7</v>
      </c>
      <c r="C206" s="3"/>
      <c r="D206" s="3" t="s">
        <v>7</v>
      </c>
      <c r="E206" s="27" t="s">
        <v>303</v>
      </c>
      <c r="F206" s="3" t="s">
        <v>6</v>
      </c>
      <c r="G206" s="4" t="s">
        <v>142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A system-generated unique identifier for a RolePermission</v>
      </c>
      <c r="W206" s="10" t="str">
        <f>IF(LEN(Table2[[#This Row],[!FK]])&gt;0,Table2[[#This Row],[!FK]],"rg:None")</f>
        <v>rg:None</v>
      </c>
      <c r="X206" s="10" t="str">
        <f>IF(LEN(concatif2(A:A,Table2[[#This Row],[!Table]],G:G,"Y",D:D,",")) &gt; 0,"rg:[ { 'req' : '"&amp;concatif2(A:A,Table2[[#This Row],[!Table]],G:G,"Y",D:D,"' }, { 'req': '")&amp;"'} ]","rg:[]")</f>
        <v>rg:[ { 'req' : 'id'} ]</v>
      </c>
      <c r="Y206" s="10" t="str">
        <f>IF(LEN(Table2[[#This Row],[!Unique]])&gt;0,"rg:True","rg:None")</f>
        <v>rg:None</v>
      </c>
    </row>
    <row r="207" spans="1:25" x14ac:dyDescent="0.3">
      <c r="A207" s="3" t="s">
        <v>135</v>
      </c>
      <c r="B207" s="3" t="s">
        <v>9</v>
      </c>
      <c r="C207" s="3"/>
      <c r="D207" s="3" t="s">
        <v>57</v>
      </c>
      <c r="E207" s="27"/>
      <c r="F207" s="3" t="s">
        <v>133</v>
      </c>
      <c r="G207" s="4"/>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ref</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role</v>
      </c>
      <c r="V207" s="10" t="str">
        <f>IF(LEN(Table2[[#This Row],[!Description]]) &gt; 0, Table2[[#This Row],[!Description]], "rg:None")</f>
        <v>rg:None</v>
      </c>
      <c r="W207" s="10" t="str">
        <f>IF(LEN(Table2[[#This Row],[!FK]])&gt;0,Table2[[#This Row],[!FK]],"rg:None")</f>
        <v>Role</v>
      </c>
      <c r="X207" s="10" t="str">
        <f>IF(LEN(concatif2(A:A,Table2[[#This Row],[!Table]],G:G,"Y",D:D,",")) &gt; 0,"rg:[ { 'req' : '"&amp;concatif2(A:A,Table2[[#This Row],[!Table]],G:G,"Y",D:D,"' }, { 'req': '")&amp;"'} ]","rg:[]")</f>
        <v>rg:[ { 'req' : 'id'} ]</v>
      </c>
      <c r="Y207" s="10" t="str">
        <f>IF(LEN(Table2[[#This Row],[!Unique]])&gt;0,"rg:True","rg:None")</f>
        <v>rg:None</v>
      </c>
    </row>
    <row r="208" spans="1:25" x14ac:dyDescent="0.3">
      <c r="A208" s="3" t="s">
        <v>135</v>
      </c>
      <c r="B208" s="3" t="s">
        <v>9</v>
      </c>
      <c r="C208" s="3"/>
      <c r="D208" s="3" t="s">
        <v>136</v>
      </c>
      <c r="E208" s="27"/>
      <c r="F208" s="3" t="s">
        <v>137</v>
      </c>
      <c r="G208" s="4"/>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permission</v>
      </c>
      <c r="V208" s="10" t="str">
        <f>IF(LEN(Table2[[#This Row],[!Description]]) &gt; 0, Table2[[#This Row],[!Description]], "rg:None")</f>
        <v>rg:None</v>
      </c>
      <c r="W208" s="10" t="str">
        <f>IF(LEN(Table2[[#This Row],[!FK]])&gt;0,Table2[[#This Row],[!FK]],"rg:None")</f>
        <v>Permission</v>
      </c>
      <c r="X208" s="10" t="str">
        <f>IF(LEN(concatif2(A:A,Table2[[#This Row],[!Table]],G:G,"Y",D:D,",")) &gt; 0,"rg:[ { 'req' : '"&amp;concatif2(A:A,Table2[[#This Row],[!Table]],G:G,"Y",D:D,"' }, { 'req': '")&amp;"'} ]","rg:[]")</f>
        <v>rg:[ { 'req' : 'id'} ]</v>
      </c>
      <c r="Y208" s="10" t="str">
        <f>IF(LEN(Table2[[#This Row],[!Unique]])&gt;0,"rg:True","rg:None")</f>
        <v>rg:None</v>
      </c>
    </row>
    <row r="209" spans="1:25" x14ac:dyDescent="0.3">
      <c r="A209" s="3" t="s">
        <v>137</v>
      </c>
      <c r="B209" s="3" t="s">
        <v>5</v>
      </c>
      <c r="C209" s="3"/>
      <c r="D209" s="3" t="s">
        <v>137</v>
      </c>
      <c r="E209" s="43" t="s">
        <v>393</v>
      </c>
      <c r="F209" s="3" t="s">
        <v>6</v>
      </c>
      <c r="G209" s="4"/>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Permission</v>
      </c>
      <c r="V20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row>
    <row r="210" spans="1:25" x14ac:dyDescent="0.3">
      <c r="A210" s="3" t="s">
        <v>137</v>
      </c>
      <c r="B210" s="3" t="s">
        <v>7</v>
      </c>
      <c r="C210" s="3"/>
      <c r="D210" s="3" t="s">
        <v>7</v>
      </c>
      <c r="E210" s="27" t="s">
        <v>304</v>
      </c>
      <c r="F210" s="3" t="s">
        <v>6</v>
      </c>
      <c r="G210" s="4" t="s">
        <v>142</v>
      </c>
      <c r="H210" s="4"/>
      <c r="I210" s="5" t="str">
        <f t="shared" si="5"/>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Permission</v>
      </c>
      <c r="W210" s="10" t="str">
        <f>IF(LEN(Table2[[#This Row],[!FK]])&gt;0,Table2[[#This Row],[!FK]],"rg:None")</f>
        <v>rg:None</v>
      </c>
      <c r="X210" s="10" t="str">
        <f>IF(LEN(concatif2(A:A,Table2[[#This Row],[!Table]],G:G,"Y",D:D,",")) &gt; 0,"rg:[ { 'req' : '"&amp;concatif2(A:A,Table2[[#This Row],[!Table]],G:G,"Y",D:D,"' }, { 'req': '")&amp;"'} ]","rg:[]")</f>
        <v>rg:[ { 'req' : 'id' }, { 'req': 'code' }, { 'req': 'name' }, { 'req': 'description'} ]</v>
      </c>
      <c r="Y210" s="10" t="str">
        <f>IF(LEN(Table2[[#This Row],[!Unique]])&gt;0,"rg:True","rg:None")</f>
        <v>rg:None</v>
      </c>
    </row>
    <row r="211" spans="1:25" x14ac:dyDescent="0.3">
      <c r="A211" s="3" t="s">
        <v>137</v>
      </c>
      <c r="B211" s="3" t="s">
        <v>8</v>
      </c>
      <c r="C211" s="3">
        <v>255</v>
      </c>
      <c r="D211" s="3" t="s">
        <v>138</v>
      </c>
      <c r="E211" s="43" t="s">
        <v>394</v>
      </c>
      <c r="F211" s="3" t="s">
        <v>6</v>
      </c>
      <c r="G211" s="4" t="s">
        <v>142</v>
      </c>
      <c r="H211" s="4"/>
      <c r="I211" s="5" t="str">
        <f t="shared" si="5"/>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code</v>
      </c>
      <c r="V211" s="10" t="str">
        <f>IF(LEN(Table2[[#This Row],[!Description]]) &gt; 0, Table2[[#This Row],[!Description]], "rg:None")</f>
        <v>The name of the permission referenced in the software of the application.</v>
      </c>
      <c r="W211" s="10" t="str">
        <f>IF(LEN(Table2[[#This Row],[!FK]])&gt;0,Table2[[#This Row],[!FK]],"rg:None")</f>
        <v>rg:None</v>
      </c>
      <c r="X211" s="10" t="str">
        <f>IF(LEN(concatif2(A:A,Table2[[#This Row],[!Table]],G:G,"Y",D:D,",")) &gt; 0,"rg:[ { 'req' : '"&amp;concatif2(A:A,Table2[[#This Row],[!Table]],G:G,"Y",D:D,"' }, { 'req': '")&amp;"'} ]","rg:[]")</f>
        <v>rg:[ { 'req' : 'id' }, { 'req': 'code' }, { 'req': 'name' }, { 'req': 'description'} ]</v>
      </c>
      <c r="Y211" s="10" t="str">
        <f>IF(LEN(Table2[[#This Row],[!Unique]])&gt;0,"rg:True","rg:None")</f>
        <v>rg:None</v>
      </c>
    </row>
    <row r="212" spans="1:25" x14ac:dyDescent="0.3">
      <c r="A212" s="3" t="s">
        <v>137</v>
      </c>
      <c r="B212" s="3" t="s">
        <v>8</v>
      </c>
      <c r="C212" s="3">
        <v>255</v>
      </c>
      <c r="D212" s="3" t="s">
        <v>46</v>
      </c>
      <c r="E212" s="43" t="s">
        <v>395</v>
      </c>
      <c r="F212" s="3" t="s">
        <v>6</v>
      </c>
      <c r="G212" s="4" t="s">
        <v>142</v>
      </c>
      <c r="H212" s="4"/>
      <c r="I212" s="5" t="str">
        <f t="shared" si="5"/>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name</v>
      </c>
      <c r="V212" s="10" t="str">
        <f>IF(LEN(Table2[[#This Row],[!Description]]) &gt; 0, Table2[[#This Row],[!Description]], "rg:None")</f>
        <v>The 'user friendly' name of the permission exposed to the user selecting the permissions to be included in a Role.</v>
      </c>
      <c r="W212" s="10" t="str">
        <f>IF(LEN(Table2[[#This Row],[!FK]])&gt;0,Table2[[#This Row],[!FK]],"rg:None")</f>
        <v>rg:None</v>
      </c>
      <c r="X212" s="10" t="str">
        <f>IF(LEN(concatif2(A:A,Table2[[#This Row],[!Table]],G:G,"Y",D:D,",")) &gt; 0,"rg:[ { 'req' : '"&amp;concatif2(A:A,Table2[[#This Row],[!Table]],G:G,"Y",D:D,"' }, { 'req': '")&amp;"'} ]","rg:[]")</f>
        <v>rg:[ { 'req' : 'id' }, { 'req': 'code' }, { 'req': 'name' }, { 'req': 'description'} ]</v>
      </c>
      <c r="Y212" s="10" t="str">
        <f>IF(LEN(Table2[[#This Row],[!Unique]])&gt;0,"rg:True","rg:None")</f>
        <v>rg:None</v>
      </c>
    </row>
    <row r="213" spans="1:25" x14ac:dyDescent="0.3">
      <c r="A213" s="3" t="s">
        <v>137</v>
      </c>
      <c r="B213" s="3" t="s">
        <v>8</v>
      </c>
      <c r="C213" s="3">
        <v>255</v>
      </c>
      <c r="D213" s="3" t="s">
        <v>44</v>
      </c>
      <c r="E213" s="43" t="s">
        <v>396</v>
      </c>
      <c r="F213" s="3" t="s">
        <v>6</v>
      </c>
      <c r="G213" s="4" t="s">
        <v>142</v>
      </c>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string</v>
      </c>
      <c r="S213" s="5" t="str">
        <f>IF(Table2[[#This Row],[!Type]]=S$1, S$1,"rg:None")</f>
        <v>rg:None</v>
      </c>
      <c r="T213" s="10">
        <f>IF(LEN(Table2[[#This Row],[!Length]]) &gt; 0, Table2[[#This Row],[!Length]], "rg:None")</f>
        <v>255</v>
      </c>
      <c r="U213" s="10" t="str">
        <f>IF(LEN(Table2[[#This Row],[!Name]]) &gt; 0, Table2[[#This Row],[!Name]], "rg:None")</f>
        <v>description</v>
      </c>
      <c r="V213" s="10" t="str">
        <f>IF(LEN(Table2[[#This Row],[!Description]]) &gt; 0, Table2[[#This Row],[!Description]], "rg:None")</f>
        <v>A description of the purpose of the permission and exposed to the user selecting the permissions to be included in a Role.</v>
      </c>
      <c r="W213" s="10" t="str">
        <f>IF(LEN(Table2[[#This Row],[!FK]])&gt;0,Table2[[#This Row],[!FK]],"rg:None")</f>
        <v>rg:None</v>
      </c>
      <c r="X213" s="10" t="str">
        <f>IF(LEN(concatif2(A:A,Table2[[#This Row],[!Table]],G:G,"Y",D:D,",")) &gt; 0,"rg:[ { 'req' : '"&amp;concatif2(A:A,Table2[[#This Row],[!Table]],G:G,"Y",D:D,"' }, { 'req': '")&amp;"'} ]","rg:[]")</f>
        <v>rg:[ { 'req' : 'id' }, { 'req': 'code' }, { 'req': 'name' }, { 'req': 'description'} ]</v>
      </c>
      <c r="Y213" s="10" t="str">
        <f>IF(LEN(Table2[[#This Row],[!Unique]])&gt;0,"rg:True","rg:None")</f>
        <v>rg:None</v>
      </c>
    </row>
    <row r="214" spans="1:25" x14ac:dyDescent="0.3">
      <c r="A214" s="3" t="s">
        <v>139</v>
      </c>
      <c r="B214" s="3" t="s">
        <v>5</v>
      </c>
      <c r="C214" s="3"/>
      <c r="D214" s="3" t="s">
        <v>139</v>
      </c>
      <c r="E214" s="43" t="s">
        <v>397</v>
      </c>
      <c r="F214" s="3" t="s">
        <v>6</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rg:None</v>
      </c>
      <c r="R214" s="5" t="str">
        <f>IF(Table2[[#This Row],[!Type]]=R$1, R$1,"rg:None")</f>
        <v>rg:None</v>
      </c>
      <c r="S214" s="5" t="str">
        <f>IF(Table2[[#This Row],[!Type]]=S$1, S$1,"rg:None")</f>
        <v>table</v>
      </c>
      <c r="T214" s="10" t="str">
        <f>IF(LEN(Table2[[#This Row],[!Length]]) &gt; 0, Table2[[#This Row],[!Length]], "rg:None")</f>
        <v>rg:None</v>
      </c>
      <c r="U214" s="10" t="str">
        <f>IF(LEN(Table2[[#This Row],[!Name]]) &gt; 0, Table2[[#This Row],[!Name]], "rg:None")</f>
        <v>GroupMembership</v>
      </c>
      <c r="V214" s="10" t="str">
        <f>IF(LEN(Table2[[#This Row],[!Description]]) &gt; 0, Table2[[#This Row],[!Description]], "rg:None")</f>
        <v>The users associated with a given group that has been defined in the application.</v>
      </c>
      <c r="W214" s="10" t="str">
        <f>IF(LEN(Table2[[#This Row],[!FK]])&gt;0,Table2[[#This Row],[!FK]],"rg:None")</f>
        <v>rg:None</v>
      </c>
      <c r="X214" s="10" t="str">
        <f>IF(LEN(concatif2(A:A,Table2[[#This Row],[!Table]],G:G,"Y",D:D,",")) &gt; 0,"rg:[ { 'req' : '"&amp;concatif2(A:A,Table2[[#This Row],[!Table]],G:G,"Y",D:D,"' }, { 'req': '")&amp;"'} ]","rg:[]")</f>
        <v>rg:[ { 'req' : 'id' }, { 'req': 'active'} ]</v>
      </c>
      <c r="Y214" s="10" t="str">
        <f>IF(LEN(Table2[[#This Row],[!Unique]])&gt;0,"rg:True","rg:None")</f>
        <v>rg:None</v>
      </c>
    </row>
    <row r="215" spans="1:25" x14ac:dyDescent="0.3">
      <c r="A215" s="3" t="s">
        <v>139</v>
      </c>
      <c r="B215" s="3" t="s">
        <v>7</v>
      </c>
      <c r="C215" s="3"/>
      <c r="D215" s="3" t="s">
        <v>7</v>
      </c>
      <c r="E215" s="27" t="s">
        <v>305</v>
      </c>
      <c r="F215" s="3" t="s">
        <v>6</v>
      </c>
      <c r="G215" s="4" t="s">
        <v>142</v>
      </c>
      <c r="H215" s="4"/>
      <c r="I215" s="5" t="str">
        <f t="shared" si="5"/>
        <v>Defs</v>
      </c>
      <c r="J215" t="str">
        <f>IF(Table2[[#This Row],[!Type]]=J$1, J$1,"rg:None")</f>
        <v>rg:None</v>
      </c>
      <c r="K215" t="str">
        <f>IF(Table2[[#This Row],[!Type]]=K$1, K$1,"rg:None")</f>
        <v>rg:None</v>
      </c>
      <c r="L215" t="str">
        <f>IF(Table2[[#This Row],[!Type]]=L$1, L$1,"rg:None")</f>
        <v>rg:None</v>
      </c>
      <c r="M215" t="str">
        <f>IF(Table2[[#This Row],[!Type]]=M$1, M$1,"rg:None")</f>
        <v>id</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id</v>
      </c>
      <c r="V215" s="10" t="str">
        <f>IF(LEN(Table2[[#This Row],[!Description]]) &gt; 0, Table2[[#This Row],[!Description]], "rg:None")</f>
        <v>A system-generated unique identifier for a GroupMembership</v>
      </c>
      <c r="W215" s="10" t="str">
        <f>IF(LEN(Table2[[#This Row],[!FK]])&gt;0,Table2[[#This Row],[!FK]],"rg:None")</f>
        <v>rg:None</v>
      </c>
      <c r="X215" s="10" t="str">
        <f>IF(LEN(concatif2(A:A,Table2[[#This Row],[!Table]],G:G,"Y",D:D,",")) &gt; 0,"rg:[ { 'req' : '"&amp;concatif2(A:A,Table2[[#This Row],[!Table]],G:G,"Y",D:D,"' }, { 'req': '")&amp;"'} ]","rg:[]")</f>
        <v>rg:[ { 'req' : 'id' }, { 'req': 'active'} ]</v>
      </c>
      <c r="Y215" s="10" t="str">
        <f>IF(LEN(Table2[[#This Row],[!Unique]])&gt;0,"rg:True","rg:None")</f>
        <v>rg:None</v>
      </c>
    </row>
    <row r="216" spans="1:25" x14ac:dyDescent="0.3">
      <c r="A216" s="3" t="s">
        <v>139</v>
      </c>
      <c r="B216" s="3" t="s">
        <v>14</v>
      </c>
      <c r="C216" s="3"/>
      <c r="D216" s="3" t="s">
        <v>122</v>
      </c>
      <c r="E216" s="43" t="s">
        <v>398</v>
      </c>
      <c r="F216" s="3" t="s">
        <v>6</v>
      </c>
      <c r="G216" s="4" t="s">
        <v>142</v>
      </c>
      <c r="H216" s="4"/>
      <c r="I216" s="5" t="str">
        <f t="shared" si="5"/>
        <v>Defs</v>
      </c>
      <c r="J216" t="str">
        <f>IF(Table2[[#This Row],[!Type]]=J$1, J$1,"rg:None")</f>
        <v>boolean</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active</v>
      </c>
      <c r="V216" s="10" t="str">
        <f>IF(LEN(Table2[[#This Row],[!Description]]) &gt; 0, Table2[[#This Row],[!Description]], "rg:None")</f>
        <v>A flag indicating the User is active in the group. Set false to remove the user from the designated group.</v>
      </c>
      <c r="W216" s="10" t="str">
        <f>IF(LEN(Table2[[#This Row],[!FK]])&gt;0,Table2[[#This Row],[!FK]],"rg:None")</f>
        <v>rg:None</v>
      </c>
      <c r="X216" s="10" t="str">
        <f>IF(LEN(concatif2(A:A,Table2[[#This Row],[!Table]],G:G,"Y",D:D,",")) &gt; 0,"rg:[ { 'req' : '"&amp;concatif2(A:A,Table2[[#This Row],[!Table]],G:G,"Y",D:D,"' }, { 'req': '")&amp;"'} ]","rg:[]")</f>
        <v>rg:[ { 'req' : 'id' }, { 'req': 'active'} ]</v>
      </c>
      <c r="Y216" s="10" t="str">
        <f>IF(LEN(Table2[[#This Row],[!Unique]])&gt;0,"rg:True","rg:None")</f>
        <v>rg:None</v>
      </c>
    </row>
    <row r="217" spans="1:25" x14ac:dyDescent="0.3">
      <c r="A217" s="3" t="s">
        <v>139</v>
      </c>
      <c r="B217" s="3" t="s">
        <v>9</v>
      </c>
      <c r="C217" s="3"/>
      <c r="D217" s="3" t="s">
        <v>140</v>
      </c>
      <c r="E217" s="27"/>
      <c r="F217" s="3" t="s">
        <v>141</v>
      </c>
      <c r="G217" s="4"/>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group</v>
      </c>
      <c r="V217" s="10" t="str">
        <f>IF(LEN(Table2[[#This Row],[!Description]]) &gt; 0, Table2[[#This Row],[!Description]], "rg:None")</f>
        <v>rg:None</v>
      </c>
      <c r="W217" s="10" t="str">
        <f>IF(LEN(Table2[[#This Row],[!FK]])&gt;0,Table2[[#This Row],[!FK]],"rg:None")</f>
        <v>Group</v>
      </c>
      <c r="X217" s="10" t="str">
        <f>IF(LEN(concatif2(A:A,Table2[[#This Row],[!Table]],G:G,"Y",D:D,",")) &gt; 0,"rg:[ { 'req' : '"&amp;concatif2(A:A,Table2[[#This Row],[!Table]],G:G,"Y",D:D,"' }, { 'req': '")&amp;"'} ]","rg:[]")</f>
        <v>rg:[ { 'req' : 'id' }, { 'req': 'active'} ]</v>
      </c>
      <c r="Y217" s="10" t="str">
        <f>IF(LEN(Table2[[#This Row],[!Unique]])&gt;0,"rg:True","rg:None")</f>
        <v>rg:None</v>
      </c>
    </row>
    <row r="218" spans="1:25" x14ac:dyDescent="0.3">
      <c r="A218" s="3" t="s">
        <v>139</v>
      </c>
      <c r="B218" s="3" t="s">
        <v>9</v>
      </c>
      <c r="C218" s="3"/>
      <c r="D218" s="3" t="s">
        <v>117</v>
      </c>
      <c r="E218" s="27"/>
      <c r="F218" s="3" t="s">
        <v>0</v>
      </c>
      <c r="G218" s="4"/>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user</v>
      </c>
      <c r="V218" s="10" t="str">
        <f>IF(LEN(Table2[[#This Row],[!Description]]) &gt; 0, Table2[[#This Row],[!Description]], "rg:None")</f>
        <v>rg:None</v>
      </c>
      <c r="W218" s="10" t="str">
        <f>IF(LEN(Table2[[#This Row],[!FK]])&gt;0,Table2[[#This Row],[!FK]],"rg:None")</f>
        <v>User</v>
      </c>
      <c r="X218" s="10" t="str">
        <f>IF(LEN(concatif2(A:A,Table2[[#This Row],[!Table]],G:G,"Y",D:D,",")) &gt; 0,"rg:[ { 'req' : '"&amp;concatif2(A:A,Table2[[#This Row],[!Table]],G:G,"Y",D:D,"' }, { 'req': '")&amp;"'} ]","rg:[]")</f>
        <v>rg:[ { 'req' : 'id' }, { 'req': 'active'} ]</v>
      </c>
      <c r="Y218" s="10" t="str">
        <f>IF(LEN(Table2[[#This Row],[!Unique]])&gt;0,"rg:True","rg:None")</f>
        <v>rg:None</v>
      </c>
    </row>
    <row r="219" spans="1:25" x14ac:dyDescent="0.3">
      <c r="A219" s="3" t="s">
        <v>141</v>
      </c>
      <c r="B219" s="3" t="s">
        <v>5</v>
      </c>
      <c r="C219" s="3"/>
      <c r="D219" s="3" t="s">
        <v>141</v>
      </c>
      <c r="E219" s="43" t="s">
        <v>399</v>
      </c>
      <c r="F219" s="3" t="s">
        <v>6</v>
      </c>
      <c r="G219" s="4"/>
      <c r="H219" s="4"/>
      <c r="I219" s="5" t="str">
        <f t="shared" si="5"/>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Group</v>
      </c>
      <c r="V21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19" s="10" t="str">
        <f>IF(LEN(Table2[[#This Row],[!FK]])&gt;0,Table2[[#This Row],[!FK]],"rg:None")</f>
        <v>rg:None</v>
      </c>
      <c r="X219" s="10" t="str">
        <f>IF(LEN(concatif2(A:A,Table2[[#This Row],[!Table]],G:G,"Y",D:D,",")) &gt; 0,"rg:[ { 'req' : '"&amp;concatif2(A:A,Table2[[#This Row],[!Table]],G:G,"Y",D:D,"' }, { 'req': '")&amp;"'} ]","rg:[]")</f>
        <v>rg:[ { 'req' : 'id' }, { 'req': 'name' }, { 'req': 'description'} ]</v>
      </c>
      <c r="Y219" s="10" t="str">
        <f>IF(LEN(Table2[[#This Row],[!Unique]])&gt;0,"rg:True","rg:None")</f>
        <v>rg:None</v>
      </c>
    </row>
    <row r="220" spans="1:25" x14ac:dyDescent="0.3">
      <c r="A220" s="3" t="s">
        <v>141</v>
      </c>
      <c r="B220" s="3" t="s">
        <v>7</v>
      </c>
      <c r="C220" s="3"/>
      <c r="D220" s="3" t="s">
        <v>7</v>
      </c>
      <c r="E220" s="27" t="s">
        <v>306</v>
      </c>
      <c r="F220" s="3" t="s">
        <v>6</v>
      </c>
      <c r="G220" s="4" t="s">
        <v>142</v>
      </c>
      <c r="H220" s="4"/>
      <c r="I220" s="5" t="str">
        <f t="shared" si="5"/>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Group</v>
      </c>
      <c r="W220" s="10" t="str">
        <f>IF(LEN(Table2[[#This Row],[!FK]])&gt;0,Table2[[#This Row],[!FK]],"rg:None")</f>
        <v>rg:None</v>
      </c>
      <c r="X220" s="10" t="str">
        <f>IF(LEN(concatif2(A:A,Table2[[#This Row],[!Table]],G:G,"Y",D:D,",")) &gt; 0,"rg:[ { 'req' : '"&amp;concatif2(A:A,Table2[[#This Row],[!Table]],G:G,"Y",D:D,"' }, { 'req': '")&amp;"'} ]","rg:[]")</f>
        <v>rg:[ { 'req' : 'id' }, { 'req': 'name' }, { 'req': 'description'} ]</v>
      </c>
      <c r="Y220" s="10" t="str">
        <f>IF(LEN(Table2[[#This Row],[!Unique]])&gt;0,"rg:True","rg:None")</f>
        <v>rg:None</v>
      </c>
    </row>
    <row r="221" spans="1:25" x14ac:dyDescent="0.3">
      <c r="A221" s="3" t="s">
        <v>141</v>
      </c>
      <c r="B221" s="3" t="s">
        <v>8</v>
      </c>
      <c r="C221" s="3">
        <v>255</v>
      </c>
      <c r="D221" s="3" t="s">
        <v>46</v>
      </c>
      <c r="E221" s="43" t="s">
        <v>400</v>
      </c>
      <c r="F221" s="3" t="s">
        <v>6</v>
      </c>
      <c r="G221" s="4" t="s">
        <v>142</v>
      </c>
      <c r="H221" s="4"/>
      <c r="I221" s="5" t="str">
        <f t="shared" si="5"/>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name</v>
      </c>
      <c r="V221" s="10" t="str">
        <f>IF(LEN(Table2[[#This Row],[!Description]]) &gt; 0, Table2[[#This Row],[!Description]], "rg:None")</f>
        <v>The name of the group, as refenced in the code.</v>
      </c>
      <c r="W221" s="10" t="str">
        <f>IF(LEN(Table2[[#This Row],[!FK]])&gt;0,Table2[[#This Row],[!FK]],"rg:None")</f>
        <v>rg:None</v>
      </c>
      <c r="X221" s="10" t="str">
        <f>IF(LEN(concatif2(A:A,Table2[[#This Row],[!Table]],G:G,"Y",D:D,",")) &gt; 0,"rg:[ { 'req' : '"&amp;concatif2(A:A,Table2[[#This Row],[!Table]],G:G,"Y",D:D,"' }, { 'req': '")&amp;"'} ]","rg:[]")</f>
        <v>rg:[ { 'req' : 'id' }, { 'req': 'name' }, { 'req': 'description'} ]</v>
      </c>
      <c r="Y221" s="10" t="str">
        <f>IF(LEN(Table2[[#This Row],[!Unique]])&gt;0,"rg:True","rg:None")</f>
        <v>rg:None</v>
      </c>
    </row>
    <row r="222" spans="1:25" x14ac:dyDescent="0.3">
      <c r="A222" s="3" t="s">
        <v>141</v>
      </c>
      <c r="B222" s="3" t="s">
        <v>8</v>
      </c>
      <c r="C222" s="3">
        <v>255</v>
      </c>
      <c r="D222" s="3" t="s">
        <v>44</v>
      </c>
      <c r="E222" s="43" t="s">
        <v>401</v>
      </c>
      <c r="F222" s="3" t="s">
        <v>6</v>
      </c>
      <c r="G222" s="4" t="s">
        <v>142</v>
      </c>
      <c r="H222" s="4"/>
      <c r="I222" s="5" t="str">
        <f t="shared" si="5"/>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description</v>
      </c>
      <c r="V222" s="10" t="str">
        <f>IF(LEN(Table2[[#This Row],[!Description]]) &gt; 0, Table2[[#This Row],[!Description]], "rg:None")</f>
        <v>A description of the group that is presented to the user when they are setting a user into a group.</v>
      </c>
      <c r="W222" s="10" t="str">
        <f>IF(LEN(Table2[[#This Row],[!FK]])&gt;0,Table2[[#This Row],[!FK]],"rg:None")</f>
        <v>rg:None</v>
      </c>
      <c r="X222" s="10" t="str">
        <f>IF(LEN(concatif2(A:A,Table2[[#This Row],[!Table]],G:G,"Y",D:D,",")) &gt; 0,"rg:[ { 'req' : '"&amp;concatif2(A:A,Table2[[#This Row],[!Table]],G:G,"Y",D:D,"' }, { 'req': '")&amp;"'} ]","rg:[]")</f>
        <v>rg:[ { 'req' : 'id' }, { 'req': 'name' }, { 'req': 'description'} ]</v>
      </c>
      <c r="Y222"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0"/>
  <sheetViews>
    <sheetView zoomScale="130" zoomScaleNormal="130" workbookViewId="0">
      <pane ySplit="1" topLeftCell="A20" activePane="bottomLeft" state="frozen"/>
      <selection pane="bottomLeft" activeCell="D33" sqref="D33"/>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39"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9" t="s">
        <v>192</v>
      </c>
      <c r="B35" s="12" t="s">
        <v>224</v>
      </c>
      <c r="C35" s="3" t="s">
        <v>16</v>
      </c>
      <c r="D35" s="3"/>
      <c r="E35" s="3"/>
      <c r="F35" s="3"/>
      <c r="G35" s="10" t="str">
        <f t="shared" si="0"/>
        <v>Path</v>
      </c>
      <c r="H35" s="5" t="str">
        <f>IF(LEN(Table23[[#This Row],[!type]])&gt;0,IF(Table23[[#This Row],[!type]]=H$1,"1","rg:None"),"-")</f>
        <v>1</v>
      </c>
      <c r="I35" s="5" t="str">
        <f>IF(LEN(Table23[[#This Row],[!type]])&gt;0,IF(Table23[[#This Row],[!type]]=I$1,"1","rg:None"),"-")</f>
        <v>rg:None</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Row],[!path]]) &gt;0,Table23[[#This Row],[!path]],"rg:None")</f>
        <v>serviceareas</v>
      </c>
      <c r="Q35" s="5" t="str">
        <f>IF(LEN(Table23[[#This Row],[!tag]]) &gt;0,Table23[[#This Row],[!tag]],"rg:None")</f>
        <v>ServiceArea</v>
      </c>
      <c r="R35" s="5" t="str">
        <f>IF(LEN(Table23[[#This Row],[!paramDef]]) &gt;0,Table23[[#This Row],[!paramDef]],"rg:None")</f>
        <v>rg:None</v>
      </c>
      <c r="S35" s="5" t="str">
        <f>IF(LEN(Table23[[#This Row],[!respDef]]) &gt;0,Table23[[#This Row],[!respDef]],"rg:None")</f>
        <v>rg:None</v>
      </c>
      <c r="T35" s="5" t="str">
        <f>IF(LEN(Table23[[#This Row],[!Description]]) &gt;0,Table23[[#This Row],[!Description]],"rg:None")</f>
        <v>rg:None</v>
      </c>
    </row>
    <row r="36" spans="1:20" x14ac:dyDescent="0.3">
      <c r="A36" s="48" t="s">
        <v>194</v>
      </c>
      <c r="B36" s="48" t="s">
        <v>224</v>
      </c>
      <c r="C36" s="50" t="s">
        <v>16</v>
      </c>
      <c r="D36" s="51" t="s">
        <v>16</v>
      </c>
      <c r="E36" s="14"/>
      <c r="F36" s="15"/>
      <c r="G36" s="16"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serviceareas</v>
      </c>
      <c r="Q36" s="4" t="str">
        <f>IF(LEN(Table23[[#This Row],[!tag]]) &gt;0,Table23[[#This Row],[!tag]],"rg:None")</f>
        <v>ServiceArea</v>
      </c>
      <c r="R36" s="4" t="str">
        <f>IF(LEN(Table23[[#This Row],[!paramDef]]) &gt;0,Table23[[#This Row],[!paramDef]],"rg:None")</f>
        <v>ServiceArea</v>
      </c>
      <c r="S36" s="4" t="str">
        <f>IF(LEN(Table23[[#This Row],[!respDef]]) &gt;0,Table23[[#This Row],[!respDef]],"rg:None")</f>
        <v>rg:None</v>
      </c>
      <c r="T36" s="4" t="str">
        <f>IF(LEN(Table23[[#This Row],[!Description]]) &gt;0,Table23[[#This Row],[!Description]],"rg:None")</f>
        <v>rg:None</v>
      </c>
    </row>
    <row r="37" spans="1:20" x14ac:dyDescent="0.3">
      <c r="A37" s="9" t="s">
        <v>192</v>
      </c>
      <c r="B37" s="12" t="s">
        <v>225</v>
      </c>
      <c r="C37" s="3" t="s">
        <v>19</v>
      </c>
      <c r="D37" s="3"/>
      <c r="E37" s="3"/>
      <c r="F37" s="3"/>
      <c r="G37" s="10" t="str">
        <f>IF(LEN(A37) &gt;0,"Path","-")</f>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cities</v>
      </c>
      <c r="Q37" s="5" t="str">
        <f>IF(LEN(Table23[[#This Row],[!tag]]) &gt;0,Table23[[#This Row],[!tag]],"rg:None")</f>
        <v>City</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225</v>
      </c>
      <c r="C38" s="50" t="s">
        <v>19</v>
      </c>
      <c r="D38" s="51" t="s">
        <v>19</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cities</v>
      </c>
      <c r="Q38" s="4" t="str">
        <f>IF(LEN(Table23[[#This Row],[!tag]]) &gt;0,Table23[[#This Row],[!tag]],"rg:None")</f>
        <v>City</v>
      </c>
      <c r="R38" s="4" t="str">
        <f>IF(LEN(Table23[[#This Row],[!paramDef]]) &gt;0,Table23[[#This Row],[!paramDef]],"rg:None")</f>
        <v>City</v>
      </c>
      <c r="S38" s="4" t="str">
        <f>IF(LEN(Table23[[#This Row],[!respDef]]) &gt;0,Table23[[#This Row],[!respDef]],"rg:None")</f>
        <v>rg:None</v>
      </c>
      <c r="T38" s="4" t="str">
        <f>IF(LEN(Table23[[#This Row],[!Description]]) &gt;0,Table23[[#This Row],[!Description]],"rg:None")</f>
        <v>rg:None</v>
      </c>
    </row>
    <row r="39" spans="1:20" x14ac:dyDescent="0.3">
      <c r="A39" s="9" t="s">
        <v>192</v>
      </c>
      <c r="B39" s="12" t="s">
        <v>226</v>
      </c>
      <c r="C39" s="3" t="s">
        <v>28</v>
      </c>
      <c r="D39" s="3"/>
      <c r="E39" s="3"/>
      <c r="F39" s="3"/>
      <c r="G39" s="10" t="str">
        <f t="shared" si="0"/>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schooldistricts</v>
      </c>
      <c r="Q39" s="5" t="str">
        <f>IF(LEN(Table23[[#This Row],[!tag]]) &gt;0,Table23[[#This Row],[!tag]],"rg:None")</f>
        <v>SchoolDistrict</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226</v>
      </c>
      <c r="C40" s="50" t="s">
        <v>28</v>
      </c>
      <c r="D40" s="51" t="s">
        <v>28</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schooldistricts</v>
      </c>
      <c r="Q40" s="4" t="str">
        <f>IF(LEN(Table23[[#This Row],[!tag]]) &gt;0,Table23[[#This Row],[!tag]],"rg:None")</f>
        <v>SchoolDistrict</v>
      </c>
      <c r="R40" s="4" t="str">
        <f>IF(LEN(Table23[[#This Row],[!paramDef]]) &gt;0,Table23[[#This Row],[!paramDef]],"rg:None")</f>
        <v>SchoolDistrict</v>
      </c>
      <c r="S40" s="4" t="str">
        <f>IF(LEN(Table23[[#This Row],[!respDef]]) &gt;0,Table23[[#This Row],[!respDef]],"rg:None")</f>
        <v>rg:None</v>
      </c>
      <c r="T4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2017-02-16T23:38:30Z</dcterms:modified>
</cp:coreProperties>
</file>