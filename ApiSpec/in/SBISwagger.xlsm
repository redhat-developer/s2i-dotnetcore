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defs.csv!$A$1:$I$216</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30" i="27" l="1"/>
  <c r="H31" i="27"/>
  <c r="H32" i="27"/>
  <c r="I30" i="27"/>
  <c r="I31" i="27"/>
  <c r="I32" i="27"/>
  <c r="J30" i="27"/>
  <c r="J31" i="27"/>
  <c r="J32" i="27"/>
  <c r="K30" i="27"/>
  <c r="K31" i="27"/>
  <c r="K32" i="27"/>
  <c r="L30" i="27"/>
  <c r="L31" i="27"/>
  <c r="L32" i="27"/>
  <c r="M30" i="27"/>
  <c r="M31" i="27"/>
  <c r="M32" i="27"/>
  <c r="N30" i="27"/>
  <c r="N31" i="27"/>
  <c r="N32" i="27"/>
  <c r="O30" i="27"/>
  <c r="O31" i="27"/>
  <c r="O32" i="27"/>
  <c r="P30" i="27"/>
  <c r="P31" i="27"/>
  <c r="P32" i="27"/>
  <c r="Q30" i="27"/>
  <c r="Q31" i="27"/>
  <c r="Q32" i="27"/>
  <c r="R30" i="27"/>
  <c r="R31" i="27"/>
  <c r="R32" i="27"/>
  <c r="S30" i="27"/>
  <c r="S31" i="27"/>
  <c r="S32" i="27"/>
  <c r="T30" i="27"/>
  <c r="T31" i="27"/>
  <c r="T32" i="27"/>
  <c r="U30" i="27"/>
  <c r="U31" i="27"/>
  <c r="U32" i="27"/>
  <c r="H131" i="27" l="1"/>
  <c r="I131" i="27"/>
  <c r="J131" i="27"/>
  <c r="K131" i="27"/>
  <c r="L131" i="27"/>
  <c r="M131" i="27"/>
  <c r="N131" i="27"/>
  <c r="O131" i="27"/>
  <c r="P131" i="27"/>
  <c r="Q131" i="27"/>
  <c r="R131" i="27"/>
  <c r="S131" i="27"/>
  <c r="T131" i="27"/>
  <c r="H92" i="27"/>
  <c r="I92" i="27"/>
  <c r="J92" i="27"/>
  <c r="K92" i="27"/>
  <c r="L92" i="27"/>
  <c r="M92" i="27"/>
  <c r="N92" i="27"/>
  <c r="O92" i="27"/>
  <c r="P92" i="27"/>
  <c r="Q92" i="27"/>
  <c r="R92" i="27"/>
  <c r="S92" i="27"/>
  <c r="T92" i="27"/>
  <c r="U131" i="27"/>
  <c r="U92" i="27"/>
  <c r="H127" i="27" l="1"/>
  <c r="I127" i="27"/>
  <c r="J127" i="27"/>
  <c r="K127" i="27"/>
  <c r="L127" i="27"/>
  <c r="M127" i="27"/>
  <c r="N127" i="27"/>
  <c r="O127" i="27"/>
  <c r="P127" i="27"/>
  <c r="Q127" i="27"/>
  <c r="R127" i="27"/>
  <c r="S127" i="27"/>
  <c r="T127"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H29" i="27"/>
  <c r="I29" i="27"/>
  <c r="J29" i="27"/>
  <c r="K29" i="27"/>
  <c r="L29" i="27"/>
  <c r="M29" i="27"/>
  <c r="N29" i="27"/>
  <c r="O29" i="27"/>
  <c r="P29" i="27"/>
  <c r="Q29" i="27"/>
  <c r="R29" i="27"/>
  <c r="S29" i="27"/>
  <c r="T29" i="27"/>
  <c r="U127" i="27"/>
  <c r="U29" i="27"/>
  <c r="T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93" i="27"/>
  <c r="S94" i="27"/>
  <c r="S95" i="27"/>
  <c r="S96" i="27"/>
  <c r="S97" i="27"/>
  <c r="S98" i="27"/>
  <c r="S99" i="27"/>
  <c r="S100" i="27"/>
  <c r="S101" i="27"/>
  <c r="S102" i="27"/>
  <c r="S103" i="27"/>
  <c r="S104" i="27"/>
  <c r="S33" i="27"/>
  <c r="S34" i="27"/>
  <c r="S35" i="27"/>
  <c r="S36" i="27"/>
  <c r="S37" i="27"/>
  <c r="S38" i="27"/>
  <c r="S39" i="27"/>
  <c r="S40" i="27"/>
  <c r="S41" i="27"/>
  <c r="S42" i="27"/>
  <c r="S43" i="27"/>
  <c r="S105" i="27"/>
  <c r="S106" i="27"/>
  <c r="S107" i="27"/>
  <c r="S108" i="27"/>
  <c r="S109" i="27"/>
  <c r="S110" i="27"/>
  <c r="S111" i="27"/>
  <c r="S112" i="27"/>
  <c r="S113" i="27"/>
  <c r="S114" i="27"/>
  <c r="S115" i="27"/>
  <c r="S116" i="27"/>
  <c r="S117" i="27"/>
  <c r="S118" i="27"/>
  <c r="S119" i="27"/>
  <c r="S120" i="27"/>
  <c r="S121" i="27"/>
  <c r="S122" i="27"/>
  <c r="S123" i="27"/>
  <c r="S124"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125" i="27"/>
  <c r="S126" i="27"/>
  <c r="S128" i="27"/>
  <c r="S129" i="27"/>
  <c r="S130"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93" i="27"/>
  <c r="R94" i="27"/>
  <c r="R95" i="27"/>
  <c r="R96" i="27"/>
  <c r="R97" i="27"/>
  <c r="R98" i="27"/>
  <c r="R99" i="27"/>
  <c r="R100" i="27"/>
  <c r="R101" i="27"/>
  <c r="R102" i="27"/>
  <c r="R103" i="27"/>
  <c r="R104" i="27"/>
  <c r="R33" i="27"/>
  <c r="R34" i="27"/>
  <c r="R35" i="27"/>
  <c r="R36" i="27"/>
  <c r="R37" i="27"/>
  <c r="R38" i="27"/>
  <c r="R39" i="27"/>
  <c r="R40" i="27"/>
  <c r="R41" i="27"/>
  <c r="R42" i="27"/>
  <c r="R43" i="27"/>
  <c r="R105" i="27"/>
  <c r="R106" i="27"/>
  <c r="R107" i="27"/>
  <c r="R108" i="27"/>
  <c r="R109" i="27"/>
  <c r="R110" i="27"/>
  <c r="R111" i="27"/>
  <c r="R112" i="27"/>
  <c r="R113" i="27"/>
  <c r="R114" i="27"/>
  <c r="R115" i="27"/>
  <c r="R116" i="27"/>
  <c r="R117" i="27"/>
  <c r="R118" i="27"/>
  <c r="R119" i="27"/>
  <c r="R120" i="27"/>
  <c r="R121" i="27"/>
  <c r="R122" i="27"/>
  <c r="R123" i="27"/>
  <c r="R124"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125" i="27"/>
  <c r="R126" i="27"/>
  <c r="R128" i="27"/>
  <c r="R129" i="27"/>
  <c r="R130"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T3" i="27"/>
  <c r="T4" i="27"/>
  <c r="T5" i="27"/>
  <c r="T6" i="27"/>
  <c r="T7" i="27"/>
  <c r="T8" i="27"/>
  <c r="T9" i="27"/>
  <c r="T10" i="27"/>
  <c r="T12" i="27"/>
  <c r="T13" i="27"/>
  <c r="T14" i="27"/>
  <c r="T15" i="27"/>
  <c r="T16" i="27"/>
  <c r="T17" i="27"/>
  <c r="T18" i="27"/>
  <c r="T19" i="27"/>
  <c r="T20" i="27"/>
  <c r="T21" i="27"/>
  <c r="T22" i="27"/>
  <c r="T23" i="27"/>
  <c r="T24" i="27"/>
  <c r="T25" i="27"/>
  <c r="T26" i="27"/>
  <c r="T27" i="27"/>
  <c r="T28" i="27"/>
  <c r="T93" i="27"/>
  <c r="T94" i="27"/>
  <c r="T95" i="27"/>
  <c r="T96" i="27"/>
  <c r="T97" i="27"/>
  <c r="T98" i="27"/>
  <c r="T99" i="27"/>
  <c r="T100" i="27"/>
  <c r="T101" i="27"/>
  <c r="T102" i="27"/>
  <c r="T103" i="27"/>
  <c r="T104" i="27"/>
  <c r="T33" i="27"/>
  <c r="T34" i="27"/>
  <c r="T35" i="27"/>
  <c r="T36" i="27"/>
  <c r="T37" i="27"/>
  <c r="T38" i="27"/>
  <c r="T39" i="27"/>
  <c r="T40" i="27"/>
  <c r="T41" i="27"/>
  <c r="T42" i="27"/>
  <c r="T43" i="27"/>
  <c r="T105" i="27"/>
  <c r="T106" i="27"/>
  <c r="T107" i="27"/>
  <c r="T108" i="27"/>
  <c r="T109" i="27"/>
  <c r="T110" i="27"/>
  <c r="T111" i="27"/>
  <c r="T112" i="27"/>
  <c r="T113" i="27"/>
  <c r="T114" i="27"/>
  <c r="T115" i="27"/>
  <c r="T116" i="27"/>
  <c r="T117" i="27"/>
  <c r="T118" i="27"/>
  <c r="T119" i="27"/>
  <c r="T120" i="27"/>
  <c r="T121" i="27"/>
  <c r="T122" i="27"/>
  <c r="T123" i="27"/>
  <c r="T124"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125" i="27"/>
  <c r="T126" i="27"/>
  <c r="T128" i="27"/>
  <c r="T129" i="27"/>
  <c r="T130"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93" i="27"/>
  <c r="K94" i="27"/>
  <c r="K95" i="27"/>
  <c r="K96" i="27"/>
  <c r="K97" i="27"/>
  <c r="K98" i="27"/>
  <c r="K99" i="27"/>
  <c r="K100" i="27"/>
  <c r="K101" i="27"/>
  <c r="K102" i="27"/>
  <c r="K103" i="27"/>
  <c r="K104" i="27"/>
  <c r="K33" i="27"/>
  <c r="K34" i="27"/>
  <c r="K35" i="27"/>
  <c r="K36" i="27"/>
  <c r="K37" i="27"/>
  <c r="K38" i="27"/>
  <c r="K39" i="27"/>
  <c r="K40" i="27"/>
  <c r="K41" i="27"/>
  <c r="K42" i="27"/>
  <c r="K43" i="27"/>
  <c r="K105" i="27"/>
  <c r="K106" i="27"/>
  <c r="K107" i="27"/>
  <c r="K108" i="27"/>
  <c r="K109" i="27"/>
  <c r="K110" i="27"/>
  <c r="K111" i="27"/>
  <c r="K112" i="27"/>
  <c r="K113" i="27"/>
  <c r="K114" i="27"/>
  <c r="K115" i="27"/>
  <c r="K116" i="27"/>
  <c r="K117" i="27"/>
  <c r="K118" i="27"/>
  <c r="K119" i="27"/>
  <c r="K120" i="27"/>
  <c r="K121" i="27"/>
  <c r="K122" i="27"/>
  <c r="K123" i="27"/>
  <c r="K124"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125" i="27"/>
  <c r="K126" i="27"/>
  <c r="K128" i="27"/>
  <c r="K129" i="27"/>
  <c r="K130"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93" i="27"/>
  <c r="J94" i="27"/>
  <c r="J95" i="27"/>
  <c r="J96" i="27"/>
  <c r="J97" i="27"/>
  <c r="J98" i="27"/>
  <c r="J99" i="27"/>
  <c r="J100" i="27"/>
  <c r="J101" i="27"/>
  <c r="J102" i="27"/>
  <c r="J103" i="27"/>
  <c r="J104" i="27"/>
  <c r="J33" i="27"/>
  <c r="J34" i="27"/>
  <c r="J35" i="27"/>
  <c r="J36" i="27"/>
  <c r="J37" i="27"/>
  <c r="J38" i="27"/>
  <c r="J39" i="27"/>
  <c r="J40" i="27"/>
  <c r="J41" i="27"/>
  <c r="J42" i="27"/>
  <c r="J43" i="27"/>
  <c r="J105" i="27"/>
  <c r="J106" i="27"/>
  <c r="J107" i="27"/>
  <c r="J108" i="27"/>
  <c r="J109" i="27"/>
  <c r="J110" i="27"/>
  <c r="J111" i="27"/>
  <c r="J112" i="27"/>
  <c r="J113" i="27"/>
  <c r="J114" i="27"/>
  <c r="J115" i="27"/>
  <c r="J116" i="27"/>
  <c r="J117" i="27"/>
  <c r="J118" i="27"/>
  <c r="J119" i="27"/>
  <c r="J120" i="27"/>
  <c r="J121" i="27"/>
  <c r="J122" i="27"/>
  <c r="J123" i="27"/>
  <c r="J124"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125" i="27"/>
  <c r="J126" i="27"/>
  <c r="J128" i="27"/>
  <c r="J129" i="27"/>
  <c r="J130"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93" i="27"/>
  <c r="I94" i="27"/>
  <c r="I95" i="27"/>
  <c r="I96" i="27"/>
  <c r="I97" i="27"/>
  <c r="I98" i="27"/>
  <c r="I99" i="27"/>
  <c r="I100" i="27"/>
  <c r="I101" i="27"/>
  <c r="I102" i="27"/>
  <c r="I103" i="27"/>
  <c r="I104" i="27"/>
  <c r="I33" i="27"/>
  <c r="I34" i="27"/>
  <c r="I35" i="27"/>
  <c r="I36" i="27"/>
  <c r="I37" i="27"/>
  <c r="I38" i="27"/>
  <c r="I39" i="27"/>
  <c r="I40" i="27"/>
  <c r="I41" i="27"/>
  <c r="I42" i="27"/>
  <c r="I43" i="27"/>
  <c r="I105" i="27"/>
  <c r="I106" i="27"/>
  <c r="I107" i="27"/>
  <c r="I108" i="27"/>
  <c r="I109" i="27"/>
  <c r="I110" i="27"/>
  <c r="I111" i="27"/>
  <c r="I112" i="27"/>
  <c r="I113" i="27"/>
  <c r="I114" i="27"/>
  <c r="I115" i="27"/>
  <c r="I116" i="27"/>
  <c r="I117" i="27"/>
  <c r="I118" i="27"/>
  <c r="I119" i="27"/>
  <c r="I120" i="27"/>
  <c r="I121" i="27"/>
  <c r="I122" i="27"/>
  <c r="I123" i="27"/>
  <c r="I124"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125" i="27"/>
  <c r="I126" i="27"/>
  <c r="I128" i="27"/>
  <c r="I129" i="27"/>
  <c r="I130"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93" i="27"/>
  <c r="H94" i="27"/>
  <c r="H95" i="27"/>
  <c r="H96" i="27"/>
  <c r="H97" i="27"/>
  <c r="H98" i="27"/>
  <c r="H99" i="27"/>
  <c r="H100" i="27"/>
  <c r="H101" i="27"/>
  <c r="H102" i="27"/>
  <c r="H103" i="27"/>
  <c r="H104" i="27"/>
  <c r="H33" i="27"/>
  <c r="H34" i="27"/>
  <c r="H35" i="27"/>
  <c r="H36" i="27"/>
  <c r="H37" i="27"/>
  <c r="H38" i="27"/>
  <c r="H39" i="27"/>
  <c r="H40" i="27"/>
  <c r="H41" i="27"/>
  <c r="H42" i="27"/>
  <c r="H43" i="27"/>
  <c r="H105" i="27"/>
  <c r="H106" i="27"/>
  <c r="H107" i="27"/>
  <c r="H108" i="27"/>
  <c r="H109" i="27"/>
  <c r="H110" i="27"/>
  <c r="H111" i="27"/>
  <c r="H112" i="27"/>
  <c r="H113" i="27"/>
  <c r="H114" i="27"/>
  <c r="H115" i="27"/>
  <c r="H116" i="27"/>
  <c r="H117" i="27"/>
  <c r="H118" i="27"/>
  <c r="H119" i="27"/>
  <c r="H120" i="27"/>
  <c r="H121" i="27"/>
  <c r="H122" i="27"/>
  <c r="H123" i="27"/>
  <c r="H124"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125" i="27"/>
  <c r="H126" i="27"/>
  <c r="H128" i="27"/>
  <c r="H129" i="27"/>
  <c r="H130"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93" i="27"/>
  <c r="Q94" i="27"/>
  <c r="Q95" i="27"/>
  <c r="Q96" i="27"/>
  <c r="Q97" i="27"/>
  <c r="Q98" i="27"/>
  <c r="Q99" i="27"/>
  <c r="Q100" i="27"/>
  <c r="Q101" i="27"/>
  <c r="Q102" i="27"/>
  <c r="Q103" i="27"/>
  <c r="Q104" i="27"/>
  <c r="Q33" i="27"/>
  <c r="Q34" i="27"/>
  <c r="Q35" i="27"/>
  <c r="Q36" i="27"/>
  <c r="Q37" i="27"/>
  <c r="Q38" i="27"/>
  <c r="Q39" i="27"/>
  <c r="Q40" i="27"/>
  <c r="Q41" i="27"/>
  <c r="Q42" i="27"/>
  <c r="Q43" i="27"/>
  <c r="Q105" i="27"/>
  <c r="Q106" i="27"/>
  <c r="Q107" i="27"/>
  <c r="Q108" i="27"/>
  <c r="Q109" i="27"/>
  <c r="Q110" i="27"/>
  <c r="Q111" i="27"/>
  <c r="Q112" i="27"/>
  <c r="Q113" i="27"/>
  <c r="Q114" i="27"/>
  <c r="Q115" i="27"/>
  <c r="Q116" i="27"/>
  <c r="Q117" i="27"/>
  <c r="Q118" i="27"/>
  <c r="Q119" i="27"/>
  <c r="Q120" i="27"/>
  <c r="Q121" i="27"/>
  <c r="Q122" i="27"/>
  <c r="Q123" i="27"/>
  <c r="Q124"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125" i="27"/>
  <c r="Q126" i="27"/>
  <c r="Q128" i="27"/>
  <c r="Q129" i="27"/>
  <c r="Q130"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93" i="27"/>
  <c r="M94" i="27"/>
  <c r="M95" i="27"/>
  <c r="M96" i="27"/>
  <c r="M97" i="27"/>
  <c r="M98" i="27"/>
  <c r="M99" i="27"/>
  <c r="M100" i="27"/>
  <c r="M101" i="27"/>
  <c r="M102" i="27"/>
  <c r="M103" i="27"/>
  <c r="M104" i="27"/>
  <c r="M33" i="27"/>
  <c r="M34" i="27"/>
  <c r="M35" i="27"/>
  <c r="M36" i="27"/>
  <c r="M37" i="27"/>
  <c r="M38" i="27"/>
  <c r="M39" i="27"/>
  <c r="M40" i="27"/>
  <c r="M41" i="27"/>
  <c r="M42" i="27"/>
  <c r="M43" i="27"/>
  <c r="M105" i="27"/>
  <c r="M106" i="27"/>
  <c r="M107" i="27"/>
  <c r="M108" i="27"/>
  <c r="M109" i="27"/>
  <c r="M110" i="27"/>
  <c r="M111" i="27"/>
  <c r="M112" i="27"/>
  <c r="M113" i="27"/>
  <c r="M114" i="27"/>
  <c r="M115" i="27"/>
  <c r="M116" i="27"/>
  <c r="M117" i="27"/>
  <c r="M118" i="27"/>
  <c r="M119" i="27"/>
  <c r="M120" i="27"/>
  <c r="M121" i="27"/>
  <c r="M122" i="27"/>
  <c r="M123" i="27"/>
  <c r="M124"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125" i="27"/>
  <c r="M126" i="27"/>
  <c r="M128" i="27"/>
  <c r="M129" i="27"/>
  <c r="M130"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93" i="27"/>
  <c r="N94" i="27"/>
  <c r="N95" i="27"/>
  <c r="N96" i="27"/>
  <c r="N97" i="27"/>
  <c r="N98" i="27"/>
  <c r="N99" i="27"/>
  <c r="N100" i="27"/>
  <c r="N101" i="27"/>
  <c r="N102" i="27"/>
  <c r="N103" i="27"/>
  <c r="N104" i="27"/>
  <c r="N33" i="27"/>
  <c r="N34" i="27"/>
  <c r="N35" i="27"/>
  <c r="N36" i="27"/>
  <c r="N37" i="27"/>
  <c r="N38" i="27"/>
  <c r="N39" i="27"/>
  <c r="N40" i="27"/>
  <c r="N41" i="27"/>
  <c r="N42" i="27"/>
  <c r="N43" i="27"/>
  <c r="N105" i="27"/>
  <c r="N106" i="27"/>
  <c r="N107" i="27"/>
  <c r="N108" i="27"/>
  <c r="N109" i="27"/>
  <c r="N110" i="27"/>
  <c r="N111" i="27"/>
  <c r="N112" i="27"/>
  <c r="N113" i="27"/>
  <c r="N114" i="27"/>
  <c r="N115" i="27"/>
  <c r="N116" i="27"/>
  <c r="N117" i="27"/>
  <c r="N118" i="27"/>
  <c r="N119" i="27"/>
  <c r="N120" i="27"/>
  <c r="N121" i="27"/>
  <c r="N122" i="27"/>
  <c r="N123" i="27"/>
  <c r="N124"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125" i="27"/>
  <c r="N126"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93" i="27"/>
  <c r="O94" i="27"/>
  <c r="O95" i="27"/>
  <c r="O96" i="27"/>
  <c r="O97" i="27"/>
  <c r="O98" i="27"/>
  <c r="O99" i="27"/>
  <c r="O100" i="27"/>
  <c r="O101" i="27"/>
  <c r="O102" i="27"/>
  <c r="O103" i="27"/>
  <c r="O104" i="27"/>
  <c r="O33" i="27"/>
  <c r="O34" i="27"/>
  <c r="O35" i="27"/>
  <c r="O36" i="27"/>
  <c r="O37" i="27"/>
  <c r="O38" i="27"/>
  <c r="O39" i="27"/>
  <c r="O40" i="27"/>
  <c r="O41" i="27"/>
  <c r="O42" i="27"/>
  <c r="O43" i="27"/>
  <c r="O105" i="27"/>
  <c r="O106" i="27"/>
  <c r="O107" i="27"/>
  <c r="O108" i="27"/>
  <c r="O109" i="27"/>
  <c r="O110" i="27"/>
  <c r="O111" i="27"/>
  <c r="O112" i="27"/>
  <c r="O113" i="27"/>
  <c r="O114" i="27"/>
  <c r="O115" i="27"/>
  <c r="O116" i="27"/>
  <c r="O117" i="27"/>
  <c r="O118" i="27"/>
  <c r="O119" i="27"/>
  <c r="O120" i="27"/>
  <c r="O121" i="27"/>
  <c r="O122" i="27"/>
  <c r="O123" i="27"/>
  <c r="O124"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125" i="27"/>
  <c r="O126" i="27"/>
  <c r="O128" i="27"/>
  <c r="O129" i="27"/>
  <c r="O130"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93" i="27"/>
  <c r="P94" i="27"/>
  <c r="P95" i="27"/>
  <c r="P96" i="27"/>
  <c r="P97" i="27"/>
  <c r="P98" i="27"/>
  <c r="P99" i="27"/>
  <c r="P100" i="27"/>
  <c r="P101" i="27"/>
  <c r="P102" i="27"/>
  <c r="P103" i="27"/>
  <c r="P104" i="27"/>
  <c r="P33" i="27"/>
  <c r="P34" i="27"/>
  <c r="P35" i="27"/>
  <c r="P36" i="27"/>
  <c r="P37" i="27"/>
  <c r="P38" i="27"/>
  <c r="P39" i="27"/>
  <c r="P40" i="27"/>
  <c r="P41" i="27"/>
  <c r="P42" i="27"/>
  <c r="P43" i="27"/>
  <c r="P105" i="27"/>
  <c r="P106" i="27"/>
  <c r="P107" i="27"/>
  <c r="P108" i="27"/>
  <c r="P109" i="27"/>
  <c r="P110" i="27"/>
  <c r="P111" i="27"/>
  <c r="P112" i="27"/>
  <c r="P113" i="27"/>
  <c r="P114" i="27"/>
  <c r="P115" i="27"/>
  <c r="P116" i="27"/>
  <c r="P117" i="27"/>
  <c r="P118" i="27"/>
  <c r="P119" i="27"/>
  <c r="P120" i="27"/>
  <c r="P121" i="27"/>
  <c r="P122" i="27"/>
  <c r="P123" i="27"/>
  <c r="P124"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125" i="27"/>
  <c r="P126" i="27"/>
  <c r="P128" i="27"/>
  <c r="P129" i="27"/>
  <c r="P130"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93" i="27"/>
  <c r="L94" i="27"/>
  <c r="L95" i="27"/>
  <c r="L96" i="27"/>
  <c r="L97" i="27"/>
  <c r="L98" i="27"/>
  <c r="L99" i="27"/>
  <c r="L100" i="27"/>
  <c r="L101" i="27"/>
  <c r="L102" i="27"/>
  <c r="L103" i="27"/>
  <c r="L104" i="27"/>
  <c r="L33" i="27"/>
  <c r="L34" i="27"/>
  <c r="L35" i="27"/>
  <c r="L36" i="27"/>
  <c r="L37" i="27"/>
  <c r="L38" i="27"/>
  <c r="L39" i="27"/>
  <c r="L40" i="27"/>
  <c r="L41" i="27"/>
  <c r="L42" i="27"/>
  <c r="L43" i="27"/>
  <c r="L105" i="27"/>
  <c r="L106" i="27"/>
  <c r="L107" i="27"/>
  <c r="L108" i="27"/>
  <c r="L109" i="27"/>
  <c r="L110" i="27"/>
  <c r="L111" i="27"/>
  <c r="L112" i="27"/>
  <c r="L113" i="27"/>
  <c r="L114" i="27"/>
  <c r="L115" i="27"/>
  <c r="L116" i="27"/>
  <c r="L117" i="27"/>
  <c r="L118" i="27"/>
  <c r="L119" i="27"/>
  <c r="L120" i="27"/>
  <c r="L121" i="27"/>
  <c r="L122" i="27"/>
  <c r="L123" i="27"/>
  <c r="L124"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125" i="27"/>
  <c r="L126" i="27"/>
  <c r="L128" i="27"/>
  <c r="L129" i="27"/>
  <c r="L130"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I2" i="27"/>
  <c r="Q2" i="27"/>
  <c r="T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U176" i="27"/>
  <c r="U139" i="27"/>
  <c r="U104" i="27"/>
  <c r="U111" i="27"/>
  <c r="U33" i="27"/>
  <c r="U18" i="27"/>
  <c r="U26" i="27"/>
  <c r="U80" i="27"/>
  <c r="U81" i="27"/>
  <c r="U65" i="27"/>
  <c r="U149" i="27"/>
  <c r="U86" i="27"/>
  <c r="U151" i="27"/>
  <c r="U11" i="27"/>
  <c r="U186" i="27"/>
  <c r="U109" i="27"/>
  <c r="U140" i="27"/>
  <c r="U150" i="27"/>
  <c r="U40" i="27"/>
  <c r="U123" i="27"/>
  <c r="U89" i="27"/>
  <c r="U154" i="27"/>
  <c r="U187" i="27"/>
  <c r="U48" i="27"/>
  <c r="U115" i="27"/>
  <c r="U194" i="27"/>
  <c r="U216" i="27"/>
  <c r="U126" i="27"/>
  <c r="U85" i="27"/>
  <c r="U34" i="27"/>
  <c r="U82" i="27"/>
  <c r="U74" i="27"/>
  <c r="U22" i="27"/>
  <c r="U133" i="27"/>
  <c r="U23" i="27"/>
  <c r="U192" i="27"/>
  <c r="U142" i="27"/>
  <c r="U49" i="27"/>
  <c r="U169" i="27"/>
  <c r="U159" i="27"/>
  <c r="U24" i="27"/>
  <c r="U3" i="27"/>
  <c r="U7" i="27"/>
  <c r="U165" i="27"/>
  <c r="U212" i="27"/>
  <c r="U214" i="27"/>
  <c r="U42" i="27"/>
  <c r="U190" i="27"/>
  <c r="U170" i="27"/>
  <c r="U45" i="27"/>
  <c r="U62" i="27"/>
  <c r="U143" i="27"/>
  <c r="U28" i="27"/>
  <c r="U72" i="27"/>
  <c r="U79" i="27"/>
  <c r="U172" i="27"/>
  <c r="U158" i="27"/>
  <c r="U83" i="27"/>
  <c r="U21" i="27"/>
  <c r="U174" i="27"/>
  <c r="U173" i="27"/>
  <c r="U193" i="27"/>
  <c r="U99" i="27"/>
  <c r="U184" i="27"/>
  <c r="U54" i="27"/>
  <c r="U90" i="27"/>
  <c r="U136" i="27"/>
  <c r="U156" i="27"/>
  <c r="U56" i="27"/>
  <c r="U168" i="27"/>
  <c r="U197" i="27"/>
  <c r="U179" i="27"/>
  <c r="U59" i="27"/>
  <c r="U55" i="27"/>
  <c r="U78" i="27"/>
  <c r="U93" i="27"/>
  <c r="U35" i="27"/>
  <c r="U44" i="27"/>
  <c r="U164" i="27"/>
  <c r="U19" i="27"/>
  <c r="U117" i="27"/>
  <c r="U37" i="27"/>
  <c r="U189" i="27"/>
  <c r="U137" i="27"/>
  <c r="U96" i="27"/>
  <c r="U4" i="27"/>
  <c r="U144" i="27"/>
  <c r="U88" i="27"/>
  <c r="U162" i="27"/>
  <c r="U71" i="27"/>
  <c r="U204" i="27"/>
  <c r="U157" i="27"/>
  <c r="U185" i="27"/>
  <c r="U67" i="27"/>
  <c r="U210" i="27"/>
  <c r="U91" i="27"/>
  <c r="U15" i="27"/>
  <c r="U107" i="27"/>
  <c r="U110" i="27"/>
  <c r="U121" i="27"/>
  <c r="U66" i="27"/>
  <c r="U27" i="27"/>
  <c r="U6" i="27"/>
  <c r="U167" i="27"/>
  <c r="U10" i="27"/>
  <c r="U58" i="27"/>
  <c r="U163" i="27"/>
  <c r="U8" i="27"/>
  <c r="U211" i="27"/>
  <c r="U94" i="27"/>
  <c r="U148" i="27"/>
  <c r="U61" i="27"/>
  <c r="U183" i="27"/>
  <c r="U119" i="27"/>
  <c r="U68" i="27"/>
  <c r="U53" i="27"/>
  <c r="U146" i="27"/>
  <c r="U103" i="27"/>
  <c r="U213" i="27"/>
  <c r="U64" i="27"/>
  <c r="U145" i="27"/>
  <c r="U177" i="27"/>
  <c r="U182" i="27"/>
  <c r="U84" i="27"/>
  <c r="U203" i="27"/>
  <c r="U160" i="27"/>
  <c r="U202" i="27"/>
  <c r="U105" i="27"/>
  <c r="U2" i="27"/>
  <c r="U12" i="27"/>
  <c r="U69" i="27"/>
  <c r="U124" i="27"/>
  <c r="U43" i="27"/>
  <c r="U152" i="27"/>
  <c r="U166" i="27"/>
  <c r="U118" i="27"/>
  <c r="U196" i="27"/>
  <c r="U47" i="27"/>
  <c r="U101" i="27"/>
  <c r="U209" i="27"/>
  <c r="U98" i="27"/>
  <c r="U155" i="27"/>
  <c r="U129" i="27"/>
  <c r="U116" i="27"/>
  <c r="U46" i="27"/>
  <c r="U63" i="27"/>
  <c r="U70" i="27"/>
  <c r="U36" i="27"/>
  <c r="U132" i="27"/>
  <c r="U25" i="27"/>
  <c r="U215" i="27"/>
  <c r="U51" i="27"/>
  <c r="U134" i="27"/>
  <c r="U141" i="27"/>
  <c r="U125" i="27"/>
  <c r="U175" i="27"/>
  <c r="U39" i="27"/>
  <c r="U75" i="27"/>
  <c r="U38" i="27"/>
  <c r="U114" i="27"/>
  <c r="U5" i="27"/>
  <c r="U102" i="27"/>
  <c r="U52" i="27"/>
  <c r="U77" i="27"/>
  <c r="U130" i="27"/>
  <c r="U178" i="27"/>
  <c r="U201" i="27"/>
  <c r="U9" i="27"/>
  <c r="U195" i="27"/>
  <c r="U87" i="27"/>
  <c r="U208" i="27"/>
  <c r="U41" i="27"/>
  <c r="U188" i="27"/>
  <c r="U20" i="27"/>
  <c r="U60" i="27"/>
  <c r="U205" i="27"/>
  <c r="U120" i="27"/>
  <c r="U57" i="27"/>
  <c r="U147" i="27"/>
  <c r="U161" i="27"/>
  <c r="U138" i="27"/>
  <c r="U100" i="27"/>
  <c r="U198" i="27"/>
  <c r="U180" i="27"/>
  <c r="U153" i="27"/>
  <c r="U113" i="27"/>
  <c r="U14" i="27"/>
  <c r="U128" i="27"/>
  <c r="U50" i="27"/>
  <c r="U108" i="27"/>
  <c r="U122" i="27"/>
  <c r="U112" i="27"/>
  <c r="U17" i="27"/>
  <c r="U106" i="27"/>
  <c r="U207" i="27"/>
  <c r="U76" i="27"/>
  <c r="U73" i="27"/>
  <c r="U206" i="27"/>
  <c r="U171" i="27"/>
  <c r="U181" i="27"/>
  <c r="U135" i="27"/>
  <c r="U200" i="27"/>
  <c r="U199" i="27"/>
  <c r="U191" i="27"/>
  <c r="U95" i="27"/>
  <c r="U13" i="27"/>
  <c r="U97" i="27"/>
  <c r="U16" i="27"/>
</calcChain>
</file>

<file path=xl/sharedStrings.xml><?xml version="1.0" encoding="utf-8"?>
<sst xmlns="http://schemas.openxmlformats.org/spreadsheetml/2006/main" count="1311" uniqueCount="325">
  <si>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</si>
  <si>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</si>
  <si>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</si>
  <si>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</si>
  <si>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</si>
  <si>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</si>
  <si>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</si>
  <si>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</si>
  <si>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</si>
  <si>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</si>
  <si>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</si>
  <si>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The ICBC Registration number for the School Bus</t>
  </si>
  <si>
    <t>The ICBC Plate Number for the School Bus</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</si>
  <si>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</si>
  <si>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</si>
  <si>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</si>
  <si>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</si>
  <si>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</si>
  <si>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</si>
  <si>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</si>
  <si>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</si>
  <si>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</si>
  <si>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</si>
  <si>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</si>
  <si>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Address 1 of physical location of the School Bus.</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</si>
  <si>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</si>
  <si>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</si>
  <si>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</si>
  <si>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</si>
  <si>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</si>
  <si>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</si>
  <si>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</si>
  <si>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</si>
  <si>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</si>
  <si>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</si>
  <si>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Text of any restrictions to be printed on the school bus permit.</t>
  </si>
  <si>
    <t>datetime</t>
  </si>
  <si>
    <t>nextInspectionDate</t>
  </si>
  <si>
    <t>The next inspection date for this School Bus. Set at the time an inspection is set.</t>
  </si>
  <si>
    <t>An enumerated type (by the UI) to indicate the type of the next inspection - Annual or Re-inspection based on the Pass/Fail status of the most recent inspection.</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</si>
  <si>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</si>
  <si>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</si>
  <si>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</si>
  <si>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</si>
  <si>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</si>
  <si>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enumerated class of School Bus.</t>
  </si>
  <si>
    <t>The enumerated body type of the School Bus.</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</si>
  <si>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</si>
  <si>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</si>
  <si>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</si>
  <si>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</si>
  <si>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</si>
  <si>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</si>
  <si>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</si>
  <si>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The contents of the note.</t>
  </si>
  <si>
    <t>isNoLongerRelevant</t>
  </si>
  <si>
    <t>schoolBus</t>
  </si>
  <si>
    <t>SchoolBusAttachment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</si>
  <si>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</si>
  <si>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</si>
  <si>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</si>
  <si>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</si>
  <si>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</si>
  <si>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</si>
  <si>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</si>
  <si>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</si>
  <si>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</si>
  <si>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</si>
  <si>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</si>
  <si>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</si>
  <si>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</si>
  <si>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</si>
  <si>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</si>
  <si>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</si>
  <si>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</si>
  <si>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</si>
  <si>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</si>
  <si>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</si>
  <si>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</si>
  <si>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</si>
  <si>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</si>
  <si>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</si>
  <si>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</si>
  <si>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</si>
  <si>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links</t>
  </si>
  <si>
    <t>type</t>
  </si>
  <si>
    <t>The type of the phone number. UI controlled as to whether it is free form or selected from an enumerated list.</t>
  </si>
  <si>
    <t>phoneNumber</t>
  </si>
  <si>
    <t>The phone number of the contact. Entered as free form to support a range of formats.</t>
  </si>
  <si>
    <t>The type of the address. UI controlled as to whether it is free form or selected from an enumerated list.</t>
  </si>
  <si>
    <t>Address 1 line of the address.</t>
  </si>
  <si>
    <t>Address 2 line of the address.</t>
  </si>
  <si>
    <t>city</t>
  </si>
  <si>
    <t>The City of the address.</t>
  </si>
  <si>
    <t>province</t>
  </si>
  <si>
    <t>The Province of the address.</t>
  </si>
  <si>
    <t>postalCode</t>
  </si>
  <si>
    <t>The postal code of the address.</t>
  </si>
  <si>
    <t>SchoolBusOwnerHistory</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</si>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</sst>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8" fillId="0" borderId="0"/>
  </cellStyleXfs>
  <cellXfs count="32">
    <xf numFmtId="0" fontId="0" fillId="0" borderId="0" xfId="0"/>
    <xf numFmtId="0" fontId="12" fillId="0" borderId="0" xfId="719" applyFont="1" applyAlignment="1">
      <alignment vertical="top"/>
    </xf>
    <xf numFmtId="0" fontId="12" fillId="0" borderId="0" xfId="719" applyFont="1" applyAlignment="1">
      <alignment vertical="top" wrapText="1"/>
    </xf>
    <xf numFmtId="0" fontId="8" fillId="0" borderId="0" xfId="719"/>
    <xf numFmtId="0" fontId="8" fillId="0" borderId="0" xfId="719" applyNumberFormat="1" applyAlignment="1">
      <alignment vertical="top"/>
    </xf>
    <xf numFmtId="0" fontId="8" fillId="0" borderId="0" xfId="719" applyAlignment="1">
      <alignment vertical="top"/>
    </xf>
    <xf numFmtId="0" fontId="8" fillId="0" borderId="0" xfId="719" applyAlignment="1">
      <alignment vertical="top" wrapText="1"/>
    </xf>
    <xf numFmtId="0" fontId="11" fillId="0" borderId="0" xfId="0" applyFont="1"/>
    <xf numFmtId="0" fontId="7" fillId="0" borderId="0" xfId="719" applyFont="1"/>
    <xf numFmtId="0" fontId="6" fillId="0" borderId="0" xfId="719" applyFont="1"/>
    <xf numFmtId="0" fontId="0" fillId="0" borderId="0" xfId="0" applyAlignment="1">
      <alignment vertical="top"/>
    </xf>
    <xf numFmtId="0" fontId="12" fillId="0" borderId="0" xfId="0" applyFont="1" applyAlignment="1">
      <alignment vertical="top"/>
    </xf>
    <xf numFmtId="0" fontId="5" fillId="0" borderId="0" xfId="719" applyFont="1"/>
    <xf numFmtId="0" fontId="5" fillId="0" borderId="0" xfId="719" applyFont="1" applyAlignment="1">
      <alignment vertical="top"/>
    </xf>
    <xf numFmtId="0" fontId="8" fillId="0" borderId="0" xfId="719" applyFill="1" applyAlignment="1">
      <alignment vertical="top" wrapText="1"/>
    </xf>
    <xf numFmtId="0" fontId="8" fillId="0" borderId="0" xfId="719" applyNumberFormat="1" applyFill="1"/>
    <xf numFmtId="0" fontId="0" fillId="0" borderId="0" xfId="0" applyNumberFormat="1" applyAlignment="1">
      <alignment vertical="top"/>
    </xf>
    <xf numFmtId="0" fontId="4" fillId="0" borderId="0" xfId="719" applyFont="1"/>
    <xf numFmtId="0" fontId="4" fillId="0" borderId="0" xfId="719" applyFont="1" applyFill="1"/>
    <xf numFmtId="0" fontId="8" fillId="0" borderId="0" xfId="719" applyNumberFormat="1" applyFill="1" applyAlignment="1">
      <alignment vertical="top"/>
    </xf>
    <xf numFmtId="0" fontId="3" fillId="0" borderId="0" xfId="719" applyFont="1" applyAlignment="1">
      <alignment vertical="top"/>
    </xf>
    <xf numFmtId="0" fontId="3" fillId="0" borderId="0" xfId="719" applyFont="1" applyAlignment="1">
      <alignment vertical="top" wrapText="1"/>
    </xf>
    <xf numFmtId="0" fontId="3" fillId="0" borderId="0" xfId="719" applyFont="1" applyFill="1"/>
    <xf numFmtId="0" fontId="3" fillId="0" borderId="0" xfId="719" applyNumberFormat="1" applyFont="1" applyAlignment="1">
      <alignment vertical="top"/>
    </xf>
    <xf numFmtId="0" fontId="2" fillId="0" borderId="0" xfId="719" applyFont="1" applyAlignment="1">
      <alignment vertical="top"/>
    </xf>
    <xf numFmtId="0" fontId="2" fillId="0" borderId="0" xfId="719" applyFont="1" applyAlignment="1">
      <alignment vertical="top" wrapText="1"/>
    </xf>
    <xf numFmtId="0" fontId="1" fillId="0" borderId="0" xfId="719" applyFont="1"/>
    <xf numFmtId="0" fontId="1" fillId="0" borderId="0" xfId="719" applyFont="1" applyAlignment="1">
      <alignment vertical="top"/>
    </xf>
    <xf numFmtId="0" fontId="1" fillId="0" borderId="0" xfId="719" applyFont="1" applyAlignment="1">
      <alignment vertical="top" wrapText="1"/>
    </xf>
    <xf numFmtId="0" fontId="8" fillId="0" borderId="0" xfId="719" applyAlignment="1"/>
    <xf numFmtId="0" fontId="1" fillId="0" borderId="0" xfId="719" applyFont="1" applyAlignment="1"/>
    <xf numFmtId="0" fontId="4" fillId="0" borderId="0" xfId="719" applyFont="1" applyAlignme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16" totalsRowShown="0" headerRowDxfId="42" dataDxfId="41">
  <autoFilter ref="A1:U216"/>
  <tableColumns count="21">
    <tableColumn id="1" name="!Table" dataDxfId="40"/>
    <tableColumn id="2" name="!Type" dataDxfId="39"/>
    <tableColumn id="6" name="!Length"/>
    <tableColumn id="3" name="!Name" dataDxfId="2"/>
    <tableColumn id="4" name="!Description" dataDxfId="0"/>
    <tableColumn id="7" name="!FK" dataDxfId="1"/>
    <tableColumn id="10" name="!Required" dataDxfId="38" dataCellStyle="Normal 2"/>
    <tableColumn id="9" name="File" dataDxfId="37">
      <calculatedColumnFormula>IF(LEN(A2) &gt; 0,"Defs","-")</calculatedColumnFormula>
    </tableColumn>
    <tableColumn id="5" name="boolean" dataDxfId="36">
      <calculatedColumnFormula>IF(Table2[[#This Row],[!Type]]=I$1, I$1,"rg:None")</calculatedColumnFormula>
    </tableColumn>
    <tableColumn id="8" name="datetime" dataDxfId="35">
      <calculatedColumnFormula>IF(Table2[[#This Row],[!Type]]=J$1, J$1,"rg:None")</calculatedColumnFormula>
    </tableColumn>
    <tableColumn id="11" name="id" dataDxfId="34">
      <calculatedColumnFormula>IF(Table2[[#This Row],[!Type]]=K$1, K$1,"rg:None")</calculatedColumnFormula>
    </tableColumn>
    <tableColumn id="12" name="integer" dataDxfId="33">
      <calculatedColumnFormula>IF(Table2[[#This Row],[!Type]]=L$1, L$1,"rg:None")</calculatedColumnFormula>
    </tableColumn>
    <tableColumn id="13" name="links" dataDxfId="32">
      <calculatedColumnFormula>IF(Table2[[#This Row],[!Type]]=M$1, M$1,"rg:None")</calculatedColumnFormula>
    </tableColumn>
    <tableColumn id="14" name="ref" dataDxfId="31">
      <calculatedColumnFormula>IF(Table2[[#This Row],[!Type]]=N$1, N$1,"rg:None")</calculatedColumnFormula>
    </tableColumn>
    <tableColumn id="15" name="string" dataDxfId="30">
      <calculatedColumnFormula>IF(Table2[[#This Row],[!Type]]=O$1, O$1,"rg:None")</calculatedColumnFormula>
    </tableColumn>
    <tableColumn id="16" name="table" dataDxfId="29">
      <calculatedColumnFormula>IF(Table2[[#This Row],[!Type]]=P$1, P$1,"rg:None")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3" dataDxfId="22">
  <autoFilter ref="A1:T27"/>
  <tableColumns count="20">
    <tableColumn id="1" name="!type" dataDxfId="21"/>
    <tableColumn id="2" name="!path" dataDxfId="20"/>
    <tableColumn id="6" name="!tag" dataCellStyle="Normal 2"/>
    <tableColumn id="3" name="!paramDef" dataDxfId="19">
      <calculatedColumnFormula>LOWER(Table23[[#This Row],[!path]])&amp;"s"</calculatedColumnFormula>
    </tableColumn>
    <tableColumn id="4" name="!respDef" dataDxfId="18" dataCellStyle="Normal 2"/>
    <tableColumn id="5" name="!Description" dataDxfId="17" dataCellStyle="Normal 2"/>
    <tableColumn id="7" name="File" dataDxfId="16">
      <calculatedColumnFormula>IF(LEN(A2) &gt;0,"Path","-")</calculatedColumnFormula>
    </tableColumn>
    <tableColumn id="8" name="crud" dataDxfId="15">
      <calculatedColumnFormula>IF(LEN(Table23[[#This Row],[!type]])&gt;0,IF(Table23[[#This Row],[!type]]=H$1,"1","rg:None"),"-")</calculatedColumnFormula>
    </tableColumn>
    <tableColumn id="9" name="post" dataDxfId="14">
      <calculatedColumnFormula>IF(LEN(Table23[[#This Row],[!type]])&gt;0,IF(Table23[[#This Row],[!type]]=I$1,"1","rg:None"),"-")</calculatedColumnFormula>
    </tableColumn>
    <tableColumn id="10" name="bulk" dataDxfId="13">
      <calculatedColumnFormula>IF(LEN(Table23[[#This Row],[!type]])&gt;0,IF(Table23[[#This Row],[!type]]=J$1,"1","rg:None"),"-")</calculatedColumnFormula>
    </tableColumn>
    <tableColumn id="11" name="getById" dataDxfId="12">
      <calculatedColumnFormula>IF(LEN(Table23[[#This Row],[!type]])&gt;0,IF(Table23[[#This Row],[!type]]=K$1,"1","rg:None"),"-")</calculatedColumnFormula>
    </tableColumn>
    <tableColumn id="12" name="putById" dataDxfId="11">
      <calculatedColumnFormula>IF(LEN(Table23[[#This Row],[!type]])&gt;0,IF(Table23[[#This Row],[!type]]=L$1,"1","rg:None"),"-")</calculatedColumnFormula>
    </tableColumn>
    <tableColumn id="13" name="deleteById" dataDxfId="10">
      <calculatedColumnFormula>IF(LEN(Table23[[#This Row],[!type]])&gt;0,IF(Table23[[#This Row],[!type]]=M$1,"1","rg:None"),"-")</calculatedColumnFormula>
    </tableColumn>
    <tableColumn id="14" name="fullpath" dataDxfId="9">
      <calculatedColumnFormula>IF(LEN(Table23[[#This Row],[!type]])&gt;0,IF(Table23[[#This Row],[!type]]=N$1,"1","rg:None"),"-")</calculatedColumnFormula>
    </tableColumn>
    <tableColumn id="15" name="idpath" dataDxfId="8">
      <calculatedColumnFormula>IF(LEN(Table23[[#This Row],[!type]])&gt;0,IF(Table23[[#This Row],[!type]]=O$1,"1","rg:None"),"-")</calculatedColumnFormula>
    </tableColumn>
    <tableColumn id="16" name="path" dataDxfId="7">
      <calculatedColumnFormula>IF(LEN(Table23[[#This Row],[!path]]) &gt;0,Table23[[#This Row],[!path]],"rg:None")</calculatedColumnFormula>
    </tableColumn>
    <tableColumn id="17" name="tag" dataDxfId="6">
      <calculatedColumnFormula>IF(LEN(Table23[[#This Row],[!tag]]) &gt;0,Table23[[#This Row],[!tag]],"rg:None")</calculatedColumnFormula>
    </tableColumn>
    <tableColumn id="18" name="paramDef" dataDxfId="5">
      <calculatedColumnFormula>IF(LEN(Table23[[#This Row],[!paramDef]]) &gt;0,Table23[[#This Row],[!paramDef]],"rg:None")</calculatedColumnFormula>
    </tableColumn>
    <tableColumn id="19" name="respDef" dataDxfId="4">
      <calculatedColumnFormula>IF(LEN(Table23[[#This Row],[!respDef]]) &gt;0,Table23[[#This Row],[!respDef]],"rg:None")</calculatedColumnFormula>
    </tableColumn>
    <tableColumn id="20" name="Description" dataDxfId="3">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16"/>
  <sheetViews>
    <sheetView tabSelected="1" zoomScale="110" zoomScaleNormal="110" workbookViewId="0">
      <pane ySplit="1" topLeftCell="A192" activePane="bottomLeft" state="frozen"/>
      <selection pane="bottomLeft" activeCell="D207" sqref="D207"/>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5"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246</v>
      </c>
      <c r="B1" s="1" t="s">
        <v>247</v>
      </c>
      <c r="C1" s="1" t="s">
        <v>248</v>
      </c>
      <c r="D1" s="1" t="s">
        <v>249</v>
      </c>
      <c r="E1" s="1" t="s">
        <v>245</v>
      </c>
      <c r="F1" s="2" t="s">
        <v>250</v>
      </c>
      <c r="G1" s="1" t="s">
        <v>223</v>
      </c>
      <c r="H1" s="7" t="s">
        <v>221</v>
      </c>
      <c r="I1" s="7" t="s">
        <v>21</v>
      </c>
      <c r="J1" s="11" t="s">
        <v>36</v>
      </c>
      <c r="K1" s="11" t="s">
        <v>8</v>
      </c>
      <c r="L1" s="11" t="s">
        <v>48</v>
      </c>
      <c r="M1" s="11" t="s">
        <v>84</v>
      </c>
      <c r="N1" s="11" t="s">
        <v>14</v>
      </c>
      <c r="O1" s="11" t="s">
        <v>10</v>
      </c>
      <c r="P1" s="11" t="s">
        <v>5</v>
      </c>
      <c r="Q1" s="11" t="s">
        <v>2</v>
      </c>
      <c r="R1" s="11" t="s">
        <v>3</v>
      </c>
      <c r="S1" s="11" t="s">
        <v>1</v>
      </c>
      <c r="T1" s="11" t="s">
        <v>251</v>
      </c>
      <c r="U1" s="11" t="s">
        <v>222</v>
      </c>
    </row>
    <row r="2" spans="1:21" x14ac:dyDescent="0.3">
      <c r="A2" s="3" t="s">
        <v>4</v>
      </c>
      <c r="B2" s="3" t="s">
        <v>5</v>
      </c>
      <c r="C2" s="3"/>
      <c r="D2" s="3" t="s">
        <v>4</v>
      </c>
      <c r="E2" s="29" t="s">
        <v>6</v>
      </c>
      <c r="F2" s="3" t="s">
        <v>7</v>
      </c>
      <c r="G2" s="4"/>
      <c r="H2" t="str">
        <f t="shared" ref="H2:H43"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29" t="s">
        <v>9</v>
      </c>
      <c r="F3" s="3" t="s">
        <v>7</v>
      </c>
      <c r="G3" s="4" t="s">
        <v>179</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26" t="s">
        <v>310</v>
      </c>
      <c r="E4" s="29" t="s">
        <v>11</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ICBCRegistrationNumber</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26" t="s">
        <v>311</v>
      </c>
      <c r="E5" s="29" t="s">
        <v>12</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licencePlateNumber</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26" t="s">
        <v>286</v>
      </c>
      <c r="E6" s="29" t="s">
        <v>13</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VehicleIdentificationNumber</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14</v>
      </c>
      <c r="C7" s="3"/>
      <c r="D7" s="3" t="s">
        <v>15</v>
      </c>
      <c r="E7" s="29" t="s">
        <v>7</v>
      </c>
      <c r="F7" s="3" t="s">
        <v>16</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17</v>
      </c>
      <c r="E8" s="29" t="s">
        <v>18</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19</v>
      </c>
      <c r="E9" s="29" t="s">
        <v>20</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21</v>
      </c>
      <c r="C10" s="3"/>
      <c r="D10" s="3" t="s">
        <v>22</v>
      </c>
      <c r="E10" s="29"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14</v>
      </c>
      <c r="C11" s="3"/>
      <c r="D11" s="26" t="s">
        <v>126</v>
      </c>
      <c r="E11" s="29" t="s">
        <v>7</v>
      </c>
      <c r="F11" s="26" t="s">
        <v>126</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District</v>
      </c>
      <c r="S11" s="10" t="str">
        <f>IF(LEN(Table2[[#This Row],[!Description]]) &gt; 0, Table2[[#This Row],[!Description]], "rg:None")</f>
        <v>rg:None</v>
      </c>
      <c r="T11" s="10" t="str">
        <f>IF(LEN(Table2[[#This Row],[!FK]])&gt;0,Table2[[#This Row],[!FK]],"rg:None")</f>
        <v>District</v>
      </c>
      <c r="U11" s="10" t="str">
        <f>IF(LEN(concatif2(A:A,Table2[[#This Row],[!Table]],G:G,"Y",D:D,",")) &gt; 0,"rg:[ { 'req' : '"&amp;concatif2(A:A,Table2[[#This Row],[!Table]],G:G,"Y",D:D,"' }, { 'req': '")&amp;"'} ]","rg:[]")</f>
        <v>rg:[ { 'req' : 'id'} ]</v>
      </c>
    </row>
    <row r="12" spans="1:21" x14ac:dyDescent="0.3">
      <c r="A12" s="3" t="s">
        <v>4</v>
      </c>
      <c r="B12" s="3" t="s">
        <v>10</v>
      </c>
      <c r="C12" s="3"/>
      <c r="D12" s="26" t="s">
        <v>284</v>
      </c>
      <c r="E12" s="29" t="s">
        <v>24</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homeTerminalAddress1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26" t="s">
        <v>285</v>
      </c>
      <c r="E13" s="29" t="s">
        <v>25</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homeTerminalAddress2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14</v>
      </c>
      <c r="C14" s="3"/>
      <c r="D14" s="3" t="s">
        <v>26</v>
      </c>
      <c r="E14" s="29" t="s">
        <v>27</v>
      </c>
      <c r="F14" s="3" t="s">
        <v>28</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29</v>
      </c>
      <c r="E15" s="29" t="s">
        <v>30</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31</v>
      </c>
      <c r="E16" s="29" t="s">
        <v>32</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33</v>
      </c>
      <c r="E17" s="29" t="s">
        <v>34</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26" t="s">
        <v>313</v>
      </c>
      <c r="E18" s="29" t="s">
        <v>35</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restrictionsText</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36</v>
      </c>
      <c r="C19" s="3"/>
      <c r="D19" s="3" t="s">
        <v>37</v>
      </c>
      <c r="E19" s="29" t="s">
        <v>38</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26" t="s">
        <v>317</v>
      </c>
      <c r="E20" s="29" t="s">
        <v>39</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nextInspectionTypeCode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14</v>
      </c>
      <c r="C21" s="3"/>
      <c r="D21" s="26" t="s">
        <v>314</v>
      </c>
      <c r="E21" s="29" t="s">
        <v>40</v>
      </c>
      <c r="F21" s="3" t="s">
        <v>41</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21</v>
      </c>
      <c r="C22" s="3"/>
      <c r="D22" s="3" t="s">
        <v>42</v>
      </c>
      <c r="E22" s="29" t="s">
        <v>43</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26" t="s">
        <v>312</v>
      </c>
      <c r="E23" s="29" t="s">
        <v>44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independentSchoolName</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26" t="s">
        <v>315</v>
      </c>
      <c r="E24" s="29" t="s">
        <v>45</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permitClassCode</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26" t="s">
        <v>316</v>
      </c>
      <c r="E25" s="29" t="s">
        <v>46</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bodyTypeCode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26" t="s">
        <v>302</v>
      </c>
      <c r="E26" s="29" t="s">
        <v>47</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unitNumber</v>
      </c>
      <c r="S26" s="10" t="str">
        <f>IF(LEN(Table2[[#This Row],[!Description]]) &gt; 0, Table2[[#This Row],[!Description]], "rg:None")</f>
        <v>The unit number of the Bus as defined by the School Bus owner - freeform text.</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48</v>
      </c>
      <c r="C27" s="3"/>
      <c r="D27" s="3" t="s">
        <v>49</v>
      </c>
      <c r="E27" s="29" t="s">
        <v>50</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integer</v>
      </c>
      <c r="M27" s="5" t="str">
        <f>IF(Table2[[#This Row],[!Type]]=M$1, M$1,"rg:None")</f>
        <v>rg:None</v>
      </c>
      <c r="N27" s="5" t="str">
        <f>IF(Table2[[#This Row],[!Type]]=N$1, N$1,"rg:None")</f>
        <v>rg:None</v>
      </c>
      <c r="O27" s="5" t="str">
        <f>IF(Table2[[#This Row],[!Type]]=O$1, O$1,"rg:None")</f>
        <v>rg:None</v>
      </c>
      <c r="P27" s="5" t="str">
        <f>IF(Table2[[#This Row],[!Type]]=P$1, P$1,"rg:None")</f>
        <v>rg:None</v>
      </c>
      <c r="Q27" s="10" t="str">
        <f>IF(LEN(Table2[[#This Row],[!Length]]) &gt; 0, Table2[[#This Row],[!Length]], "rg:None")</f>
        <v>rg:None</v>
      </c>
      <c r="R27" s="10" t="str">
        <f>IF(LEN(Table2[[#This Row],[!Name]]) &gt; 0, Table2[[#This Row],[!Name]], "rg:None")</f>
        <v>schoolBusSeatingCapacity</v>
      </c>
      <c r="S27"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48</v>
      </c>
      <c r="C28" s="3"/>
      <c r="D28" s="3" t="s">
        <v>51</v>
      </c>
      <c r="E28" s="29" t="s">
        <v>52</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mobilityAidCapacity</v>
      </c>
      <c r="S28" s="10" t="str">
        <f>IF(LEN(Table2[[#This Row],[!Description]]) &gt; 0, Table2[[#This Row],[!Description]], "rg:None")</f>
        <v>The number of mobility aid passenger seats in the bus.</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20" t="s">
        <v>14</v>
      </c>
      <c r="C29" s="3"/>
      <c r="D29" s="20" t="s">
        <v>104</v>
      </c>
      <c r="E29" s="20" t="s">
        <v>279</v>
      </c>
      <c r="F29" s="21" t="s">
        <v>0</v>
      </c>
      <c r="G29" s="19"/>
      <c r="H29" s="4" t="str">
        <f>IF(LEN(A29) &gt; 0,"Defs","-")</f>
        <v>Defs</v>
      </c>
      <c r="I29" s="16" t="str">
        <f>IF(Table2[[#This Row],[!Type]]=I$1, I$1,"rg:None")</f>
        <v>rg:None</v>
      </c>
      <c r="J29" s="16" t="str">
        <f>IF(Table2[[#This Row],[!Type]]=J$1, J$1,"rg:None")</f>
        <v>rg:None</v>
      </c>
      <c r="K29" s="16" t="str">
        <f>IF(Table2[[#This Row],[!Type]]=K$1, K$1,"rg:None")</f>
        <v>rg:None</v>
      </c>
      <c r="L29" s="16" t="str">
        <f>IF(Table2[[#This Row],[!Type]]=L$1, L$1,"rg:None")</f>
        <v>rg:None</v>
      </c>
      <c r="M29" s="4" t="str">
        <f>IF(Table2[[#This Row],[!Type]]=M$1, M$1,"rg:None")</f>
        <v>rg:None</v>
      </c>
      <c r="N29" s="4" t="str">
        <f>IF(Table2[[#This Row],[!Type]]=N$1, N$1,"rg:None")</f>
        <v>ref</v>
      </c>
      <c r="O29" s="4" t="str">
        <f>IF(Table2[[#This Row],[!Type]]=O$1, O$1,"rg:None")</f>
        <v>rg:None</v>
      </c>
      <c r="P29" s="4" t="str">
        <f>IF(Table2[[#This Row],[!Type]]=P$1, P$1,"rg:None")</f>
        <v>rg:None</v>
      </c>
      <c r="Q29" s="16" t="str">
        <f>IF(LEN(Table2[[#This Row],[!Length]]) &gt; 0, Table2[[#This Row],[!Length]], "rg:None")</f>
        <v>rg:None</v>
      </c>
      <c r="R29" s="16" t="str">
        <f>IF(LEN(Table2[[#This Row],[!Name]]) &gt; 0, Table2[[#This Row],[!Name]], "rg:None")</f>
        <v>inspector</v>
      </c>
      <c r="S29" s="16" t="str">
        <f>IF(LEN(Table2[[#This Row],[!Description]]) &gt; 0, Table2[[#This Row],[!Description]], "rg:None")</f>
        <v>The inspector assigned to this schoolbus</v>
      </c>
      <c r="T29" s="16" t="str">
        <f>IF(LEN(Table2[[#This Row],[!FK]])&gt;0,Table2[[#This Row],[!FK]],"rg:None")</f>
        <v>User</v>
      </c>
      <c r="U29" s="16" t="str">
        <f>IF(LEN(concatif2(A:A,Table2[[#This Row],[!Table]],G:G,"Y",D:D,",")) &gt; 0,"rg:[ { 'req' : '"&amp;concatif2(A:A,Table2[[#This Row],[!Table]],G:G,"Y",D:D,"' }, { 'req': '")&amp;"'} ]","rg:[]")</f>
        <v>rg:[ { 'req' : 'id'} ]</v>
      </c>
    </row>
    <row r="30" spans="1:21" x14ac:dyDescent="0.3">
      <c r="A30" s="27" t="s">
        <v>4</v>
      </c>
      <c r="B30" s="27" t="s">
        <v>84</v>
      </c>
      <c r="C30" s="3"/>
      <c r="D30" s="27" t="s">
        <v>83</v>
      </c>
      <c r="E30" s="27" t="s">
        <v>303</v>
      </c>
      <c r="F30" s="28" t="s">
        <v>287</v>
      </c>
      <c r="G30" s="19"/>
      <c r="H30" s="4" t="str">
        <f t="shared" ref="H30:H32" si="1">IF(LEN(A30) &gt; 0,"Defs","-")</f>
        <v>Defs</v>
      </c>
      <c r="I30" s="16" t="str">
        <f>IF(Table2[[#This Row],[!Type]]=I$1, I$1,"rg:None")</f>
        <v>rg:None</v>
      </c>
      <c r="J30" s="16" t="str">
        <f>IF(Table2[[#This Row],[!Type]]=J$1, J$1,"rg:None")</f>
        <v>rg:None</v>
      </c>
      <c r="K30" s="16" t="str">
        <f>IF(Table2[[#This Row],[!Type]]=K$1, K$1,"rg:None")</f>
        <v>rg:None</v>
      </c>
      <c r="L30" s="16" t="str">
        <f>IF(Table2[[#This Row],[!Type]]=L$1, L$1,"rg:None")</f>
        <v>rg:None</v>
      </c>
      <c r="M30" s="4" t="str">
        <f>IF(Table2[[#This Row],[!Type]]=M$1, M$1,"rg:None")</f>
        <v>links</v>
      </c>
      <c r="N30" s="4" t="str">
        <f>IF(Table2[[#This Row],[!Type]]=N$1, N$1,"rg:None")</f>
        <v>rg:None</v>
      </c>
      <c r="O30" s="4" t="str">
        <f>IF(Table2[[#This Row],[!Type]]=O$1, O$1,"rg:None")</f>
        <v>rg:None</v>
      </c>
      <c r="P30" s="4" t="str">
        <f>IF(Table2[[#This Row],[!Type]]=P$1, P$1,"rg:None")</f>
        <v>rg:None</v>
      </c>
      <c r="Q30" s="16" t="str">
        <f>IF(LEN(Table2[[#This Row],[!Length]]) &gt; 0, Table2[[#This Row],[!Length]], "rg:None")</f>
        <v>rg:None</v>
      </c>
      <c r="R30" s="16" t="str">
        <f>IF(LEN(Table2[[#This Row],[!Name]]) &gt; 0, Table2[[#This Row],[!Name]], "rg:None")</f>
        <v>notes</v>
      </c>
      <c r="S30" s="16" t="str">
        <f>IF(LEN(Table2[[#This Row],[!Description]]) &gt; 0, Table2[[#This Row],[!Description]], "rg:None")</f>
        <v>The set of notes about the school bus entered by users.</v>
      </c>
      <c r="T30" s="16" t="str">
        <f>IF(LEN(Table2[[#This Row],[!FK]])&gt;0,Table2[[#This Row],[!FK]],"rg:None")</f>
        <v>Note</v>
      </c>
      <c r="U30" s="16" t="str">
        <f>IF(LEN(concatif2(A:A,Table2[[#This Row],[!Table]],G:G,"Y",D:D,",")) &gt; 0,"rg:[ { 'req' : '"&amp;concatif2(A:A,Table2[[#This Row],[!Table]],G:G,"Y",D:D,"' }, { 'req': '")&amp;"'} ]","rg:[]")</f>
        <v>rg:[ { 'req' : 'id'} ]</v>
      </c>
    </row>
    <row r="31" spans="1:21" x14ac:dyDescent="0.3">
      <c r="A31" s="27" t="s">
        <v>4</v>
      </c>
      <c r="B31" s="27" t="s">
        <v>84</v>
      </c>
      <c r="C31" s="3"/>
      <c r="D31" s="27" t="s">
        <v>288</v>
      </c>
      <c r="E31" s="27" t="s">
        <v>304</v>
      </c>
      <c r="F31" s="28" t="s">
        <v>289</v>
      </c>
      <c r="G31" s="19"/>
      <c r="H31" s="4" t="str">
        <f t="shared" si="1"/>
        <v>Defs</v>
      </c>
      <c r="I31" s="16" t="str">
        <f>IF(Table2[[#This Row],[!Type]]=I$1, I$1,"rg:None")</f>
        <v>rg:None</v>
      </c>
      <c r="J31" s="16" t="str">
        <f>IF(Table2[[#This Row],[!Type]]=J$1, J$1,"rg:None")</f>
        <v>rg:None</v>
      </c>
      <c r="K31" s="16" t="str">
        <f>IF(Table2[[#This Row],[!Type]]=K$1, K$1,"rg:None")</f>
        <v>rg:None</v>
      </c>
      <c r="L31" s="16" t="str">
        <f>IF(Table2[[#This Row],[!Type]]=L$1, L$1,"rg:None")</f>
        <v>rg:None</v>
      </c>
      <c r="M31" s="4" t="str">
        <f>IF(Table2[[#This Row],[!Type]]=M$1, M$1,"rg:None")</f>
        <v>links</v>
      </c>
      <c r="N31" s="4" t="str">
        <f>IF(Table2[[#This Row],[!Type]]=N$1, N$1,"rg:None")</f>
        <v>rg:None</v>
      </c>
      <c r="O31" s="4" t="str">
        <f>IF(Table2[[#This Row],[!Type]]=O$1, O$1,"rg:None")</f>
        <v>rg:None</v>
      </c>
      <c r="P31" s="4" t="str">
        <f>IF(Table2[[#This Row],[!Type]]=P$1, P$1,"rg:None")</f>
        <v>rg:None</v>
      </c>
      <c r="Q31" s="16" t="str">
        <f>IF(LEN(Table2[[#This Row],[!Length]]) &gt; 0, Table2[[#This Row],[!Length]], "rg:None")</f>
        <v>rg:None</v>
      </c>
      <c r="R31" s="16" t="str">
        <f>IF(LEN(Table2[[#This Row],[!Name]]) &gt; 0, Table2[[#This Row],[!Name]], "rg:None")</f>
        <v>attachments</v>
      </c>
      <c r="S31" s="16" t="str">
        <f>IF(LEN(Table2[[#This Row],[!Description]]) &gt; 0, Table2[[#This Row],[!Description]], "rg:None")</f>
        <v>The set of attachments about the school bus uploaded by the users.</v>
      </c>
      <c r="T31" s="16" t="str">
        <f>IF(LEN(Table2[[#This Row],[!FK]])&gt;0,Table2[[#This Row],[!FK]],"rg:None")</f>
        <v>Attachment</v>
      </c>
      <c r="U31" s="16" t="str">
        <f>IF(LEN(concatif2(A:A,Table2[[#This Row],[!Table]],G:G,"Y",D:D,",")) &gt; 0,"rg:[ { 'req' : '"&amp;concatif2(A:A,Table2[[#This Row],[!Table]],G:G,"Y",D:D,"' }, { 'req': '")&amp;"'} ]","rg:[]")</f>
        <v>rg:[ { 'req' : 'id'} ]</v>
      </c>
    </row>
    <row r="32" spans="1:21" x14ac:dyDescent="0.3">
      <c r="A32" s="27" t="s">
        <v>4</v>
      </c>
      <c r="B32" s="27" t="s">
        <v>84</v>
      </c>
      <c r="C32" s="3"/>
      <c r="D32" s="27" t="s">
        <v>290</v>
      </c>
      <c r="E32" s="27" t="s">
        <v>305</v>
      </c>
      <c r="F32" s="28" t="s">
        <v>291</v>
      </c>
      <c r="G32" s="19"/>
      <c r="H32" s="4" t="str">
        <f t="shared" si="1"/>
        <v>Defs</v>
      </c>
      <c r="I32" s="16" t="str">
        <f>IF(Table2[[#This Row],[!Type]]=I$1, I$1,"rg:None")</f>
        <v>rg:None</v>
      </c>
      <c r="J32" s="16" t="str">
        <f>IF(Table2[[#This Row],[!Type]]=J$1, J$1,"rg:None")</f>
        <v>rg:None</v>
      </c>
      <c r="K32" s="16" t="str">
        <f>IF(Table2[[#This Row],[!Type]]=K$1, K$1,"rg:None")</f>
        <v>rg:None</v>
      </c>
      <c r="L32" s="16" t="str">
        <f>IF(Table2[[#This Row],[!Type]]=L$1, L$1,"rg:None")</f>
        <v>rg:None</v>
      </c>
      <c r="M32" s="4" t="str">
        <f>IF(Table2[[#This Row],[!Type]]=M$1, M$1,"rg:None")</f>
        <v>links</v>
      </c>
      <c r="N32" s="4" t="str">
        <f>IF(Table2[[#This Row],[!Type]]=N$1, N$1,"rg:None")</f>
        <v>rg:None</v>
      </c>
      <c r="O32" s="4" t="str">
        <f>IF(Table2[[#This Row],[!Type]]=O$1, O$1,"rg:None")</f>
        <v>rg:None</v>
      </c>
      <c r="P32" s="4" t="str">
        <f>IF(Table2[[#This Row],[!Type]]=P$1, P$1,"rg:None")</f>
        <v>rg:None</v>
      </c>
      <c r="Q32" s="16" t="str">
        <f>IF(LEN(Table2[[#This Row],[!Length]]) &gt; 0, Table2[[#This Row],[!Length]], "rg:None")</f>
        <v>rg:None</v>
      </c>
      <c r="R32" s="16" t="str">
        <f>IF(LEN(Table2[[#This Row],[!Name]]) &gt; 0, Table2[[#This Row],[!Name]], "rg:None")</f>
        <v>history</v>
      </c>
      <c r="S32" s="16" t="str">
        <f>IF(LEN(Table2[[#This Row],[!Description]]) &gt; 0, Table2[[#This Row],[!Description]], "rg:None")</f>
        <v>The history of updates made to the School Bus.</v>
      </c>
      <c r="T32" s="16" t="str">
        <f>IF(LEN(Table2[[#This Row],[!FK]])&gt;0,Table2[[#This Row],[!FK]],"rg:None")</f>
        <v>History</v>
      </c>
      <c r="U32" s="16" t="str">
        <f>IF(LEN(concatif2(A:A,Table2[[#This Row],[!Table]],G:G,"Y",D:D,",")) &gt; 0,"rg:[ { 'req' : '"&amp;concatif2(A:A,Table2[[#This Row],[!Table]],G:G,"Y",D:D,"' }, { 'req': '")&amp;"'} ]","rg:[]")</f>
        <v>rg:[ { 'req' : 'id'} ]</v>
      </c>
    </row>
    <row r="33" spans="1:21" x14ac:dyDescent="0.3">
      <c r="A33" s="3" t="s">
        <v>16</v>
      </c>
      <c r="B33" s="3" t="s">
        <v>5</v>
      </c>
      <c r="C33" s="3"/>
      <c r="D33" s="3" t="s">
        <v>16</v>
      </c>
      <c r="E33" s="29" t="s">
        <v>7</v>
      </c>
      <c r="F33" s="3" t="s">
        <v>7</v>
      </c>
      <c r="G33" s="4"/>
      <c r="H33" s="5" t="str">
        <f t="shared" si="0"/>
        <v>Defs</v>
      </c>
      <c r="I33" t="str">
        <f>IF(Table2[[#This Row],[!Type]]=I$1, I$1,"rg:None")</f>
        <v>rg:None</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rg:None</v>
      </c>
      <c r="P33" s="5" t="str">
        <f>IF(Table2[[#This Row],[!Type]]=P$1, P$1,"rg:None")</f>
        <v>table</v>
      </c>
      <c r="Q33" s="10" t="str">
        <f>IF(LEN(Table2[[#This Row],[!Length]]) &gt; 0, Table2[[#This Row],[!Length]], "rg:None")</f>
        <v>rg:None</v>
      </c>
      <c r="R33" s="10" t="str">
        <f>IF(LEN(Table2[[#This Row],[!Name]]) &gt; 0, Table2[[#This Row],[!Name]], "rg:None")</f>
        <v>SchoolBusOwner</v>
      </c>
      <c r="S33" s="10" t="str">
        <f>IF(LEN(Table2[[#This Row],[!Description]]) &gt; 0, Table2[[#This Row],[!Description]], "rg:None")</f>
        <v>rg:None</v>
      </c>
      <c r="T33" s="10" t="str">
        <f>IF(LEN(Table2[[#This Row],[!FK]])&gt;0,Table2[[#This Row],[!FK]],"rg:None")</f>
        <v>rg:None</v>
      </c>
      <c r="U33" s="10" t="str">
        <f>IF(LEN(concatif2(A:A,Table2[[#This Row],[!Table]],G:G,"Y",D:D,",")) &gt; 0,"rg:[ { 'req' : '"&amp;concatif2(A:A,Table2[[#This Row],[!Table]],G:G,"Y",D:D,"' }, { 'req': '")&amp;"'} ]","rg:[]")</f>
        <v>rg:[ { 'req' : 'id'} ]</v>
      </c>
    </row>
    <row r="34" spans="1:21" x14ac:dyDescent="0.3">
      <c r="A34" s="3" t="s">
        <v>16</v>
      </c>
      <c r="B34" s="3" t="s">
        <v>8</v>
      </c>
      <c r="C34" s="3"/>
      <c r="D34" s="3" t="s">
        <v>8</v>
      </c>
      <c r="E34" s="29" t="s">
        <v>9</v>
      </c>
      <c r="F34" s="3" t="s">
        <v>7</v>
      </c>
      <c r="G34" s="4" t="s">
        <v>179</v>
      </c>
      <c r="H34" s="5" t="str">
        <f t="shared" si="0"/>
        <v>Defs</v>
      </c>
      <c r="I34" t="str">
        <f>IF(Table2[[#This Row],[!Type]]=I$1, I$1,"rg:None")</f>
        <v>rg:None</v>
      </c>
      <c r="J34" t="str">
        <f>IF(Table2[[#This Row],[!Type]]=J$1, J$1,"rg:None")</f>
        <v>rg:None</v>
      </c>
      <c r="K34" t="str">
        <f>IF(Table2[[#This Row],[!Type]]=K$1, K$1,"rg:None")</f>
        <v>id</v>
      </c>
      <c r="L34" s="10" t="str">
        <f>IF(Table2[[#This Row],[!Type]]=L$1, L$1,"rg:None")</f>
        <v>rg:None</v>
      </c>
      <c r="M34" s="5" t="str">
        <f>IF(Table2[[#This Row],[!Type]]=M$1, M$1,"rg:None")</f>
        <v>rg:None</v>
      </c>
      <c r="N34" s="5" t="str">
        <f>IF(Table2[[#This Row],[!Type]]=N$1, N$1,"rg:None")</f>
        <v>rg:None</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id</v>
      </c>
      <c r="S34" s="10" t="str">
        <f>IF(LEN(Table2[[#This Row],[!Description]]) &gt; 0, Table2[[#This Row],[!Description]], "rg:None")</f>
        <v>Primary Key</v>
      </c>
      <c r="T34" s="10" t="str">
        <f>IF(LEN(Table2[[#This Row],[!FK]])&gt;0,Table2[[#This Row],[!FK]],"rg:None")</f>
        <v>rg:None</v>
      </c>
      <c r="U34" s="10" t="str">
        <f>IF(LEN(concatif2(A:A,Table2[[#This Row],[!Table]],G:G,"Y",D:D,",")) &gt; 0,"rg:[ { 'req' : '"&amp;concatif2(A:A,Table2[[#This Row],[!Table]],G:G,"Y",D:D,"' }, { 'req': '")&amp;"'} ]","rg:[]")</f>
        <v>rg:[ { 'req' : 'id'} ]</v>
      </c>
    </row>
    <row r="35" spans="1:21" x14ac:dyDescent="0.3">
      <c r="A35" s="3" t="s">
        <v>16</v>
      </c>
      <c r="B35" s="3" t="s">
        <v>10</v>
      </c>
      <c r="C35" s="3"/>
      <c r="D35" s="3" t="s">
        <v>65</v>
      </c>
      <c r="E35" s="29" t="s">
        <v>66</v>
      </c>
      <c r="F35" s="3" t="s">
        <v>7</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rg:None</v>
      </c>
      <c r="O35" s="5" t="str">
        <f>IF(Table2[[#This Row],[!Type]]=O$1, O$1,"rg:None")</f>
        <v>string</v>
      </c>
      <c r="P35" s="5" t="str">
        <f>IF(Table2[[#This Row],[!Type]]=P$1, P$1,"rg:None")</f>
        <v>rg:None</v>
      </c>
      <c r="Q35" s="10" t="str">
        <f>IF(LEN(Table2[[#This Row],[!Length]]) &gt; 0, Table2[[#This Row],[!Length]], "rg:None")</f>
        <v>rg:None</v>
      </c>
      <c r="R35" s="10" t="str">
        <f>IF(LEN(Table2[[#This Row],[!Name]]) &gt; 0, Table2[[#This Row],[!Name]], "rg:None")</f>
        <v>name</v>
      </c>
      <c r="S35" s="10" t="str">
        <f>IF(LEN(Table2[[#This Row],[!Description]]) &gt; 0, Table2[[#This Row],[!Description]], "rg:None")</f>
        <v>The name of the School Bus owner as defined by the user/Inspector. Not tied to the ICBC or NSC names,  but whatever is most useful for the Inspectors.</v>
      </c>
      <c r="T35" s="10" t="str">
        <f>IF(LEN(Table2[[#This Row],[!FK]])&gt;0,Table2[[#This Row],[!FK]],"rg:None")</f>
        <v>rg:None</v>
      </c>
      <c r="U35" s="10" t="str">
        <f>IF(LEN(concatif2(A:A,Table2[[#This Row],[!Table]],G:G,"Y",D:D,",")) &gt; 0,"rg:[ { 'req' : '"&amp;concatif2(A:A,Table2[[#This Row],[!Table]],G:G,"Y",D:D,"' }, { 'req': '")&amp;"'} ]","rg:[]")</f>
        <v>rg:[ { 'req' : 'id'} ]</v>
      </c>
    </row>
    <row r="36" spans="1:21" x14ac:dyDescent="0.3">
      <c r="A36" s="3" t="s">
        <v>16</v>
      </c>
      <c r="B36" s="3" t="s">
        <v>10</v>
      </c>
      <c r="C36" s="3"/>
      <c r="D36" s="3" t="s">
        <v>19</v>
      </c>
      <c r="E36" s="29" t="s">
        <v>67</v>
      </c>
      <c r="F36" s="3" t="s">
        <v>7</v>
      </c>
      <c r="G36" s="4"/>
      <c r="H36" s="5" t="str">
        <f t="shared" si="0"/>
        <v>Defs</v>
      </c>
      <c r="I36" t="str">
        <f>IF(Table2[[#This Row],[!Type]]=I$1, I$1,"rg:None")</f>
        <v>rg:None</v>
      </c>
      <c r="J36" t="str">
        <f>IF(Table2[[#This Row],[!Type]]=J$1, J$1,"rg:None")</f>
        <v>rg:None</v>
      </c>
      <c r="K36" t="str">
        <f>IF(Table2[[#This Row],[!Type]]=K$1, K$1,"rg:None")</f>
        <v>rg:None</v>
      </c>
      <c r="L36" s="10" t="str">
        <f>IF(Table2[[#This Row],[!Type]]=L$1, L$1,"rg:None")</f>
        <v>rg:None</v>
      </c>
      <c r="M36" s="5" t="str">
        <f>IF(Table2[[#This Row],[!Type]]=M$1, M$1,"rg:None")</f>
        <v>rg:None</v>
      </c>
      <c r="N36" s="5" t="str">
        <f>IF(Table2[[#This Row],[!Type]]=N$1, N$1,"rg:None")</f>
        <v>rg:None</v>
      </c>
      <c r="O36" s="5" t="str">
        <f>IF(Table2[[#This Row],[!Type]]=O$1, O$1,"rg:None")</f>
        <v>string</v>
      </c>
      <c r="P36" s="5" t="str">
        <f>IF(Table2[[#This Row],[!Type]]=P$1, P$1,"rg:None")</f>
        <v>rg:None</v>
      </c>
      <c r="Q36" s="10" t="str">
        <f>IF(LEN(Table2[[#This Row],[!Length]]) &gt; 0, Table2[[#This Row],[!Length]], "rg:None")</f>
        <v>rg:None</v>
      </c>
      <c r="R36" s="10" t="str">
        <f>IF(LEN(Table2[[#This Row],[!Name]]) &gt; 0, Table2[[#This Row],[!Name]], "rg:None")</f>
        <v>status</v>
      </c>
      <c r="S36" s="10" t="str">
        <f>IF(LEN(Table2[[#This Row],[!Description]]) &gt; 0, Table2[[#This Row],[!Description]], "rg:None")</f>
        <v>Status of the School Bus owner - enumerated value Active,  Archived</v>
      </c>
      <c r="T36" s="10" t="str">
        <f>IF(LEN(Table2[[#This Row],[!FK]])&gt;0,Table2[[#This Row],[!FK]],"rg:None")</f>
        <v>rg:None</v>
      </c>
      <c r="U36" s="10" t="str">
        <f>IF(LEN(concatif2(A:A,Table2[[#This Row],[!Table]],G:G,"Y",D:D,",")) &gt; 0,"rg:[ { 'req' : '"&amp;concatif2(A:A,Table2[[#This Row],[!Table]],G:G,"Y",D:D,"' }, { 'req': '")&amp;"'} ]","rg:[]")</f>
        <v>rg:[ { 'req' : 'id'} ]</v>
      </c>
    </row>
    <row r="37" spans="1:21" x14ac:dyDescent="0.3">
      <c r="A37" s="3" t="s">
        <v>16</v>
      </c>
      <c r="B37" s="3" t="s">
        <v>36</v>
      </c>
      <c r="C37" s="3"/>
      <c r="D37" s="3" t="s">
        <v>68</v>
      </c>
      <c r="E37" s="29" t="s">
        <v>69</v>
      </c>
      <c r="F37" s="3" t="s">
        <v>7</v>
      </c>
      <c r="G37" s="4"/>
      <c r="H37" s="5" t="str">
        <f t="shared" si="0"/>
        <v>Defs</v>
      </c>
      <c r="I37" t="str">
        <f>IF(Table2[[#This Row],[!Type]]=I$1, I$1,"rg:None")</f>
        <v>rg:None</v>
      </c>
      <c r="J37" t="str">
        <f>IF(Table2[[#This Row],[!Type]]=J$1, J$1,"rg:None")</f>
        <v>datetime</v>
      </c>
      <c r="K37" t="str">
        <f>IF(Table2[[#This Row],[!Type]]=K$1, K$1,"rg:None")</f>
        <v>rg:None</v>
      </c>
      <c r="L37" s="10" t="str">
        <f>IF(Table2[[#This Row],[!Type]]=L$1, L$1,"rg:None")</f>
        <v>rg:None</v>
      </c>
      <c r="M37" s="5" t="str">
        <f>IF(Table2[[#This Row],[!Type]]=M$1, M$1,"rg:None")</f>
        <v>rg:None</v>
      </c>
      <c r="N37" s="5" t="str">
        <f>IF(Table2[[#This Row],[!Type]]=N$1, N$1,"rg:None")</f>
        <v>rg:None</v>
      </c>
      <c r="O37" s="5" t="str">
        <f>IF(Table2[[#This Row],[!Type]]=O$1, O$1,"rg:None")</f>
        <v>rg:None</v>
      </c>
      <c r="P37" s="5" t="str">
        <f>IF(Table2[[#This Row],[!Type]]=P$1, P$1,"rg:None")</f>
        <v>rg:None</v>
      </c>
      <c r="Q37" s="10" t="str">
        <f>IF(LEN(Table2[[#This Row],[!Length]]) &gt; 0, Table2[[#This Row],[!Length]], "rg:None")</f>
        <v>rg:None</v>
      </c>
      <c r="R37" s="10" t="str">
        <f>IF(LEN(Table2[[#This Row],[!Name]]) &gt; 0, Table2[[#This Row],[!Name]], "rg:None")</f>
        <v>dateCreated</v>
      </c>
      <c r="S37" s="10" t="str">
        <f>IF(LEN(Table2[[#This Row],[!Description]]) &gt; 0, Table2[[#This Row],[!Description]], "rg:None")</f>
        <v>The date-time of the creation of the record from the audit fields. Since this might be surfaced in the API,  adding it to the definition.</v>
      </c>
      <c r="T37" s="10" t="str">
        <f>IF(LEN(Table2[[#This Row],[!FK]])&gt;0,Table2[[#This Row],[!FK]],"rg:None")</f>
        <v>rg:None</v>
      </c>
      <c r="U37" s="10" t="str">
        <f>IF(LEN(concatif2(A:A,Table2[[#This Row],[!Table]],G:G,"Y",D:D,",")) &gt; 0,"rg:[ { 'req' : '"&amp;concatif2(A:A,Table2[[#This Row],[!Table]],G:G,"Y",D:D,"' }, { 'req': '")&amp;"'} ]","rg:[]")</f>
        <v>rg:[ { 'req' : 'id'} ]</v>
      </c>
    </row>
    <row r="38" spans="1:21" x14ac:dyDescent="0.3">
      <c r="A38" s="3" t="s">
        <v>16</v>
      </c>
      <c r="B38" s="3" t="s">
        <v>14</v>
      </c>
      <c r="C38" s="3"/>
      <c r="D38" s="3" t="s">
        <v>70</v>
      </c>
      <c r="E38" s="29" t="s">
        <v>71</v>
      </c>
      <c r="F38" s="26" t="s">
        <v>297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ref</v>
      </c>
      <c r="O38" s="5" t="str">
        <f>IF(Table2[[#This Row],[!Type]]=O$1, O$1,"rg:None")</f>
        <v>rg:None</v>
      </c>
      <c r="P38" s="5" t="str">
        <f>IF(Table2[[#This Row],[!Type]]=P$1, P$1,"rg:None")</f>
        <v>rg:None</v>
      </c>
      <c r="Q38" s="10" t="str">
        <f>IF(LEN(Table2[[#This Row],[!Length]]) &gt; 0, Table2[[#This Row],[!Length]], "rg:None")</f>
        <v>rg:None</v>
      </c>
      <c r="R38" s="10" t="str">
        <f>IF(LEN(Table2[[#This Row],[!Name]]) &gt; 0, Table2[[#This Row],[!Name]], "rg:None")</f>
        <v>primaryContact</v>
      </c>
      <c r="S38" s="10" t="str">
        <f>IF(LEN(Table2[[#This Row],[!Description]]) &gt; 0, Table2[[#This Row],[!Description]], "rg:None")</f>
        <v>Link to the designated Primary Contact for the Inspector to the School Bus Owner organization.</v>
      </c>
      <c r="T38" s="10" t="str">
        <f>IF(LEN(Table2[[#This Row],[!FK]])&gt;0,Table2[[#This Row],[!FK]],"rg:None")</f>
        <v>Contact</v>
      </c>
      <c r="U38" s="10" t="str">
        <f>IF(LEN(concatif2(A:A,Table2[[#This Row],[!Table]],G:G,"Y",D:D,",")) &gt; 0,"rg:[ { 'req' : '"&amp;concatif2(A:A,Table2[[#This Row],[!Table]],G:G,"Y",D:D,"' }, { 'req': '")&amp;"'} ]","rg:[]")</f>
        <v>rg:[ { 'req' : 'id'} ]</v>
      </c>
    </row>
    <row r="39" spans="1:21" x14ac:dyDescent="0.3">
      <c r="A39" s="3" t="s">
        <v>16</v>
      </c>
      <c r="B39" s="3" t="s">
        <v>14</v>
      </c>
      <c r="C39" s="3"/>
      <c r="D39" s="26" t="s">
        <v>126</v>
      </c>
      <c r="E39" s="29" t="s">
        <v>73</v>
      </c>
      <c r="F39" s="26" t="s">
        <v>126</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ref</v>
      </c>
      <c r="O39" s="5" t="str">
        <f>IF(Table2[[#This Row],[!Type]]=O$1, O$1,"rg:None")</f>
        <v>rg:None</v>
      </c>
      <c r="P39" s="5" t="str">
        <f>IF(Table2[[#This Row],[!Type]]=P$1, P$1,"rg:None")</f>
        <v>rg:None</v>
      </c>
      <c r="Q39" s="10" t="str">
        <f>IF(LEN(Table2[[#This Row],[!Length]]) &gt; 0, Table2[[#This Row],[!Length]], "rg:None")</f>
        <v>rg:None</v>
      </c>
      <c r="R39" s="10" t="str">
        <f>IF(LEN(Table2[[#This Row],[!Name]]) &gt; 0, Table2[[#This Row],[!Name]], "rg:None")</f>
        <v>District</v>
      </c>
      <c r="S39" s="10" t="str">
        <f>IF(LEN(Table2[[#This Row],[!Description]]) &gt; 0, Table2[[#This Row],[!Description]], "rg:None")</f>
        <v>The District to which this School Bus is affliated.</v>
      </c>
      <c r="T39" s="10" t="str">
        <f>IF(LEN(Table2[[#This Row],[!FK]])&gt;0,Table2[[#This Row],[!FK]],"rg:None")</f>
        <v>District</v>
      </c>
      <c r="U39" s="10" t="str">
        <f>IF(LEN(concatif2(A:A,Table2[[#This Row],[!Table]],G:G,"Y",D:D,",")) &gt; 0,"rg:[ { 'req' : '"&amp;concatif2(A:A,Table2[[#This Row],[!Table]],G:G,"Y",D:D,"' }, { 'req': '")&amp;"'} ]","rg:[]")</f>
        <v>rg:[ { 'req' : 'id'} ]</v>
      </c>
    </row>
    <row r="40" spans="1:21" x14ac:dyDescent="0.3">
      <c r="A40" s="3" t="s">
        <v>16</v>
      </c>
      <c r="B40" s="3" t="s">
        <v>84</v>
      </c>
      <c r="C40" s="3"/>
      <c r="D40" s="3" t="s">
        <v>74</v>
      </c>
      <c r="E40" s="30" t="s">
        <v>309</v>
      </c>
      <c r="F40" s="26" t="s">
        <v>297</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links</v>
      </c>
      <c r="N40" s="5" t="str">
        <f>IF(Table2[[#This Row],[!Type]]=N$1, N$1,"rg:None")</f>
        <v>rg:None</v>
      </c>
      <c r="O40" s="5" t="str">
        <f>IF(Table2[[#This Row],[!Type]]=O$1, O$1,"rg:None")</f>
        <v>rg:None</v>
      </c>
      <c r="P40" s="5" t="str">
        <f>IF(Table2[[#This Row],[!Type]]=P$1, P$1,"rg:None")</f>
        <v>rg:None</v>
      </c>
      <c r="Q40" s="10" t="str">
        <f>IF(LEN(Table2[[#This Row],[!Length]]) &gt; 0, Table2[[#This Row],[!Length]], "rg:None")</f>
        <v>rg:None</v>
      </c>
      <c r="R40" s="10" t="str">
        <f>IF(LEN(Table2[[#This Row],[!Name]]) &gt; 0, Table2[[#This Row],[!Name]], "rg:None")</f>
        <v>contacts</v>
      </c>
      <c r="S40" s="10" t="str">
        <f>IF(LEN(Table2[[#This Row],[!Description]]) &gt; 0, Table2[[#This Row],[!Description]], "rg:None")</f>
        <v>The set of contacts related to the School Bus Owner.</v>
      </c>
      <c r="T40" s="10" t="str">
        <f>IF(LEN(Table2[[#This Row],[!FK]])&gt;0,Table2[[#This Row],[!FK]],"rg:None")</f>
        <v>Contact</v>
      </c>
      <c r="U40" s="10" t="str">
        <f>IF(LEN(concatif2(A:A,Table2[[#This Row],[!Table]],G:G,"Y",D:D,",")) &gt; 0,"rg:[ { 'req' : '"&amp;concatif2(A:A,Table2[[#This Row],[!Table]],G:G,"Y",D:D,"' }, { 'req': '")&amp;"'} ]","rg:[]")</f>
        <v>rg:[ { 'req' : 'id'} ]</v>
      </c>
    </row>
    <row r="41" spans="1:21" x14ac:dyDescent="0.3">
      <c r="A41" s="3" t="s">
        <v>16</v>
      </c>
      <c r="B41" s="26" t="s">
        <v>84</v>
      </c>
      <c r="C41" s="3"/>
      <c r="D41" s="26" t="s">
        <v>83</v>
      </c>
      <c r="E41" s="27" t="s">
        <v>306</v>
      </c>
      <c r="F41" s="26" t="s">
        <v>287</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links</v>
      </c>
      <c r="N41" s="5" t="str">
        <f>IF(Table2[[#This Row],[!Type]]=N$1, N$1,"rg:None")</f>
        <v>rg:None</v>
      </c>
      <c r="O41" s="5" t="str">
        <f>IF(Table2[[#This Row],[!Type]]=O$1, O$1,"rg:None")</f>
        <v>rg:None</v>
      </c>
      <c r="P41" s="5" t="str">
        <f>IF(Table2[[#This Row],[!Type]]=P$1, P$1,"rg:None")</f>
        <v>rg:None</v>
      </c>
      <c r="Q41" s="10" t="str">
        <f>IF(LEN(Table2[[#This Row],[!Length]]) &gt; 0, Table2[[#This Row],[!Length]], "rg:None")</f>
        <v>rg:None</v>
      </c>
      <c r="R41" s="10" t="str">
        <f>IF(LEN(Table2[[#This Row],[!Name]]) &gt; 0, Table2[[#This Row],[!Name]], "rg:None")</f>
        <v>notes</v>
      </c>
      <c r="S41" s="10" t="str">
        <f>IF(LEN(Table2[[#This Row],[!Description]]) &gt; 0, Table2[[#This Row],[!Description]], "rg:None")</f>
        <v>The set of notes about the school bus owner entered by users.</v>
      </c>
      <c r="T41" s="10" t="str">
        <f>IF(LEN(Table2[[#This Row],[!FK]])&gt;0,Table2[[#This Row],[!FK]],"rg:None")</f>
        <v>Note</v>
      </c>
      <c r="U41" s="10" t="str">
        <f>IF(LEN(concatif2(A:A,Table2[[#This Row],[!Table]],G:G,"Y",D:D,",")) &gt; 0,"rg:[ { 'req' : '"&amp;concatif2(A:A,Table2[[#This Row],[!Table]],G:G,"Y",D:D,"' }, { 'req': '")&amp;"'} ]","rg:[]")</f>
        <v>rg:[ { 'req' : 'id'} ]</v>
      </c>
    </row>
    <row r="42" spans="1:21" x14ac:dyDescent="0.3">
      <c r="A42" s="3" t="s">
        <v>16</v>
      </c>
      <c r="B42" s="26" t="s">
        <v>84</v>
      </c>
      <c r="C42" s="3"/>
      <c r="D42" s="26" t="s">
        <v>288</v>
      </c>
      <c r="E42" s="27" t="s">
        <v>307</v>
      </c>
      <c r="F42" s="26" t="s">
        <v>289</v>
      </c>
      <c r="G42" s="4"/>
      <c r="H42" s="5" t="str">
        <f t="shared" si="0"/>
        <v>Defs</v>
      </c>
      <c r="I42" t="str">
        <f>IF(Table2[[#This Row],[!Type]]=I$1, I$1,"rg:None")</f>
        <v>rg:None</v>
      </c>
      <c r="J42" t="str">
        <f>IF(Table2[[#This Row],[!Type]]=J$1, J$1,"rg:None")</f>
        <v>rg:None</v>
      </c>
      <c r="K42" t="str">
        <f>IF(Table2[[#This Row],[!Type]]=K$1, K$1,"rg:None")</f>
        <v>rg:None</v>
      </c>
      <c r="L42" s="10" t="str">
        <f>IF(Table2[[#This Row],[!Type]]=L$1, L$1,"rg:None")</f>
        <v>rg:None</v>
      </c>
      <c r="M42" s="5" t="str">
        <f>IF(Table2[[#This Row],[!Type]]=M$1, M$1,"rg:None")</f>
        <v>links</v>
      </c>
      <c r="N42" s="5" t="str">
        <f>IF(Table2[[#This Row],[!Type]]=N$1, N$1,"rg:None")</f>
        <v>rg:None</v>
      </c>
      <c r="O42" s="5" t="str">
        <f>IF(Table2[[#This Row],[!Type]]=O$1, O$1,"rg:None")</f>
        <v>rg:None</v>
      </c>
      <c r="P42" s="5" t="str">
        <f>IF(Table2[[#This Row],[!Type]]=P$1, P$1,"rg:None")</f>
        <v>rg:None</v>
      </c>
      <c r="Q42" s="10" t="str">
        <f>IF(LEN(Table2[[#This Row],[!Length]]) &gt; 0, Table2[[#This Row],[!Length]], "rg:None")</f>
        <v>rg:None</v>
      </c>
      <c r="R42" s="10" t="str">
        <f>IF(LEN(Table2[[#This Row],[!Name]]) &gt; 0, Table2[[#This Row],[!Name]], "rg:None")</f>
        <v>attachments</v>
      </c>
      <c r="S42" s="10" t="str">
        <f>IF(LEN(Table2[[#This Row],[!Description]]) &gt; 0, Table2[[#This Row],[!Description]], "rg:None")</f>
        <v>The set of attachments about the school bus owner uploaded by the users.</v>
      </c>
      <c r="T42" s="10" t="str">
        <f>IF(LEN(Table2[[#This Row],[!FK]])&gt;0,Table2[[#This Row],[!FK]],"rg:None")</f>
        <v>Attachment</v>
      </c>
      <c r="U42" s="10" t="str">
        <f>IF(LEN(concatif2(A:A,Table2[[#This Row],[!Table]],G:G,"Y",D:D,",")) &gt; 0,"rg:[ { 'req' : '"&amp;concatif2(A:A,Table2[[#This Row],[!Table]],G:G,"Y",D:D,"' }, { 'req': '")&amp;"'} ]","rg:[]")</f>
        <v>rg:[ { 'req' : 'id'} ]</v>
      </c>
    </row>
    <row r="43" spans="1:21" x14ac:dyDescent="0.3">
      <c r="A43" s="26" t="s">
        <v>16</v>
      </c>
      <c r="B43" s="26" t="s">
        <v>84</v>
      </c>
      <c r="C43" s="3"/>
      <c r="D43" s="26" t="s">
        <v>290</v>
      </c>
      <c r="E43" s="27" t="s">
        <v>308</v>
      </c>
      <c r="F43" s="26" t="s">
        <v>291</v>
      </c>
      <c r="G43" s="4"/>
      <c r="H43" s="5" t="str">
        <f t="shared" si="0"/>
        <v>Defs</v>
      </c>
      <c r="I43" t="str">
        <f>IF(Table2[[#This Row],[!Type]]=I$1, I$1,"rg:None")</f>
        <v>rg:None</v>
      </c>
      <c r="J43" t="str">
        <f>IF(Table2[[#This Row],[!Type]]=J$1, J$1,"rg:None")</f>
        <v>rg:None</v>
      </c>
      <c r="K43" t="str">
        <f>IF(Table2[[#This Row],[!Type]]=K$1, K$1,"rg:None")</f>
        <v>rg:None</v>
      </c>
      <c r="L43" s="10" t="str">
        <f>IF(Table2[[#This Row],[!Type]]=L$1, L$1,"rg:None")</f>
        <v>rg:None</v>
      </c>
      <c r="M43" s="5" t="str">
        <f>IF(Table2[[#This Row],[!Type]]=M$1, M$1,"rg:None")</f>
        <v>links</v>
      </c>
      <c r="N43" s="5" t="str">
        <f>IF(Table2[[#This Row],[!Type]]=N$1, N$1,"rg:None")</f>
        <v>rg:None</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history</v>
      </c>
      <c r="S43" s="10" t="str">
        <f>IF(LEN(Table2[[#This Row],[!Description]]) &gt; 0, Table2[[#This Row],[!Description]], "rg:None")</f>
        <v>The history of updates made to the School Bus Owner data.</v>
      </c>
      <c r="T43" s="10" t="str">
        <f>IF(LEN(Table2[[#This Row],[!FK]])&gt;0,Table2[[#This Row],[!FK]],"rg:None")</f>
        <v>History</v>
      </c>
      <c r="U43" s="10" t="str">
        <f>IF(LEN(concatif2(A:A,Table2[[#This Row],[!Table]],G:G,"Y",D:D,",")) &gt; 0,"rg:[ { 'req' : '"&amp;concatif2(A:A,Table2[[#This Row],[!Table]],G:G,"Y",D:D,"' }, { 'req': '")&amp;"'} ]","rg:[]")</f>
        <v>rg:[ { 'req' : 'id'} ]</v>
      </c>
    </row>
    <row r="44" spans="1:21" x14ac:dyDescent="0.3">
      <c r="A44" s="3" t="s">
        <v>99</v>
      </c>
      <c r="B44" s="3" t="s">
        <v>5</v>
      </c>
      <c r="C44" s="3"/>
      <c r="D44" s="3" t="s">
        <v>99</v>
      </c>
      <c r="E44" s="29" t="s">
        <v>220</v>
      </c>
      <c r="F44" s="3" t="s">
        <v>7</v>
      </c>
      <c r="H44" s="5" t="str">
        <f t="shared" ref="H44:H85" si="2">IF(LEN(A44) &gt; 0,"Defs","-")</f>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rg:None</v>
      </c>
      <c r="O44" s="5" t="str">
        <f>IF(Table2[[#This Row],[!Type]]=O$1, O$1,"rg:None")</f>
        <v>rg:None</v>
      </c>
      <c r="P44" s="5" t="str">
        <f>IF(Table2[[#This Row],[!Type]]=P$1, P$1,"rg:None")</f>
        <v>table</v>
      </c>
      <c r="Q44" s="10" t="str">
        <f>IF(LEN(Table2[[#This Row],[!Length]]) &gt; 0, Table2[[#This Row],[!Length]], "rg:None")</f>
        <v>rg:None</v>
      </c>
      <c r="R44" s="10" t="str">
        <f>IF(LEN(Table2[[#This Row],[!Name]]) &gt; 0, Table2[[#This Row],[!Name]], "rg:None")</f>
        <v>CCWData</v>
      </c>
      <c r="S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44" s="10" t="str">
        <f>IF(LEN(Table2[[#This Row],[!FK]])&gt;0,Table2[[#This Row],[!FK]],"rg:None")</f>
        <v>rg:None</v>
      </c>
      <c r="U44" s="10" t="str">
        <f>IF(LEN(concatif2(A:A,Table2[[#This Row],[!Table]],G:G,"Y",D:D,",")) &gt; 0,"rg:[ { 'req' : '"&amp;concatif2(A:A,Table2[[#This Row],[!Table]],G:G,"Y",D:D,"' }, { 'req': '")&amp;"'} ]","rg:[]")</f>
        <v>rg:[ { 'req' : 'id'} ]</v>
      </c>
    </row>
    <row r="45" spans="1:21" x14ac:dyDescent="0.3">
      <c r="A45" s="3" t="s">
        <v>99</v>
      </c>
      <c r="B45" s="3" t="s">
        <v>8</v>
      </c>
      <c r="C45" s="3"/>
      <c r="D45" s="3" t="s">
        <v>8</v>
      </c>
      <c r="E45" s="29" t="s">
        <v>9</v>
      </c>
      <c r="F45" s="3" t="s">
        <v>7</v>
      </c>
      <c r="G45" s="4" t="s">
        <v>179</v>
      </c>
      <c r="H45" s="5" t="str">
        <f t="shared" si="2"/>
        <v>Defs</v>
      </c>
      <c r="I45" t="str">
        <f>IF(Table2[[#This Row],[!Type]]=I$1, I$1,"rg:None")</f>
        <v>rg:None</v>
      </c>
      <c r="J45" t="str">
        <f>IF(Table2[[#This Row],[!Type]]=J$1, J$1,"rg:None")</f>
        <v>rg:None</v>
      </c>
      <c r="K45" t="str">
        <f>IF(Table2[[#This Row],[!Type]]=K$1, K$1,"rg:None")</f>
        <v>id</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rg:None</v>
      </c>
      <c r="Q45" s="10" t="str">
        <f>IF(LEN(Table2[[#This Row],[!Length]]) &gt; 0, Table2[[#This Row],[!Length]], "rg:None")</f>
        <v>rg:None</v>
      </c>
      <c r="R45" s="10" t="str">
        <f>IF(LEN(Table2[[#This Row],[!Name]]) &gt; 0, Table2[[#This Row],[!Name]], "rg:None")</f>
        <v>id</v>
      </c>
      <c r="S45" s="10" t="str">
        <f>IF(LEN(Table2[[#This Row],[!Description]]) &gt; 0, Table2[[#This Row],[!Description]], "rg:None")</f>
        <v>Primary Key</v>
      </c>
      <c r="T45" s="10" t="str">
        <f>IF(LEN(Table2[[#This Row],[!FK]])&gt;0,Table2[[#This Row],[!FK]],"rg:None")</f>
        <v>rg:None</v>
      </c>
      <c r="U45" s="10" t="str">
        <f>IF(LEN(concatif2(A:A,Table2[[#This Row],[!Table]],G:G,"Y",D:D,",")) &gt; 0,"rg:[ { 'req' : '"&amp;concatif2(A:A,Table2[[#This Row],[!Table]],G:G,"Y",D:D,"' }, { 'req': '")&amp;"'} ]","rg:[]")</f>
        <v>rg:[ { 'req' : 'id'} ]</v>
      </c>
    </row>
    <row r="46" spans="1:21" x14ac:dyDescent="0.3">
      <c r="A46" s="3" t="s">
        <v>99</v>
      </c>
      <c r="B46" s="3" t="s">
        <v>10</v>
      </c>
      <c r="C46" s="3"/>
      <c r="D46" s="26" t="s">
        <v>310</v>
      </c>
      <c r="E46" s="29" t="s">
        <v>100</v>
      </c>
      <c r="F46" s="3" t="s">
        <v>7</v>
      </c>
      <c r="H46" s="5" t="str">
        <f t="shared" si="2"/>
        <v>Defs</v>
      </c>
      <c r="I46" t="str">
        <f>IF(Table2[[#This Row],[!Type]]=I$1, I$1,"rg:None")</f>
        <v>rg:None</v>
      </c>
      <c r="J46" t="str">
        <f>IF(Table2[[#This Row],[!Type]]=J$1, J$1,"rg:None")</f>
        <v>rg:None</v>
      </c>
      <c r="K46" t="str">
        <f>IF(Table2[[#This Row],[!Type]]=K$1, K$1,"rg:None")</f>
        <v>rg:None</v>
      </c>
      <c r="L46" s="10" t="str">
        <f>IF(Table2[[#This Row],[!Type]]=L$1, L$1,"rg:None")</f>
        <v>rg:None</v>
      </c>
      <c r="M46" s="5" t="str">
        <f>IF(Table2[[#This Row],[!Type]]=M$1, M$1,"rg:None")</f>
        <v>rg:None</v>
      </c>
      <c r="N46" s="5" t="str">
        <f>IF(Table2[[#This Row],[!Type]]=N$1, N$1,"rg:None")</f>
        <v>rg:None</v>
      </c>
      <c r="O46" s="5" t="str">
        <f>IF(Table2[[#This Row],[!Type]]=O$1, O$1,"rg:None")</f>
        <v>string</v>
      </c>
      <c r="P46" s="5" t="str">
        <f>IF(Table2[[#This Row],[!Type]]=P$1, P$1,"rg:None")</f>
        <v>rg:None</v>
      </c>
      <c r="Q46" s="10" t="str">
        <f>IF(LEN(Table2[[#This Row],[!Length]]) &gt; 0, Table2[[#This Row],[!Length]], "rg:None")</f>
        <v>rg:None</v>
      </c>
      <c r="R46" s="10" t="str">
        <f>IF(LEN(Table2[[#This Row],[!Name]]) &gt; 0, Table2[[#This Row],[!Name]], "rg:None")</f>
        <v>ICBCRegistrationNumber</v>
      </c>
      <c r="S46" s="10" t="str">
        <f>IF(LEN(Table2[[#This Row],[!Description]]) &gt; 0, Table2[[#This Row],[!Description]], "rg:None")</f>
        <v>The Registration Number (Regi) is the link between the CCW information and a specific School Bus</v>
      </c>
      <c r="T46" s="10" t="str">
        <f>IF(LEN(Table2[[#This Row],[!FK]])&gt;0,Table2[[#This Row],[!FK]],"rg:None")</f>
        <v>rg:None</v>
      </c>
      <c r="U46" s="10" t="str">
        <f>IF(LEN(concatif2(A:A,Table2[[#This Row],[!Table]],G:G,"Y",D:D,",")) &gt; 0,"rg:[ { 'req' : '"&amp;concatif2(A:A,Table2[[#This Row],[!Table]],G:G,"Y",D:D,"' }, { 'req': '")&amp;"'} ]","rg:[]")</f>
        <v>rg:[ { 'req' : 'id'} ]</v>
      </c>
    </row>
    <row r="47" spans="1:21" x14ac:dyDescent="0.3">
      <c r="A47" s="3" t="s">
        <v>99</v>
      </c>
      <c r="B47" s="3" t="s">
        <v>48</v>
      </c>
      <c r="C47" s="3"/>
      <c r="D47" s="5" t="s">
        <v>182</v>
      </c>
      <c r="E47" s="29" t="s">
        <v>101</v>
      </c>
      <c r="F47" s="3" t="s">
        <v>7</v>
      </c>
      <c r="H47" s="5" t="str">
        <f t="shared" si="2"/>
        <v>Defs</v>
      </c>
      <c r="I47" t="str">
        <f>IF(Table2[[#This Row],[!Type]]=I$1, I$1,"rg:None")</f>
        <v>rg:None</v>
      </c>
      <c r="J47" t="str">
        <f>IF(Table2[[#This Row],[!Type]]=J$1, J$1,"rg:None")</f>
        <v>rg:None</v>
      </c>
      <c r="K47" t="str">
        <f>IF(Table2[[#This Row],[!Type]]=K$1, K$1,"rg:None")</f>
        <v>rg:None</v>
      </c>
      <c r="L47" s="10" t="str">
        <f>IF(Table2[[#This Row],[!Type]]=L$1, L$1,"rg:None")</f>
        <v>integer</v>
      </c>
      <c r="M47" s="5" t="str">
        <f>IF(Table2[[#This Row],[!Type]]=M$1, M$1,"rg:None")</f>
        <v>rg:None</v>
      </c>
      <c r="N47" s="5" t="str">
        <f>IF(Table2[[#This Row],[!Type]]=N$1, N$1,"rg:None")</f>
        <v>rg:None</v>
      </c>
      <c r="O47" s="5" t="str">
        <f>IF(Table2[[#This Row],[!Type]]=O$1, O$1,"rg:None")</f>
        <v>rg:None</v>
      </c>
      <c r="P47" s="5" t="str">
        <f>IF(Table2[[#This Row],[!Type]]=P$1, P$1,"rg:None")</f>
        <v>rg:None</v>
      </c>
      <c r="Q47" s="10" t="str">
        <f>IF(LEN(Table2[[#This Row],[!Length]]) &gt; 0, Table2[[#This Row],[!Length]], "rg:None")</f>
        <v>rg:None</v>
      </c>
      <c r="R47" s="10" t="str">
        <f>IF(LEN(Table2[[#This Row],[!Name]]) &gt; 0, Table2[[#This Row],[!Name]], "rg:None")</f>
        <v>ICBCModelYear</v>
      </c>
      <c r="S47" s="10" t="str">
        <f>IF(LEN(Table2[[#This Row],[!Description]]) &gt; 0, Table2[[#This Row],[!Description]], "rg:None")</f>
        <v>Vehicle Year</v>
      </c>
      <c r="T47" s="10" t="str">
        <f>IF(LEN(Table2[[#This Row],[!FK]])&gt;0,Table2[[#This Row],[!FK]],"rg:None")</f>
        <v>rg:None</v>
      </c>
      <c r="U47" s="10" t="str">
        <f>IF(LEN(concatif2(A:A,Table2[[#This Row],[!Table]],G:G,"Y",D:D,",")) &gt; 0,"rg:[ { 'req' : '"&amp;concatif2(A:A,Table2[[#This Row],[!Table]],G:G,"Y",D:D,"' }, { 'req': '")&amp;"'} ]","rg:[]")</f>
        <v>rg:[ { 'req' : 'id'} ]</v>
      </c>
    </row>
    <row r="48" spans="1:21" x14ac:dyDescent="0.3">
      <c r="A48" s="3" t="s">
        <v>99</v>
      </c>
      <c r="B48" s="3" t="s">
        <v>10</v>
      </c>
      <c r="C48" s="3"/>
      <c r="D48" s="5" t="s">
        <v>183</v>
      </c>
      <c r="E48" s="29" t="s">
        <v>7</v>
      </c>
      <c r="F48" s="3" t="s">
        <v>7</v>
      </c>
      <c r="H48" s="5" t="str">
        <f t="shared" si="2"/>
        <v>Defs</v>
      </c>
      <c r="I48" t="str">
        <f>IF(Table2[[#This Row],[!Type]]=I$1, I$1,"rg:None")</f>
        <v>rg:None</v>
      </c>
      <c r="J48" t="str">
        <f>IF(Table2[[#This Row],[!Type]]=J$1, J$1,"rg:None")</f>
        <v>rg:None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string</v>
      </c>
      <c r="P48" s="5" t="str">
        <f>IF(Table2[[#This Row],[!Type]]=P$1, P$1,"rg:None")</f>
        <v>rg:None</v>
      </c>
      <c r="Q48" s="10" t="str">
        <f>IF(LEN(Table2[[#This Row],[!Length]]) &gt; 0, Table2[[#This Row],[!Length]], "rg:None")</f>
        <v>rg:None</v>
      </c>
      <c r="R48" s="10" t="str">
        <f>IF(LEN(Table2[[#This Row],[!Name]]) &gt; 0, Table2[[#This Row],[!Name]], "rg:None")</f>
        <v>ICBCVehicleType</v>
      </c>
      <c r="S48" s="10" t="str">
        <f>IF(LEN(Table2[[#This Row],[!Description]]) &gt; 0, Table2[[#This Row],[!Description]], "rg:None")</f>
        <v>rg:None</v>
      </c>
      <c r="T48" s="10" t="str">
        <f>IF(LEN(Table2[[#This Row],[!FK]])&gt;0,Table2[[#This Row],[!FK]],"rg:None")</f>
        <v>rg:None</v>
      </c>
      <c r="U48" s="10" t="str">
        <f>IF(LEN(concatif2(A:A,Table2[[#This Row],[!Table]],G:G,"Y",D:D,",")) &gt; 0,"rg:[ { 'req' : '"&amp;concatif2(A:A,Table2[[#This Row],[!Table]],G:G,"Y",D:D,"' }, { 'req': '")&amp;"'} ]","rg:[]")</f>
        <v>rg:[ { 'req' : 'id'} ]</v>
      </c>
    </row>
    <row r="49" spans="1:21" x14ac:dyDescent="0.3">
      <c r="A49" s="3" t="s">
        <v>99</v>
      </c>
      <c r="B49" s="3" t="s">
        <v>10</v>
      </c>
      <c r="C49" s="3"/>
      <c r="D49" s="5" t="s">
        <v>184</v>
      </c>
      <c r="E49" s="29" t="s">
        <v>7</v>
      </c>
      <c r="F49" s="3" t="s">
        <v>7</v>
      </c>
      <c r="H49" s="5" t="str">
        <f t="shared" si="2"/>
        <v>Defs</v>
      </c>
      <c r="I49" t="str">
        <f>IF(Table2[[#This Row],[!Type]]=I$1, I$1,"rg:None")</f>
        <v>rg:None</v>
      </c>
      <c r="J49" t="str">
        <f>IF(Table2[[#This Row],[!Type]]=J$1, J$1,"rg:None")</f>
        <v>rg:None</v>
      </c>
      <c r="K49" t="str">
        <f>IF(Table2[[#This Row],[!Type]]=K$1, K$1,"rg:None")</f>
        <v>rg:None</v>
      </c>
      <c r="L49" s="10" t="str">
        <f>IF(Table2[[#This Row],[!Type]]=L$1, L$1,"rg:None")</f>
        <v>rg:None</v>
      </c>
      <c r="M49" s="5" t="str">
        <f>IF(Table2[[#This Row],[!Type]]=M$1, M$1,"rg:None")</f>
        <v>rg:None</v>
      </c>
      <c r="N49" s="5" t="str">
        <f>IF(Table2[[#This Row],[!Type]]=N$1, N$1,"rg:None")</f>
        <v>rg:None</v>
      </c>
      <c r="O49" s="5" t="str">
        <f>IF(Table2[[#This Row],[!Type]]=O$1, O$1,"rg:None")</f>
        <v>string</v>
      </c>
      <c r="P49" s="5" t="str">
        <f>IF(Table2[[#This Row],[!Type]]=P$1, P$1,"rg:None")</f>
        <v>rg:None</v>
      </c>
      <c r="Q49" s="10" t="str">
        <f>IF(LEN(Table2[[#This Row],[!Length]]) &gt; 0, Table2[[#This Row],[!Length]], "rg:None")</f>
        <v>rg:None</v>
      </c>
      <c r="R49" s="10" t="str">
        <f>IF(LEN(Table2[[#This Row],[!Name]]) &gt; 0, Table2[[#This Row],[!Name]], "rg:None")</f>
        <v>ICBCRateClass</v>
      </c>
      <c r="S49" s="10" t="str">
        <f>IF(LEN(Table2[[#This Row],[!Description]]) &gt; 0, Table2[[#This Row],[!Description]], "rg:None")</f>
        <v>rg:None</v>
      </c>
      <c r="T49" s="10" t="str">
        <f>IF(LEN(Table2[[#This Row],[!FK]])&gt;0,Table2[[#This Row],[!FK]],"rg:None")</f>
        <v>rg:None</v>
      </c>
      <c r="U49" s="10" t="str">
        <f>IF(LEN(concatif2(A:A,Table2[[#This Row],[!Table]],G:G,"Y",D:D,",")) &gt; 0,"rg:[ { 'req' : '"&amp;concatif2(A:A,Table2[[#This Row],[!Table]],G:G,"Y",D:D,"' }, { 'req': '")&amp;"'} ]","rg:[]")</f>
        <v>rg:[ { 'req' : 'id'} ]</v>
      </c>
    </row>
    <row r="50" spans="1:21" x14ac:dyDescent="0.3">
      <c r="A50" s="3" t="s">
        <v>99</v>
      </c>
      <c r="B50" s="3" t="s">
        <v>10</v>
      </c>
      <c r="C50" s="3"/>
      <c r="D50" s="5" t="s">
        <v>185</v>
      </c>
      <c r="E50" s="29" t="s">
        <v>7</v>
      </c>
      <c r="F50" s="3" t="s">
        <v>7</v>
      </c>
      <c r="H50" s="5" t="str">
        <f t="shared" si="2"/>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rg:None</v>
      </c>
      <c r="O50" s="5" t="str">
        <f>IF(Table2[[#This Row],[!Type]]=O$1, O$1,"rg:None")</f>
        <v>string</v>
      </c>
      <c r="P50" s="5" t="str">
        <f>IF(Table2[[#This Row],[!Type]]=P$1, P$1,"rg:None")</f>
        <v>rg:None</v>
      </c>
      <c r="Q50" s="10" t="str">
        <f>IF(LEN(Table2[[#This Row],[!Length]]) &gt; 0, Table2[[#This Row],[!Length]], "rg:None")</f>
        <v>rg:None</v>
      </c>
      <c r="R50" s="10" t="str">
        <f>IF(LEN(Table2[[#This Row],[!Name]]) &gt; 0, Table2[[#This Row],[!Name]], "rg:None")</f>
        <v>ICBCCVIPDecal</v>
      </c>
      <c r="S50" s="10" t="str">
        <f>IF(LEN(Table2[[#This Row],[!Description]]) &gt; 0, Table2[[#This Row],[!Description]], "rg:None")</f>
        <v>rg:None</v>
      </c>
      <c r="T50" s="10" t="str">
        <f>IF(LEN(Table2[[#This Row],[!FK]])&gt;0,Table2[[#This Row],[!FK]],"rg:None")</f>
        <v>rg:None</v>
      </c>
      <c r="U50" s="10" t="str">
        <f>IF(LEN(concatif2(A:A,Table2[[#This Row],[!Table]],G:G,"Y",D:D,",")) &gt; 0,"rg:[ { 'req' : '"&amp;concatif2(A:A,Table2[[#This Row],[!Table]],G:G,"Y",D:D,"' }, { 'req': '")&amp;"'} ]","rg:[]")</f>
        <v>rg:[ { 'req' : 'id'} ]</v>
      </c>
    </row>
    <row r="51" spans="1:21" x14ac:dyDescent="0.3">
      <c r="A51" s="3" t="s">
        <v>99</v>
      </c>
      <c r="B51" s="3" t="s">
        <v>48</v>
      </c>
      <c r="C51" s="3"/>
      <c r="D51" s="5" t="s">
        <v>186</v>
      </c>
      <c r="E51" s="29" t="s">
        <v>7</v>
      </c>
      <c r="F51" s="3" t="s">
        <v>7</v>
      </c>
      <c r="H51" s="5" t="str">
        <f t="shared" si="2"/>
        <v>Defs</v>
      </c>
      <c r="I51" t="str">
        <f>IF(Table2[[#This Row],[!Type]]=I$1, I$1,"rg:None")</f>
        <v>rg:None</v>
      </c>
      <c r="J51" t="str">
        <f>IF(Table2[[#This Row],[!Type]]=J$1, J$1,"rg:None")</f>
        <v>rg:None</v>
      </c>
      <c r="K51" t="str">
        <f>IF(Table2[[#This Row],[!Type]]=K$1, K$1,"rg:None")</f>
        <v>rg:None</v>
      </c>
      <c r="L51" s="10" t="str">
        <f>IF(Table2[[#This Row],[!Type]]=L$1, L$1,"rg:None")</f>
        <v>integer</v>
      </c>
      <c r="M51" s="5" t="str">
        <f>IF(Table2[[#This Row],[!Type]]=M$1, M$1,"rg:None")</f>
        <v>rg:None</v>
      </c>
      <c r="N51" s="5" t="str">
        <f>IF(Table2[[#This Row],[!Type]]=N$1, N$1,"rg:None")</f>
        <v>rg:None</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ICBCFleetUnitNo</v>
      </c>
      <c r="S51" s="10" t="str">
        <f>IF(LEN(Table2[[#This Row],[!Description]]) &gt; 0, Table2[[#This Row],[!Description]], "rg:None")</f>
        <v>rg:None</v>
      </c>
      <c r="T51" s="10" t="str">
        <f>IF(LEN(Table2[[#This Row],[!FK]])&gt;0,Table2[[#This Row],[!FK]],"rg:None")</f>
        <v>rg:None</v>
      </c>
      <c r="U51" s="10" t="str">
        <f>IF(LEN(concatif2(A:A,Table2[[#This Row],[!Table]],G:G,"Y",D:D,",")) &gt; 0,"rg:[ { 'req' : '"&amp;concatif2(A:A,Table2[[#This Row],[!Table]],G:G,"Y",D:D,"' }, { 'req': '")&amp;"'} ]","rg:[]")</f>
        <v>rg:[ { 'req' : 'id'} ]</v>
      </c>
    </row>
    <row r="52" spans="1:21" x14ac:dyDescent="0.3">
      <c r="A52" s="3" t="s">
        <v>99</v>
      </c>
      <c r="B52" s="3" t="s">
        <v>48</v>
      </c>
      <c r="C52" s="3"/>
      <c r="D52" s="5" t="s">
        <v>187</v>
      </c>
      <c r="E52" s="29" t="s">
        <v>7</v>
      </c>
      <c r="F52" s="3" t="s">
        <v>7</v>
      </c>
      <c r="H52" s="5" t="str">
        <f t="shared" si="2"/>
        <v>Defs</v>
      </c>
      <c r="I52" t="str">
        <f>IF(Table2[[#This Row],[!Type]]=I$1, I$1,"rg:None")</f>
        <v>rg:None</v>
      </c>
      <c r="J52" t="str">
        <f>IF(Table2[[#This Row],[!Type]]=J$1, J$1,"rg:None")</f>
        <v>rg:None</v>
      </c>
      <c r="K52" t="str">
        <f>IF(Table2[[#This Row],[!Type]]=K$1, K$1,"rg:None")</f>
        <v>rg:None</v>
      </c>
      <c r="L52" s="10" t="str">
        <f>IF(Table2[[#This Row],[!Type]]=L$1, L$1,"rg:None")</f>
        <v>integer</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ICBCGrossVehicleWeight</v>
      </c>
      <c r="S52" s="10" t="str">
        <f>IF(LEN(Table2[[#This Row],[!Description]]) &gt; 0, Table2[[#This Row],[!Description]], "rg:None")</f>
        <v>rg:None</v>
      </c>
      <c r="T52" s="10" t="str">
        <f>IF(LEN(Table2[[#This Row],[!FK]])&gt;0,Table2[[#This Row],[!FK]],"rg:None")</f>
        <v>rg:None</v>
      </c>
      <c r="U52" s="10" t="str">
        <f>IF(LEN(concatif2(A:A,Table2[[#This Row],[!Table]],G:G,"Y",D:D,",")) &gt; 0,"rg:[ { 'req' : '"&amp;concatif2(A:A,Table2[[#This Row],[!Table]],G:G,"Y",D:D,"' }, { 'req': '")&amp;"'} ]","rg:[]")</f>
        <v>rg:[ { 'req' : 'id'} ]</v>
      </c>
    </row>
    <row r="53" spans="1:21" x14ac:dyDescent="0.3">
      <c r="A53" s="3" t="s">
        <v>99</v>
      </c>
      <c r="B53" s="3" t="s">
        <v>10</v>
      </c>
      <c r="C53" s="3"/>
      <c r="D53" s="5" t="s">
        <v>188</v>
      </c>
      <c r="E53" s="29" t="s">
        <v>7</v>
      </c>
      <c r="F53" s="3" t="s">
        <v>7</v>
      </c>
      <c r="H53" s="5" t="str">
        <f t="shared" si="2"/>
        <v>Defs</v>
      </c>
      <c r="I53" t="str">
        <f>IF(Table2[[#This Row],[!Type]]=I$1, I$1,"rg:None")</f>
        <v>rg:None</v>
      </c>
      <c r="J53" t="str">
        <f>IF(Table2[[#This Row],[!Type]]=J$1, J$1,"rg:None")</f>
        <v>rg:None</v>
      </c>
      <c r="K53" t="str">
        <f>IF(Table2[[#This Row],[!Type]]=K$1, K$1,"rg:None")</f>
        <v>rg:None</v>
      </c>
      <c r="L53" s="10" t="str">
        <f>IF(Table2[[#This Row],[!Type]]=L$1, L$1,"rg:None")</f>
        <v>rg:None</v>
      </c>
      <c r="M53" s="5" t="str">
        <f>IF(Table2[[#This Row],[!Type]]=M$1, M$1,"rg:None")</f>
        <v>rg:None</v>
      </c>
      <c r="N53" s="5" t="str">
        <f>IF(Table2[[#This Row],[!Type]]=N$1, N$1,"rg:None")</f>
        <v>rg:None</v>
      </c>
      <c r="O53" s="5" t="str">
        <f>IF(Table2[[#This Row],[!Type]]=O$1, O$1,"rg:None")</f>
        <v>string</v>
      </c>
      <c r="P53" s="5" t="str">
        <f>IF(Table2[[#This Row],[!Type]]=P$1, P$1,"rg:None")</f>
        <v>rg:None</v>
      </c>
      <c r="Q53" s="10" t="str">
        <f>IF(LEN(Table2[[#This Row],[!Length]]) &gt; 0, Table2[[#This Row],[!Length]], "rg:None")</f>
        <v>rg:None</v>
      </c>
      <c r="R53" s="10" t="str">
        <f>IF(LEN(Table2[[#This Row],[!Name]]) &gt; 0, Table2[[#This Row],[!Name]], "rg:None")</f>
        <v>ICBCMake</v>
      </c>
      <c r="S53" s="10" t="str">
        <f>IF(LEN(Table2[[#This Row],[!Description]]) &gt; 0, Table2[[#This Row],[!Description]], "rg:None")</f>
        <v>rg:None</v>
      </c>
      <c r="T53" s="10" t="str">
        <f>IF(LEN(Table2[[#This Row],[!FK]])&gt;0,Table2[[#This Row],[!FK]],"rg:None")</f>
        <v>rg:None</v>
      </c>
      <c r="U53" s="10" t="str">
        <f>IF(LEN(concatif2(A:A,Table2[[#This Row],[!Table]],G:G,"Y",D:D,",")) &gt; 0,"rg:[ { 'req' : '"&amp;concatif2(A:A,Table2[[#This Row],[!Table]],G:G,"Y",D:D,"' }, { 'req': '")&amp;"'} ]","rg:[]")</f>
        <v>rg:[ { 'req' : 'id'} ]</v>
      </c>
    </row>
    <row r="54" spans="1:21" x14ac:dyDescent="0.3">
      <c r="A54" s="3" t="s">
        <v>99</v>
      </c>
      <c r="B54" s="3" t="s">
        <v>10</v>
      </c>
      <c r="C54" s="3"/>
      <c r="D54" s="5" t="s">
        <v>189</v>
      </c>
      <c r="E54" s="29" t="s">
        <v>7</v>
      </c>
      <c r="F54" s="3" t="s">
        <v>7</v>
      </c>
      <c r="H54" s="5" t="str">
        <f t="shared" si="2"/>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rg:None</v>
      </c>
      <c r="N54" s="5" t="str">
        <f>IF(Table2[[#This Row],[!Type]]=N$1, N$1,"rg:None")</f>
        <v>rg:None</v>
      </c>
      <c r="O54" s="5" t="str">
        <f>IF(Table2[[#This Row],[!Type]]=O$1, O$1,"rg:None")</f>
        <v>string</v>
      </c>
      <c r="P54" s="5" t="str">
        <f>IF(Table2[[#This Row],[!Type]]=P$1, P$1,"rg:None")</f>
        <v>rg:None</v>
      </c>
      <c r="Q54" s="10" t="str">
        <f>IF(LEN(Table2[[#This Row],[!Length]]) &gt; 0, Table2[[#This Row],[!Length]], "rg:None")</f>
        <v>rg:None</v>
      </c>
      <c r="R54" s="10" t="str">
        <f>IF(LEN(Table2[[#This Row],[!Name]]) &gt; 0, Table2[[#This Row],[!Name]], "rg:None")</f>
        <v>ICBCBody</v>
      </c>
      <c r="S54" s="10" t="str">
        <f>IF(LEN(Table2[[#This Row],[!Description]]) &gt; 0, Table2[[#This Row],[!Description]], "rg:None")</f>
        <v>rg:None</v>
      </c>
      <c r="T54" s="10" t="str">
        <f>IF(LEN(Table2[[#This Row],[!FK]])&gt;0,Table2[[#This Row],[!FK]],"rg:None")</f>
        <v>rg:None</v>
      </c>
      <c r="U54" s="10" t="str">
        <f>IF(LEN(concatif2(A:A,Table2[[#This Row],[!Table]],G:G,"Y",D:D,",")) &gt; 0,"rg:[ { 'req' : '"&amp;concatif2(A:A,Table2[[#This Row],[!Table]],G:G,"Y",D:D,"' }, { 'req': '")&amp;"'} ]","rg:[]")</f>
        <v>rg:[ { 'req' : 'id'} ]</v>
      </c>
    </row>
    <row r="55" spans="1:21" x14ac:dyDescent="0.3">
      <c r="A55" s="3" t="s">
        <v>99</v>
      </c>
      <c r="B55" s="3" t="s">
        <v>10</v>
      </c>
      <c r="C55" s="3"/>
      <c r="D55" s="5" t="s">
        <v>190</v>
      </c>
      <c r="E55" s="29" t="s">
        <v>7</v>
      </c>
      <c r="F55" s="3" t="s">
        <v>7</v>
      </c>
      <c r="H55" s="5" t="str">
        <f t="shared" si="2"/>
        <v>Defs</v>
      </c>
      <c r="I55" t="str">
        <f>IF(Table2[[#This Row],[!Type]]=I$1, I$1,"rg:None")</f>
        <v>rg:None</v>
      </c>
      <c r="J55" t="str">
        <f>IF(Table2[[#This Row],[!Type]]=J$1, J$1,"rg:None")</f>
        <v>rg:None</v>
      </c>
      <c r="K55" t="str">
        <f>IF(Table2[[#This Row],[!Type]]=K$1, K$1,"rg:None")</f>
        <v>rg:None</v>
      </c>
      <c r="L55" s="10" t="str">
        <f>IF(Table2[[#This Row],[!Type]]=L$1, L$1,"rg:None")</f>
        <v>rg:None</v>
      </c>
      <c r="M55" s="5" t="str">
        <f>IF(Table2[[#This Row],[!Type]]=M$1, M$1,"rg:None")</f>
        <v>rg:None</v>
      </c>
      <c r="N55" s="5" t="str">
        <f>IF(Table2[[#This Row],[!Type]]=N$1, N$1,"rg:None")</f>
        <v>rg:None</v>
      </c>
      <c r="O55" s="5" t="str">
        <f>IF(Table2[[#This Row],[!Type]]=O$1, O$1,"rg:None")</f>
        <v>string</v>
      </c>
      <c r="P55" s="5" t="str">
        <f>IF(Table2[[#This Row],[!Type]]=P$1, P$1,"rg:None")</f>
        <v>rg:None</v>
      </c>
      <c r="Q55" s="10" t="str">
        <f>IF(LEN(Table2[[#This Row],[!Length]]) &gt; 0, Table2[[#This Row],[!Length]], "rg:None")</f>
        <v>rg:None</v>
      </c>
      <c r="R55" s="10" t="str">
        <f>IF(LEN(Table2[[#This Row],[!Name]]) &gt; 0, Table2[[#This Row],[!Name]], "rg:None")</f>
        <v>ICBCRebuiltStatus</v>
      </c>
      <c r="S55" s="10" t="str">
        <f>IF(LEN(Table2[[#This Row],[!Description]]) &gt; 0, Table2[[#This Row],[!Description]], "rg:None")</f>
        <v>rg:None</v>
      </c>
      <c r="T55" s="10" t="str">
        <f>IF(LEN(Table2[[#This Row],[!FK]])&gt;0,Table2[[#This Row],[!FK]],"rg:None")</f>
        <v>rg:None</v>
      </c>
      <c r="U55" s="10" t="str">
        <f>IF(LEN(concatif2(A:A,Table2[[#This Row],[!Table]],G:G,"Y",D:D,",")) &gt; 0,"rg:[ { 'req' : '"&amp;concatif2(A:A,Table2[[#This Row],[!Table]],G:G,"Y",D:D,"' }, { 'req': '")&amp;"'} ]","rg:[]")</f>
        <v>rg:[ { 'req' : 'id'} ]</v>
      </c>
    </row>
    <row r="56" spans="1:21" x14ac:dyDescent="0.3">
      <c r="A56" s="3" t="s">
        <v>99</v>
      </c>
      <c r="B56" s="3" t="s">
        <v>36</v>
      </c>
      <c r="C56" s="3"/>
      <c r="D56" s="5" t="s">
        <v>191</v>
      </c>
      <c r="E56" s="29" t="s">
        <v>7</v>
      </c>
      <c r="F56" s="3" t="s">
        <v>7</v>
      </c>
      <c r="H56" s="5" t="str">
        <f t="shared" si="2"/>
        <v>Defs</v>
      </c>
      <c r="I56" t="str">
        <f>IF(Table2[[#This Row],[!Type]]=I$1, I$1,"rg:None")</f>
        <v>rg:None</v>
      </c>
      <c r="J56" t="str">
        <f>IF(Table2[[#This Row],[!Type]]=J$1, J$1,"rg:None")</f>
        <v>datetime</v>
      </c>
      <c r="K56" t="str">
        <f>IF(Table2[[#This Row],[!Type]]=K$1, K$1,"rg:None")</f>
        <v>rg:None</v>
      </c>
      <c r="L56" s="10" t="str">
        <f>IF(Table2[[#This Row],[!Type]]=L$1, L$1,"rg:None")</f>
        <v>rg:None</v>
      </c>
      <c r="M56" s="5" t="str">
        <f>IF(Table2[[#This Row],[!Type]]=M$1, M$1,"rg:None")</f>
        <v>rg:None</v>
      </c>
      <c r="N56" s="5" t="str">
        <f>IF(Table2[[#This Row],[!Type]]=N$1, N$1,"rg:None")</f>
        <v>rg:None</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ICBCCVIPExpiry</v>
      </c>
      <c r="S56" s="10" t="str">
        <f>IF(LEN(Table2[[#This Row],[!Description]]) &gt; 0, Table2[[#This Row],[!Description]], "rg:None")</f>
        <v>rg:None</v>
      </c>
      <c r="T56" s="10" t="str">
        <f>IF(LEN(Table2[[#This Row],[!FK]])&gt;0,Table2[[#This Row],[!FK]],"rg:None")</f>
        <v>rg:None</v>
      </c>
      <c r="U56" s="10" t="str">
        <f>IF(LEN(concatif2(A:A,Table2[[#This Row],[!Table]],G:G,"Y",D:D,",")) &gt; 0,"rg:[ { 'req' : '"&amp;concatif2(A:A,Table2[[#This Row],[!Table]],G:G,"Y",D:D,"' }, { 'req': '")&amp;"'} ]","rg:[]")</f>
        <v>rg:[ { 'req' : 'id'} ]</v>
      </c>
    </row>
    <row r="57" spans="1:21" x14ac:dyDescent="0.3">
      <c r="A57" s="3" t="s">
        <v>99</v>
      </c>
      <c r="B57" s="3" t="s">
        <v>48</v>
      </c>
      <c r="C57" s="3"/>
      <c r="D57" s="5" t="s">
        <v>192</v>
      </c>
      <c r="E57" s="29" t="s">
        <v>7</v>
      </c>
      <c r="F57" s="3" t="s">
        <v>7</v>
      </c>
      <c r="G57" s="4"/>
      <c r="H57" s="5" t="str">
        <f t="shared" si="2"/>
        <v>Defs</v>
      </c>
      <c r="I57" t="str">
        <f>IF(Table2[[#This Row],[!Type]]=I$1, I$1,"rg:None")</f>
        <v>rg:None</v>
      </c>
      <c r="J57" t="str">
        <f>IF(Table2[[#This Row],[!Type]]=J$1, J$1,"rg:None")</f>
        <v>rg:None</v>
      </c>
      <c r="K57" t="str">
        <f>IF(Table2[[#This Row],[!Type]]=K$1, K$1,"rg:None")</f>
        <v>rg:None</v>
      </c>
      <c r="L57" s="10" t="str">
        <f>IF(Table2[[#This Row],[!Type]]=L$1, L$1,"rg:None")</f>
        <v>integer</v>
      </c>
      <c r="M57" s="5" t="str">
        <f>IF(Table2[[#This Row],[!Type]]=M$1, M$1,"rg:None")</f>
        <v>rg:None</v>
      </c>
      <c r="N57" s="5" t="str">
        <f>IF(Table2[[#This Row],[!Type]]=N$1, N$1,"rg:None")</f>
        <v>rg:None</v>
      </c>
      <c r="O57" s="5" t="str">
        <f>IF(Table2[[#This Row],[!Type]]=O$1, O$1,"rg:None")</f>
        <v>rg:None</v>
      </c>
      <c r="P57" s="5" t="str">
        <f>IF(Table2[[#This Row],[!Type]]=P$1, P$1,"rg:None")</f>
        <v>rg:None</v>
      </c>
      <c r="Q57" s="10" t="str">
        <f>IF(LEN(Table2[[#This Row],[!Length]]) &gt; 0, Table2[[#This Row],[!Length]], "rg:None")</f>
        <v>rg:None</v>
      </c>
      <c r="R57" s="10" t="str">
        <f>IF(LEN(Table2[[#This Row],[!Name]]) &gt; 0, Table2[[#This Row],[!Name]], "rg:None")</f>
        <v>ICBCNetWt</v>
      </c>
      <c r="S57" s="10" t="str">
        <f>IF(LEN(Table2[[#This Row],[!Description]]) &gt; 0, Table2[[#This Row],[!Description]], "rg:None")</f>
        <v>rg:None</v>
      </c>
      <c r="T57" s="10" t="str">
        <f>IF(LEN(Table2[[#This Row],[!FK]])&gt;0,Table2[[#This Row],[!FK]],"rg:None")</f>
        <v>rg:None</v>
      </c>
      <c r="U57" s="10" t="str">
        <f>IF(LEN(concatif2(A:A,Table2[[#This Row],[!Table]],G:G,"Y",D:D,",")) &gt; 0,"rg:[ { 'req' : '"&amp;concatif2(A:A,Table2[[#This Row],[!Table]],G:G,"Y",D:D,"' }, { 'req': '")&amp;"'} ]","rg:[]")</f>
        <v>rg:[ { 'req' : 'id'} ]</v>
      </c>
    </row>
    <row r="58" spans="1:21" x14ac:dyDescent="0.3">
      <c r="A58" s="3" t="s">
        <v>99</v>
      </c>
      <c r="B58" s="3" t="s">
        <v>10</v>
      </c>
      <c r="C58" s="3"/>
      <c r="D58" s="5" t="s">
        <v>193</v>
      </c>
      <c r="E58" s="29" t="s">
        <v>7</v>
      </c>
      <c r="F58" s="3" t="s">
        <v>7</v>
      </c>
      <c r="G58" s="4"/>
      <c r="H58" s="5" t="str">
        <f t="shared" si="2"/>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ICBCModel</v>
      </c>
      <c r="S58" s="10" t="str">
        <f>IF(LEN(Table2[[#This Row],[!Description]]) &gt; 0, Table2[[#This Row],[!Description]], "rg:None")</f>
        <v>rg:None</v>
      </c>
      <c r="T58" s="10" t="str">
        <f>IF(LEN(Table2[[#This Row],[!FK]])&gt;0,Table2[[#This Row],[!FK]],"rg:None")</f>
        <v>rg:None</v>
      </c>
      <c r="U58" s="10" t="str">
        <f>IF(LEN(concatif2(A:A,Table2[[#This Row],[!Table]],G:G,"Y",D:D,",")) &gt; 0,"rg:[ { 'req' : '"&amp;concatif2(A:A,Table2[[#This Row],[!Table]],G:G,"Y",D:D,"' }, { 'req': '")&amp;"'} ]","rg:[]")</f>
        <v>rg:[ { 'req' : 'id'} ]</v>
      </c>
    </row>
    <row r="59" spans="1:21" x14ac:dyDescent="0.3">
      <c r="A59" s="3" t="s">
        <v>99</v>
      </c>
      <c r="B59" s="3" t="s">
        <v>10</v>
      </c>
      <c r="C59" s="3"/>
      <c r="D59" s="5" t="s">
        <v>194</v>
      </c>
      <c r="E59" s="29" t="s">
        <v>7</v>
      </c>
      <c r="F59" s="3" t="s">
        <v>7</v>
      </c>
      <c r="G59" s="4"/>
      <c r="H59" s="5" t="str">
        <f t="shared" si="2"/>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ICBCFuel</v>
      </c>
      <c r="S59" s="10" t="str">
        <f>IF(LEN(Table2[[#This Row],[!Description]]) &gt; 0, Table2[[#This Row],[!Description]], "rg:None")</f>
        <v>rg:None</v>
      </c>
      <c r="T59" s="10" t="str">
        <f>IF(LEN(Table2[[#This Row],[!FK]])&gt;0,Table2[[#This Row],[!FK]],"rg:None")</f>
        <v>rg:None</v>
      </c>
      <c r="U59" s="10" t="str">
        <f>IF(LEN(concatif2(A:A,Table2[[#This Row],[!Table]],G:G,"Y",D:D,",")) &gt; 0,"rg:[ { 'req' : '"&amp;concatif2(A:A,Table2[[#This Row],[!Table]],G:G,"Y",D:D,"' }, { 'req': '")&amp;"'} ]","rg:[]")</f>
        <v>rg:[ { 'req' : 'id'} ]</v>
      </c>
    </row>
    <row r="60" spans="1:21" x14ac:dyDescent="0.3">
      <c r="A60" s="3" t="s">
        <v>99</v>
      </c>
      <c r="B60" s="3" t="s">
        <v>48</v>
      </c>
      <c r="C60" s="3"/>
      <c r="D60" s="5" t="s">
        <v>195</v>
      </c>
      <c r="E60" s="29" t="s">
        <v>7</v>
      </c>
      <c r="F60" s="3" t="s">
        <v>7</v>
      </c>
      <c r="G60" s="4"/>
      <c r="H60" s="5" t="str">
        <f t="shared" si="2"/>
        <v>Defs</v>
      </c>
      <c r="I60" t="str">
        <f>IF(Table2[[#This Row],[!Type]]=I$1, I$1,"rg:None")</f>
        <v>rg:None</v>
      </c>
      <c r="J60" t="str">
        <f>IF(Table2[[#This Row],[!Type]]=J$1, J$1,"rg:None")</f>
        <v>rg:None</v>
      </c>
      <c r="K60" t="str">
        <f>IF(Table2[[#This Row],[!Type]]=K$1, K$1,"rg:None")</f>
        <v>rg:None</v>
      </c>
      <c r="L60" s="10" t="str">
        <f>IF(Table2[[#This Row],[!Type]]=L$1, L$1,"rg:None")</f>
        <v>integer</v>
      </c>
      <c r="M60" s="5" t="str">
        <f>IF(Table2[[#This Row],[!Type]]=M$1, M$1,"rg:None")</f>
        <v>rg:None</v>
      </c>
      <c r="N60" s="5" t="str">
        <f>IF(Table2[[#This Row],[!Type]]=N$1, N$1,"rg:None")</f>
        <v>rg:None</v>
      </c>
      <c r="O60" s="5" t="str">
        <f>IF(Table2[[#This Row],[!Type]]=O$1, O$1,"rg:None")</f>
        <v>rg:None</v>
      </c>
      <c r="P60" s="5" t="str">
        <f>IF(Table2[[#This Row],[!Type]]=P$1, P$1,"rg:None")</f>
        <v>rg:None</v>
      </c>
      <c r="Q60" s="10" t="str">
        <f>IF(LEN(Table2[[#This Row],[!Length]]) &gt; 0, Table2[[#This Row],[!Length]], "rg:None")</f>
        <v>rg:None</v>
      </c>
      <c r="R60" s="10" t="str">
        <f>IF(LEN(Table2[[#This Row],[!Name]]) &gt; 0, Table2[[#This Row],[!Name]], "rg:None")</f>
        <v>ICBCSeatingCapacity</v>
      </c>
      <c r="S60" s="10" t="str">
        <f>IF(LEN(Table2[[#This Row],[!Description]]) &gt; 0, Table2[[#This Row],[!Description]], "rg:None")</f>
        <v>rg:None</v>
      </c>
      <c r="T60" s="10" t="str">
        <f>IF(LEN(Table2[[#This Row],[!FK]])&gt;0,Table2[[#This Row],[!FK]],"rg:None")</f>
        <v>rg:None</v>
      </c>
      <c r="U60" s="10" t="str">
        <f>IF(LEN(concatif2(A:A,Table2[[#This Row],[!Table]],G:G,"Y",D:D,",")) &gt; 0,"rg:[ { 'req' : '"&amp;concatif2(A:A,Table2[[#This Row],[!Table]],G:G,"Y",D:D,"' }, { 'req': '")&amp;"'} ]","rg:[]")</f>
        <v>rg:[ { 'req' : 'id'} ]</v>
      </c>
    </row>
    <row r="61" spans="1:21" x14ac:dyDescent="0.3">
      <c r="A61" s="3" t="s">
        <v>99</v>
      </c>
      <c r="B61" s="3" t="s">
        <v>10</v>
      </c>
      <c r="C61" s="3"/>
      <c r="D61" s="5" t="s">
        <v>196</v>
      </c>
      <c r="E61" s="29" t="s">
        <v>7</v>
      </c>
      <c r="F61" s="3" t="s">
        <v>7</v>
      </c>
      <c r="G61" s="4"/>
      <c r="H61" s="5" t="str">
        <f t="shared" si="2"/>
        <v>Defs</v>
      </c>
      <c r="I61" t="str">
        <f>IF(Table2[[#This Row],[!Type]]=I$1, I$1,"rg:None")</f>
        <v>rg:None</v>
      </c>
      <c r="J61" t="str">
        <f>IF(Table2[[#This Row],[!Type]]=J$1, J$1,"rg:None")</f>
        <v>rg:None</v>
      </c>
      <c r="K61" t="str">
        <f>IF(Table2[[#This Row],[!Type]]=K$1, K$1,"rg:None")</f>
        <v>rg:None</v>
      </c>
      <c r="L61" s="10" t="str">
        <f>IF(Table2[[#This Row],[!Type]]=L$1, L$1,"rg:None")</f>
        <v>rg:None</v>
      </c>
      <c r="M61" s="5" t="str">
        <f>IF(Table2[[#This Row],[!Type]]=M$1, M$1,"rg:None")</f>
        <v>rg:None</v>
      </c>
      <c r="N61" s="5" t="str">
        <f>IF(Table2[[#This Row],[!Type]]=N$1, N$1,"rg:None")</f>
        <v>rg:None</v>
      </c>
      <c r="O61" s="5" t="str">
        <f>IF(Table2[[#This Row],[!Type]]=O$1, O$1,"rg:None")</f>
        <v>string</v>
      </c>
      <c r="P61" s="5" t="str">
        <f>IF(Table2[[#This Row],[!Type]]=P$1, P$1,"rg:None")</f>
        <v>rg:None</v>
      </c>
      <c r="Q61" s="10" t="str">
        <f>IF(LEN(Table2[[#This Row],[!Length]]) &gt; 0, Table2[[#This Row],[!Length]], "rg:None")</f>
        <v>rg:None</v>
      </c>
      <c r="R61" s="10" t="str">
        <f>IF(LEN(Table2[[#This Row],[!Name]]) &gt; 0, Table2[[#This Row],[!Name]], "rg:None")</f>
        <v>ICBCColour</v>
      </c>
      <c r="S61" s="10" t="str">
        <f>IF(LEN(Table2[[#This Row],[!Description]]) &gt; 0, Table2[[#This Row],[!Description]], "rg:None")</f>
        <v>rg:None</v>
      </c>
      <c r="T61" s="10" t="str">
        <f>IF(LEN(Table2[[#This Row],[!FK]])&gt;0,Table2[[#This Row],[!FK]],"rg:None")</f>
        <v>rg:None</v>
      </c>
      <c r="U61" s="10" t="str">
        <f>IF(LEN(concatif2(A:A,Table2[[#This Row],[!Table]],G:G,"Y",D:D,",")) &gt; 0,"rg:[ { 'req' : '"&amp;concatif2(A:A,Table2[[#This Row],[!Table]],G:G,"Y",D:D,"' }, { 'req': '")&amp;"'} ]","rg:[]")</f>
        <v>rg:[ { 'req' : 'id'} ]</v>
      </c>
    </row>
    <row r="62" spans="1:21" x14ac:dyDescent="0.3">
      <c r="A62" s="3" t="s">
        <v>99</v>
      </c>
      <c r="B62" s="3" t="s">
        <v>10</v>
      </c>
      <c r="C62" s="3"/>
      <c r="D62" s="5" t="s">
        <v>197</v>
      </c>
      <c r="E62" s="29" t="s">
        <v>7</v>
      </c>
      <c r="F62" s="3" t="s">
        <v>7</v>
      </c>
      <c r="G62" s="4"/>
      <c r="H62" s="5" t="str">
        <f t="shared" si="2"/>
        <v>Defs</v>
      </c>
      <c r="I62" t="str">
        <f>IF(Table2[[#This Row],[!Type]]=I$1, I$1,"rg:None")</f>
        <v>rg:None</v>
      </c>
      <c r="J62" t="str">
        <f>IF(Table2[[#This Row],[!Type]]=J$1, J$1,"rg:None")</f>
        <v>rg:None</v>
      </c>
      <c r="K62" t="str">
        <f>IF(Table2[[#This Row],[!Type]]=K$1, K$1,"rg:None")</f>
        <v>rg:None</v>
      </c>
      <c r="L62" s="10" t="str">
        <f>IF(Table2[[#This Row],[!Type]]=L$1, L$1,"rg:None")</f>
        <v>rg:None</v>
      </c>
      <c r="M62" s="5" t="str">
        <f>IF(Table2[[#This Row],[!Type]]=M$1, M$1,"rg:None")</f>
        <v>rg:None</v>
      </c>
      <c r="N62" s="5" t="str">
        <f>IF(Table2[[#This Row],[!Type]]=N$1, N$1,"rg:None")</f>
        <v>rg:None</v>
      </c>
      <c r="O62" s="5" t="str">
        <f>IF(Table2[[#This Row],[!Type]]=O$1, O$1,"rg:None")</f>
        <v>string</v>
      </c>
      <c r="P62" s="5" t="str">
        <f>IF(Table2[[#This Row],[!Type]]=P$1, P$1,"rg:None")</f>
        <v>rg:None</v>
      </c>
      <c r="Q62" s="10" t="str">
        <f>IF(LEN(Table2[[#This Row],[!Length]]) &gt; 0, Table2[[#This Row],[!Length]], "rg:None")</f>
        <v>rg:None</v>
      </c>
      <c r="R62" s="10" t="str">
        <f>IF(LEN(Table2[[#This Row],[!Name]]) &gt; 0, Table2[[#This Row],[!Name]], "rg:None")</f>
        <v>ICBCNotesAndOrders</v>
      </c>
      <c r="S62" s="10" t="str">
        <f>IF(LEN(Table2[[#This Row],[!Description]]) &gt; 0, Table2[[#This Row],[!Description]], "rg:None")</f>
        <v>rg:None</v>
      </c>
      <c r="T62" s="10" t="str">
        <f>IF(LEN(Table2[[#This Row],[!FK]])&gt;0,Table2[[#This Row],[!FK]],"rg:None")</f>
        <v>rg:None</v>
      </c>
      <c r="U62" s="10" t="str">
        <f>IF(LEN(concatif2(A:A,Table2[[#This Row],[!Table]],G:G,"Y",D:D,",")) &gt; 0,"rg:[ { 'req' : '"&amp;concatif2(A:A,Table2[[#This Row],[!Table]],G:G,"Y",D:D,"' }, { 'req': '")&amp;"'} ]","rg:[]")</f>
        <v>rg:[ { 'req' : 'id'} ]</v>
      </c>
    </row>
    <row r="63" spans="1:21" x14ac:dyDescent="0.3">
      <c r="A63" s="3" t="s">
        <v>99</v>
      </c>
      <c r="B63" s="3" t="s">
        <v>36</v>
      </c>
      <c r="C63" s="3"/>
      <c r="D63" s="5" t="s">
        <v>198</v>
      </c>
      <c r="E63" s="29" t="s">
        <v>7</v>
      </c>
      <c r="F63" s="3" t="s">
        <v>7</v>
      </c>
      <c r="G63" s="4"/>
      <c r="H63" s="5" t="str">
        <f t="shared" si="2"/>
        <v>Defs</v>
      </c>
      <c r="I63" t="str">
        <f>IF(Table2[[#This Row],[!Type]]=I$1, I$1,"rg:None")</f>
        <v>rg:None</v>
      </c>
      <c r="J63" t="str">
        <f>IF(Table2[[#This Row],[!Type]]=J$1, J$1,"rg:None")</f>
        <v>datetime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rg:None</v>
      </c>
      <c r="P63" s="5" t="str">
        <f>IF(Table2[[#This Row],[!Type]]=P$1, P$1,"rg:None")</f>
        <v>rg:None</v>
      </c>
      <c r="Q63" s="10" t="str">
        <f>IF(LEN(Table2[[#This Row],[!Length]]) &gt; 0, Table2[[#This Row],[!Length]], "rg:None")</f>
        <v>rg:None</v>
      </c>
      <c r="R63" s="10" t="str">
        <f>IF(LEN(Table2[[#This Row],[!Name]]) &gt; 0, Table2[[#This Row],[!Name]], "rg:None")</f>
        <v>ICBCOrderedOn</v>
      </c>
      <c r="S63" s="10" t="str">
        <f>IF(LEN(Table2[[#This Row],[!Description]]) &gt; 0, Table2[[#This Row],[!Description]], "rg:None")</f>
        <v>rg:None</v>
      </c>
      <c r="T63" s="10" t="str">
        <f>IF(LEN(Table2[[#This Row],[!FK]])&gt;0,Table2[[#This Row],[!FK]],"rg:None")</f>
        <v>rg:None</v>
      </c>
      <c r="U63" s="10" t="str">
        <f>IF(LEN(concatif2(A:A,Table2[[#This Row],[!Table]],G:G,"Y",D:D,",")) &gt; 0,"rg:[ { 'req' : '"&amp;concatif2(A:A,Table2[[#This Row],[!Table]],G:G,"Y",D:D,"' }, { 'req': '")&amp;"'} ]","rg:[]")</f>
        <v>rg:[ { 'req' : 'id'} ]</v>
      </c>
    </row>
    <row r="64" spans="1:21" x14ac:dyDescent="0.3">
      <c r="A64" s="3" t="s">
        <v>99</v>
      </c>
      <c r="B64" s="3" t="s">
        <v>10</v>
      </c>
      <c r="C64" s="3"/>
      <c r="D64" s="5" t="s">
        <v>199</v>
      </c>
      <c r="E64" s="29" t="s">
        <v>7</v>
      </c>
      <c r="F64" s="3" t="s">
        <v>7</v>
      </c>
      <c r="G64" s="4"/>
      <c r="H64" s="5" t="str">
        <f t="shared" si="2"/>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rg:None</v>
      </c>
      <c r="O64" s="5" t="str">
        <f>IF(Table2[[#This Row],[!Type]]=O$1, O$1,"rg:None")</f>
        <v>string</v>
      </c>
      <c r="P64" s="5" t="str">
        <f>IF(Table2[[#This Row],[!Type]]=P$1, P$1,"rg:None")</f>
        <v>rg:None</v>
      </c>
      <c r="Q64" s="10" t="str">
        <f>IF(LEN(Table2[[#This Row],[!Length]]) &gt; 0, Table2[[#This Row],[!Length]], "rg:None")</f>
        <v>rg:None</v>
      </c>
      <c r="R64" s="10" t="str">
        <f>IF(LEN(Table2[[#This Row],[!Name]]) &gt; 0, Table2[[#This Row],[!Name]], "rg:None")</f>
        <v>ICBCRegOwnerName</v>
      </c>
      <c r="S64" s="10" t="str">
        <f>IF(LEN(Table2[[#This Row],[!Description]]) &gt; 0, Table2[[#This Row],[!Description]], "rg:None")</f>
        <v>rg:None</v>
      </c>
      <c r="T64" s="10" t="str">
        <f>IF(LEN(Table2[[#This Row],[!FK]])&gt;0,Table2[[#This Row],[!FK]],"rg:None")</f>
        <v>rg:None</v>
      </c>
      <c r="U64" s="10" t="str">
        <f>IF(LEN(concatif2(A:A,Table2[[#This Row],[!Table]],G:G,"Y",D:D,",")) &gt; 0,"rg:[ { 'req' : '"&amp;concatif2(A:A,Table2[[#This Row],[!Table]],G:G,"Y",D:D,"' }, { 'req': '")&amp;"'} ]","rg:[]")</f>
        <v>rg:[ { 'req' : 'id'} ]</v>
      </c>
    </row>
    <row r="65" spans="1:21" x14ac:dyDescent="0.3">
      <c r="A65" s="3" t="s">
        <v>99</v>
      </c>
      <c r="B65" s="3" t="s">
        <v>10</v>
      </c>
      <c r="C65" s="3"/>
      <c r="D65" s="5" t="s">
        <v>200</v>
      </c>
      <c r="E65" s="29" t="s">
        <v>7</v>
      </c>
      <c r="F65" s="3" t="s">
        <v>7</v>
      </c>
      <c r="G65" s="4"/>
      <c r="H65" s="5" t="str">
        <f t="shared" si="2"/>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rg:None</v>
      </c>
      <c r="O65" s="5" t="str">
        <f>IF(Table2[[#This Row],[!Type]]=O$1, O$1,"rg:None")</f>
        <v>string</v>
      </c>
      <c r="P65" s="5" t="str">
        <f>IF(Table2[[#This Row],[!Type]]=P$1, P$1,"rg:None")</f>
        <v>rg:None</v>
      </c>
      <c r="Q65" s="10" t="str">
        <f>IF(LEN(Table2[[#This Row],[!Length]]) &gt; 0, Table2[[#This Row],[!Length]], "rg:None")</f>
        <v>rg:None</v>
      </c>
      <c r="R65" s="10" t="str">
        <f>IF(LEN(Table2[[#This Row],[!Name]]) &gt; 0, Table2[[#This Row],[!Name]], "rg:None")</f>
        <v>ICBCRegOwnerAddr1</v>
      </c>
      <c r="S65" s="10" t="str">
        <f>IF(LEN(Table2[[#This Row],[!Description]]) &gt; 0, Table2[[#This Row],[!Description]], "rg:None")</f>
        <v>rg:None</v>
      </c>
      <c r="T65" s="10" t="str">
        <f>IF(LEN(Table2[[#This Row],[!FK]])&gt;0,Table2[[#This Row],[!FK]],"rg:None")</f>
        <v>rg:None</v>
      </c>
      <c r="U65" s="10" t="str">
        <f>IF(LEN(concatif2(A:A,Table2[[#This Row],[!Table]],G:G,"Y",D:D,",")) &gt; 0,"rg:[ { 'req' : '"&amp;concatif2(A:A,Table2[[#This Row],[!Table]],G:G,"Y",D:D,"' }, { 'req': '")&amp;"'} ]","rg:[]")</f>
        <v>rg:[ { 'req' : 'id'} ]</v>
      </c>
    </row>
    <row r="66" spans="1:21" x14ac:dyDescent="0.3">
      <c r="A66" s="3" t="s">
        <v>99</v>
      </c>
      <c r="B66" s="3" t="s">
        <v>10</v>
      </c>
      <c r="C66" s="3"/>
      <c r="D66" s="5" t="s">
        <v>201</v>
      </c>
      <c r="E66" s="29" t="s">
        <v>7</v>
      </c>
      <c r="F66" s="3" t="s">
        <v>7</v>
      </c>
      <c r="G66" s="4"/>
      <c r="H66" s="5" t="str">
        <f t="shared" si="2"/>
        <v>Defs</v>
      </c>
      <c r="I66" t="str">
        <f>IF(Table2[[#This Row],[!Type]]=I$1, I$1,"rg:None")</f>
        <v>rg:None</v>
      </c>
      <c r="J66" t="str">
        <f>IF(Table2[[#This Row],[!Type]]=J$1, J$1,"rg:None")</f>
        <v>rg:None</v>
      </c>
      <c r="K66" t="str">
        <f>IF(Table2[[#This Row],[!Type]]=K$1, K$1,"rg:None")</f>
        <v>rg:None</v>
      </c>
      <c r="L66" s="10" t="str">
        <f>IF(Table2[[#This Row],[!Type]]=L$1, L$1,"rg:None")</f>
        <v>rg:None</v>
      </c>
      <c r="M66" s="5" t="str">
        <f>IF(Table2[[#This Row],[!Type]]=M$1, M$1,"rg:None")</f>
        <v>rg:None</v>
      </c>
      <c r="N66" s="5" t="str">
        <f>IF(Table2[[#This Row],[!Type]]=N$1, N$1,"rg:None")</f>
        <v>rg:None</v>
      </c>
      <c r="O66" s="5" t="str">
        <f>IF(Table2[[#This Row],[!Type]]=O$1, O$1,"rg:None")</f>
        <v>string</v>
      </c>
      <c r="P66" s="5" t="str">
        <f>IF(Table2[[#This Row],[!Type]]=P$1, P$1,"rg:None")</f>
        <v>rg:None</v>
      </c>
      <c r="Q66" s="10" t="str">
        <f>IF(LEN(Table2[[#This Row],[!Length]]) &gt; 0, Table2[[#This Row],[!Length]], "rg:None")</f>
        <v>rg:None</v>
      </c>
      <c r="R66" s="10" t="str">
        <f>IF(LEN(Table2[[#This Row],[!Name]]) &gt; 0, Table2[[#This Row],[!Name]], "rg:None")</f>
        <v>ICBCRegOwnerAddr2</v>
      </c>
      <c r="S66" s="10" t="str">
        <f>IF(LEN(Table2[[#This Row],[!Description]]) &gt; 0, Table2[[#This Row],[!Description]], "rg:None")</f>
        <v>rg:None</v>
      </c>
      <c r="T66" s="10" t="str">
        <f>IF(LEN(Table2[[#This Row],[!FK]])&gt;0,Table2[[#This Row],[!FK]],"rg:None")</f>
        <v>rg:None</v>
      </c>
      <c r="U66" s="10" t="str">
        <f>IF(LEN(concatif2(A:A,Table2[[#This Row],[!Table]],G:G,"Y",D:D,",")) &gt; 0,"rg:[ { 'req' : '"&amp;concatif2(A:A,Table2[[#This Row],[!Table]],G:G,"Y",D:D,"' }, { 'req': '")&amp;"'} ]","rg:[]")</f>
        <v>rg:[ { 'req' : 'id'} ]</v>
      </c>
    </row>
    <row r="67" spans="1:21" x14ac:dyDescent="0.3">
      <c r="A67" s="3" t="s">
        <v>99</v>
      </c>
      <c r="B67" s="3" t="s">
        <v>10</v>
      </c>
      <c r="C67" s="3"/>
      <c r="D67" s="5" t="s">
        <v>202</v>
      </c>
      <c r="E67" s="29" t="s">
        <v>7</v>
      </c>
      <c r="F67" s="3" t="s">
        <v>7</v>
      </c>
      <c r="G67" s="4"/>
      <c r="H67" s="5" t="str">
        <f t="shared" si="2"/>
        <v>Defs</v>
      </c>
      <c r="I67" t="str">
        <f>IF(Table2[[#This Row],[!Type]]=I$1, I$1,"rg:None")</f>
        <v>rg:None</v>
      </c>
      <c r="J67" t="str">
        <f>IF(Table2[[#This Row],[!Type]]=J$1, J$1,"rg:None")</f>
        <v>rg:None</v>
      </c>
      <c r="K67" t="str">
        <f>IF(Table2[[#This Row],[!Type]]=K$1, K$1,"rg:None")</f>
        <v>rg:None</v>
      </c>
      <c r="L67" s="10" t="str">
        <f>IF(Table2[[#This Row],[!Type]]=L$1, L$1,"rg:None")</f>
        <v>rg:None</v>
      </c>
      <c r="M67" s="5" t="str">
        <f>IF(Table2[[#This Row],[!Type]]=M$1, M$1,"rg:None")</f>
        <v>rg:None</v>
      </c>
      <c r="N67" s="5" t="str">
        <f>IF(Table2[[#This Row],[!Type]]=N$1, N$1,"rg:None")</f>
        <v>rg:None</v>
      </c>
      <c r="O67" s="5" t="str">
        <f>IF(Table2[[#This Row],[!Type]]=O$1, O$1,"rg:None")</f>
        <v>string</v>
      </c>
      <c r="P67" s="5" t="str">
        <f>IF(Table2[[#This Row],[!Type]]=P$1, P$1,"rg:None")</f>
        <v>rg:None</v>
      </c>
      <c r="Q67" s="10" t="str">
        <f>IF(LEN(Table2[[#This Row],[!Length]]) &gt; 0, Table2[[#This Row],[!Length]], "rg:None")</f>
        <v>rg:None</v>
      </c>
      <c r="R67" s="10" t="str">
        <f>IF(LEN(Table2[[#This Row],[!Name]]) &gt; 0, Table2[[#This Row],[!Name]], "rg:None")</f>
        <v>ICBCRegOwnerCity</v>
      </c>
      <c r="S67" s="10" t="str">
        <f>IF(LEN(Table2[[#This Row],[!Description]]) &gt; 0, Table2[[#This Row],[!Description]], "rg:None")</f>
        <v>rg:None</v>
      </c>
      <c r="T67" s="10" t="str">
        <f>IF(LEN(Table2[[#This Row],[!FK]])&gt;0,Table2[[#This Row],[!FK]],"rg:None")</f>
        <v>rg:None</v>
      </c>
      <c r="U67" s="10" t="str">
        <f>IF(LEN(concatif2(A:A,Table2[[#This Row],[!Table]],G:G,"Y",D:D,",")) &gt; 0,"rg:[ { 'req' : '"&amp;concatif2(A:A,Table2[[#This Row],[!Table]],G:G,"Y",D:D,"' }, { 'req': '")&amp;"'} ]","rg:[]")</f>
        <v>rg:[ { 'req' : 'id'} ]</v>
      </c>
    </row>
    <row r="68" spans="1:21" x14ac:dyDescent="0.3">
      <c r="A68" s="3" t="s">
        <v>99</v>
      </c>
      <c r="B68" s="3" t="s">
        <v>10</v>
      </c>
      <c r="C68" s="3"/>
      <c r="D68" s="5" t="s">
        <v>203</v>
      </c>
      <c r="E68" s="29" t="s">
        <v>7</v>
      </c>
      <c r="F68" s="3" t="s">
        <v>7</v>
      </c>
      <c r="G68" s="4"/>
      <c r="H68" s="5" t="str">
        <f t="shared" si="2"/>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ICBCRegOwnerProv</v>
      </c>
      <c r="S68" s="10" t="str">
        <f>IF(LEN(Table2[[#This Row],[!Description]]) &gt; 0, Table2[[#This Row],[!Description]], "rg:None")</f>
        <v>rg:None</v>
      </c>
      <c r="T68" s="10" t="str">
        <f>IF(LEN(Table2[[#This Row],[!FK]])&gt;0,Table2[[#This Row],[!FK]],"rg:None")</f>
        <v>rg:None</v>
      </c>
      <c r="U68" s="10" t="str">
        <f>IF(LEN(concatif2(A:A,Table2[[#This Row],[!Table]],G:G,"Y",D:D,",")) &gt; 0,"rg:[ { 'req' : '"&amp;concatif2(A:A,Table2[[#This Row],[!Table]],G:G,"Y",D:D,"' }, { 'req': '")&amp;"'} ]","rg:[]")</f>
        <v>rg:[ { 'req' : 'id'} ]</v>
      </c>
    </row>
    <row r="69" spans="1:21" x14ac:dyDescent="0.3">
      <c r="A69" s="3" t="s">
        <v>99</v>
      </c>
      <c r="B69" s="3" t="s">
        <v>10</v>
      </c>
      <c r="C69" s="3"/>
      <c r="D69" s="5" t="s">
        <v>204</v>
      </c>
      <c r="E69" s="29" t="s">
        <v>7</v>
      </c>
      <c r="F69" s="3" t="s">
        <v>7</v>
      </c>
      <c r="G69" s="4"/>
      <c r="H69" s="5" t="str">
        <f t="shared" si="2"/>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ICBCRegOwnerPostalCode</v>
      </c>
      <c r="S69" s="10" t="str">
        <f>IF(LEN(Table2[[#This Row],[!Description]]) &gt; 0, Table2[[#This Row],[!Description]], "rg:None")</f>
        <v>rg:None</v>
      </c>
      <c r="T69" s="10" t="str">
        <f>IF(LEN(Table2[[#This Row],[!FK]])&gt;0,Table2[[#This Row],[!FK]],"rg:None")</f>
        <v>rg:None</v>
      </c>
      <c r="U69" s="10" t="str">
        <f>IF(LEN(concatif2(A:A,Table2[[#This Row],[!Table]],G:G,"Y",D:D,",")) &gt; 0,"rg:[ { 'req' : '"&amp;concatif2(A:A,Table2[[#This Row],[!Table]],G:G,"Y",D:D,"' }, { 'req': '")&amp;"'} ]","rg:[]")</f>
        <v>rg:[ { 'req' : 'id'} ]</v>
      </c>
    </row>
    <row r="70" spans="1:21" x14ac:dyDescent="0.3">
      <c r="A70" s="3" t="s">
        <v>99</v>
      </c>
      <c r="B70" s="3" t="s">
        <v>10</v>
      </c>
      <c r="C70" s="3"/>
      <c r="D70" s="5" t="s">
        <v>205</v>
      </c>
      <c r="E70" s="29" t="s">
        <v>7</v>
      </c>
      <c r="F70" s="3" t="s">
        <v>7</v>
      </c>
      <c r="G70" s="4"/>
      <c r="H70" s="5" t="str">
        <f t="shared" si="2"/>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ICBCRegOwnerStatus</v>
      </c>
      <c r="S70" s="10" t="str">
        <f>IF(LEN(Table2[[#This Row],[!Description]]) &gt; 0, Table2[[#This Row],[!Description]], "rg:None")</f>
        <v>rg:None</v>
      </c>
      <c r="T70" s="10" t="str">
        <f>IF(LEN(Table2[[#This Row],[!FK]])&gt;0,Table2[[#This Row],[!FK]],"rg:None")</f>
        <v>rg:None</v>
      </c>
      <c r="U70" s="10" t="str">
        <f>IF(LEN(concatif2(A:A,Table2[[#This Row],[!Table]],G:G,"Y",D:D,",")) &gt; 0,"rg:[ { 'req' : '"&amp;concatif2(A:A,Table2[[#This Row],[!Table]],G:G,"Y",D:D,"' }, { 'req': '")&amp;"'} ]","rg:[]")</f>
        <v>rg:[ { 'req' : 'id'} ]</v>
      </c>
    </row>
    <row r="71" spans="1:21" x14ac:dyDescent="0.3">
      <c r="A71" s="3" t="s">
        <v>99</v>
      </c>
      <c r="B71" s="3" t="s">
        <v>10</v>
      </c>
      <c r="C71" s="3"/>
      <c r="D71" s="5" t="s">
        <v>206</v>
      </c>
      <c r="E71" s="29" t="s">
        <v>7</v>
      </c>
      <c r="F71" s="3" t="s">
        <v>7</v>
      </c>
      <c r="G71" s="4"/>
      <c r="H71" s="5" t="str">
        <f t="shared" si="2"/>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rg:None</v>
      </c>
      <c r="N71" s="5" t="str">
        <f>IF(Table2[[#This Row],[!Type]]=N$1, N$1,"rg:None")</f>
        <v>rg:None</v>
      </c>
      <c r="O71" s="5" t="str">
        <f>IF(Table2[[#This Row],[!Type]]=O$1, O$1,"rg:None")</f>
        <v>string</v>
      </c>
      <c r="P71" s="5" t="str">
        <f>IF(Table2[[#This Row],[!Type]]=P$1, P$1,"rg:None")</f>
        <v>rg:None</v>
      </c>
      <c r="Q71" s="10" t="str">
        <f>IF(LEN(Table2[[#This Row],[!Length]]) &gt; 0, Table2[[#This Row],[!Length]], "rg:None")</f>
        <v>rg:None</v>
      </c>
      <c r="R71" s="10" t="str">
        <f>IF(LEN(Table2[[#This Row],[!Name]]) &gt; 0, Table2[[#This Row],[!Name]], "rg:None")</f>
        <v>ICBCRegOwnerRODL</v>
      </c>
      <c r="S71" s="10" t="str">
        <f>IF(LEN(Table2[[#This Row],[!Description]]) &gt; 0, Table2[[#This Row],[!Description]], "rg:None")</f>
        <v>rg:None</v>
      </c>
      <c r="T71" s="10" t="str">
        <f>IF(LEN(Table2[[#This Row],[!FK]])&gt;0,Table2[[#This Row],[!FK]],"rg:None")</f>
        <v>rg:None</v>
      </c>
      <c r="U71" s="10" t="str">
        <f>IF(LEN(concatif2(A:A,Table2[[#This Row],[!Table]],G:G,"Y",D:D,",")) &gt; 0,"rg:[ { 'req' : '"&amp;concatif2(A:A,Table2[[#This Row],[!Table]],G:G,"Y",D:D,"' }, { 'req': '")&amp;"'} ]","rg:[]")</f>
        <v>rg:[ { 'req' : 'id'} ]</v>
      </c>
    </row>
    <row r="72" spans="1:21" x14ac:dyDescent="0.3">
      <c r="A72" s="3" t="s">
        <v>99</v>
      </c>
      <c r="B72" s="3" t="s">
        <v>10</v>
      </c>
      <c r="C72" s="3"/>
      <c r="D72" s="5" t="s">
        <v>207</v>
      </c>
      <c r="E72" s="29" t="s">
        <v>7</v>
      </c>
      <c r="F72" s="3" t="s">
        <v>7</v>
      </c>
      <c r="G72" s="4"/>
      <c r="H72" s="5" t="str">
        <f t="shared" si="2"/>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rg:None</v>
      </c>
      <c r="N72" s="5" t="str">
        <f>IF(Table2[[#This Row],[!Type]]=N$1, N$1,"rg:None")</f>
        <v>rg:None</v>
      </c>
      <c r="O72" s="5" t="str">
        <f>IF(Table2[[#This Row],[!Type]]=O$1, O$1,"rg:None")</f>
        <v>string</v>
      </c>
      <c r="P72" s="5" t="str">
        <f>IF(Table2[[#This Row],[!Type]]=P$1, P$1,"rg:None")</f>
        <v>rg:None</v>
      </c>
      <c r="Q72" s="10" t="str">
        <f>IF(LEN(Table2[[#This Row],[!Length]]) &gt; 0, Table2[[#This Row],[!Length]], "rg:None")</f>
        <v>rg:None</v>
      </c>
      <c r="R72" s="10" t="str">
        <f>IF(LEN(Table2[[#This Row],[!Name]]) &gt; 0, Table2[[#This Row],[!Name]], "rg:None")</f>
        <v>ICBCRegOwnerPool</v>
      </c>
      <c r="S72" s="10" t="str">
        <f>IF(LEN(Table2[[#This Row],[!Description]]) &gt; 0, Table2[[#This Row],[!Description]], "rg:None")</f>
        <v>rg:None</v>
      </c>
      <c r="T72" s="10" t="str">
        <f>IF(LEN(Table2[[#This Row],[!FK]])&gt;0,Table2[[#This Row],[!FK]],"rg:None")</f>
        <v>rg:None</v>
      </c>
      <c r="U72" s="10" t="str">
        <f>IF(LEN(concatif2(A:A,Table2[[#This Row],[!Table]],G:G,"Y",D:D,",")) &gt; 0,"rg:[ { 'req' : '"&amp;concatif2(A:A,Table2[[#This Row],[!Table]],G:G,"Y",D:D,"' }, { 'req': '")&amp;"'} ]","rg:[]")</f>
        <v>rg:[ { 'req' : 'id'} ]</v>
      </c>
    </row>
    <row r="73" spans="1:21" x14ac:dyDescent="0.3">
      <c r="A73" s="3" t="s">
        <v>99</v>
      </c>
      <c r="B73" s="3" t="s">
        <v>10</v>
      </c>
      <c r="C73" s="3"/>
      <c r="D73" s="5" t="s">
        <v>208</v>
      </c>
      <c r="E73" s="29" t="s">
        <v>7</v>
      </c>
      <c r="F73" s="3" t="s">
        <v>7</v>
      </c>
      <c r="G73" s="4"/>
      <c r="H73" s="5" t="str">
        <f t="shared" si="2"/>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rg:None</v>
      </c>
      <c r="N73" s="5" t="str">
        <f>IF(Table2[[#This Row],[!Type]]=N$1, N$1,"rg:None")</f>
        <v>rg:None</v>
      </c>
      <c r="O73" s="5" t="str">
        <f>IF(Table2[[#This Row],[!Type]]=O$1, O$1,"rg:None")</f>
        <v>string</v>
      </c>
      <c r="P73" s="5" t="str">
        <f>IF(Table2[[#This Row],[!Type]]=P$1, P$1,"rg:None")</f>
        <v>rg:None</v>
      </c>
      <c r="Q73" s="10" t="str">
        <f>IF(LEN(Table2[[#This Row],[!Length]]) &gt; 0, Table2[[#This Row],[!Length]], "rg:None")</f>
        <v>rg:None</v>
      </c>
      <c r="R73" s="10" t="str">
        <f>IF(LEN(Table2[[#This Row],[!Name]]) &gt; 0, Table2[[#This Row],[!Name]], "rg:None")</f>
        <v>NSCClientNum</v>
      </c>
      <c r="S73" s="10" t="str">
        <f>IF(LEN(Table2[[#This Row],[!Description]]) &gt; 0, Table2[[#This Row],[!Description]], "rg:None")</f>
        <v>rg:None</v>
      </c>
      <c r="T73" s="10" t="str">
        <f>IF(LEN(Table2[[#This Row],[!FK]])&gt;0,Table2[[#This Row],[!FK]],"rg:None")</f>
        <v>rg:None</v>
      </c>
      <c r="U73" s="10" t="str">
        <f>IF(LEN(concatif2(A:A,Table2[[#This Row],[!Table]],G:G,"Y",D:D,",")) &gt; 0,"rg:[ { 'req' : '"&amp;concatif2(A:A,Table2[[#This Row],[!Table]],G:G,"Y",D:D,"' }, { 'req': '")&amp;"'} ]","rg:[]")</f>
        <v>rg:[ { 'req' : 'id'} ]</v>
      </c>
    </row>
    <row r="74" spans="1:21" x14ac:dyDescent="0.3">
      <c r="A74" s="3" t="s">
        <v>99</v>
      </c>
      <c r="B74" s="3" t="s">
        <v>10</v>
      </c>
      <c r="C74" s="3"/>
      <c r="D74" s="5" t="s">
        <v>209</v>
      </c>
      <c r="E74" s="29" t="s">
        <v>7</v>
      </c>
      <c r="F74" s="3" t="s">
        <v>7</v>
      </c>
      <c r="G74" s="4"/>
      <c r="H74" s="5" t="str">
        <f t="shared" si="2"/>
        <v>Defs</v>
      </c>
      <c r="I74" t="str">
        <f>IF(Table2[[#This Row],[!Type]]=I$1, I$1,"rg:None")</f>
        <v>rg:None</v>
      </c>
      <c r="J74" t="str">
        <f>IF(Table2[[#This Row],[!Type]]=J$1, J$1,"rg:None")</f>
        <v>rg:None</v>
      </c>
      <c r="K74" t="str">
        <f>IF(Table2[[#This Row],[!Type]]=K$1, K$1,"rg:None")</f>
        <v>rg:None</v>
      </c>
      <c r="L74" s="10" t="str">
        <f>IF(Table2[[#This Row],[!Type]]=L$1, L$1,"rg:None")</f>
        <v>rg:None</v>
      </c>
      <c r="M74" s="5" t="str">
        <f>IF(Table2[[#This Row],[!Type]]=M$1, M$1,"rg:None")</f>
        <v>rg:None</v>
      </c>
      <c r="N74" s="5" t="str">
        <f>IF(Table2[[#This Row],[!Type]]=N$1, N$1,"rg:None")</f>
        <v>rg:None</v>
      </c>
      <c r="O74" s="5" t="str">
        <f>IF(Table2[[#This Row],[!Type]]=O$1, O$1,"rg:None")</f>
        <v>string</v>
      </c>
      <c r="P74" s="5" t="str">
        <f>IF(Table2[[#This Row],[!Type]]=P$1, P$1,"rg:None")</f>
        <v>rg:None</v>
      </c>
      <c r="Q74" s="10" t="str">
        <f>IF(LEN(Table2[[#This Row],[!Length]]) &gt; 0, Table2[[#This Row],[!Length]], "rg:None")</f>
        <v>rg:None</v>
      </c>
      <c r="R74" s="10" t="str">
        <f>IF(LEN(Table2[[#This Row],[!Name]]) &gt; 0, Table2[[#This Row],[!Name]], "rg:None")</f>
        <v>NSCCarrierName</v>
      </c>
      <c r="S74" s="10" t="str">
        <f>IF(LEN(Table2[[#This Row],[!Description]]) &gt; 0, Table2[[#This Row],[!Description]], "rg:None")</f>
        <v>rg:None</v>
      </c>
      <c r="T74" s="10" t="str">
        <f>IF(LEN(Table2[[#This Row],[!FK]])&gt;0,Table2[[#This Row],[!FK]],"rg:None")</f>
        <v>rg:None</v>
      </c>
      <c r="U74" s="10" t="str">
        <f>IF(LEN(concatif2(A:A,Table2[[#This Row],[!Table]],G:G,"Y",D:D,",")) &gt; 0,"rg:[ { 'req' : '"&amp;concatif2(A:A,Table2[[#This Row],[!Table]],G:G,"Y",D:D,"' }, { 'req': '")&amp;"'} ]","rg:[]")</f>
        <v>rg:[ { 'req' : 'id'} ]</v>
      </c>
    </row>
    <row r="75" spans="1:21" x14ac:dyDescent="0.3">
      <c r="A75" s="3" t="s">
        <v>99</v>
      </c>
      <c r="B75" s="3" t="s">
        <v>10</v>
      </c>
      <c r="C75" s="3"/>
      <c r="D75" s="5" t="s">
        <v>210</v>
      </c>
      <c r="E75" s="29" t="s">
        <v>7</v>
      </c>
      <c r="F75" s="3" t="s">
        <v>7</v>
      </c>
      <c r="G75" s="4"/>
      <c r="H75" s="5" t="str">
        <f t="shared" si="2"/>
        <v>Defs</v>
      </c>
      <c r="I75" t="str">
        <f>IF(Table2[[#This Row],[!Type]]=I$1, I$1,"rg:None")</f>
        <v>rg:None</v>
      </c>
      <c r="J75" t="str">
        <f>IF(Table2[[#This Row],[!Type]]=J$1, J$1,"rg:None")</f>
        <v>rg:None</v>
      </c>
      <c r="K75" t="str">
        <f>IF(Table2[[#This Row],[!Type]]=K$1, K$1,"rg:None")</f>
        <v>rg:None</v>
      </c>
      <c r="L75" s="10" t="str">
        <f>IF(Table2[[#This Row],[!Type]]=L$1, L$1,"rg:None")</f>
        <v>rg:None</v>
      </c>
      <c r="M75" s="5" t="str">
        <f>IF(Table2[[#This Row],[!Type]]=M$1, M$1,"rg:None")</f>
        <v>rg:None</v>
      </c>
      <c r="N75" s="5" t="str">
        <f>IF(Table2[[#This Row],[!Type]]=N$1, N$1,"rg:None")</f>
        <v>rg:None</v>
      </c>
      <c r="O75" s="5" t="str">
        <f>IF(Table2[[#This Row],[!Type]]=O$1, O$1,"rg:None")</f>
        <v>string</v>
      </c>
      <c r="P75" s="5" t="str">
        <f>IF(Table2[[#This Row],[!Type]]=P$1, P$1,"rg:None")</f>
        <v>rg:None</v>
      </c>
      <c r="Q75" s="10" t="str">
        <f>IF(LEN(Table2[[#This Row],[!Length]]) &gt; 0, Table2[[#This Row],[!Length]], "rg:None")</f>
        <v>rg:None</v>
      </c>
      <c r="R75" s="10" t="str">
        <f>IF(LEN(Table2[[#This Row],[!Name]]) &gt; 0, Table2[[#This Row],[!Name]], "rg:None")</f>
        <v>NSCCarrierConditions</v>
      </c>
      <c r="S75" s="10" t="str">
        <f>IF(LEN(Table2[[#This Row],[!Description]]) &gt; 0, Table2[[#This Row],[!Description]], "rg:None")</f>
        <v>rg:None</v>
      </c>
      <c r="T75" s="10" t="str">
        <f>IF(LEN(Table2[[#This Row],[!FK]])&gt;0,Table2[[#This Row],[!FK]],"rg:None")</f>
        <v>rg:None</v>
      </c>
      <c r="U75" s="10" t="str">
        <f>IF(LEN(concatif2(A:A,Table2[[#This Row],[!Table]],G:G,"Y",D:D,",")) &gt; 0,"rg:[ { 'req' : '"&amp;concatif2(A:A,Table2[[#This Row],[!Table]],G:G,"Y",D:D,"' }, { 'req': '")&amp;"'} ]","rg:[]")</f>
        <v>rg:[ { 'req' : 'id'} ]</v>
      </c>
    </row>
    <row r="76" spans="1:21" x14ac:dyDescent="0.3">
      <c r="A76" s="3" t="s">
        <v>99</v>
      </c>
      <c r="B76" s="3" t="s">
        <v>10</v>
      </c>
      <c r="C76" s="3"/>
      <c r="D76" s="5" t="s">
        <v>211</v>
      </c>
      <c r="E76" s="29" t="s">
        <v>7</v>
      </c>
      <c r="F76" s="3" t="s">
        <v>7</v>
      </c>
      <c r="G76" s="4"/>
      <c r="H76" s="5" t="str">
        <f t="shared" si="2"/>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NSCCarrierSafetyRating</v>
      </c>
      <c r="S76" s="10" t="str">
        <f>IF(LEN(Table2[[#This Row],[!Description]]) &gt; 0, Table2[[#This Row],[!Description]], "rg:None")</f>
        <v>rg:None</v>
      </c>
      <c r="T76" s="10" t="str">
        <f>IF(LEN(Table2[[#This Row],[!FK]])&gt;0,Table2[[#This Row],[!FK]],"rg:None")</f>
        <v>rg:None</v>
      </c>
      <c r="U76" s="10" t="str">
        <f>IF(LEN(concatif2(A:A,Table2[[#This Row],[!Table]],G:G,"Y",D:D,",")) &gt; 0,"rg:[ { 'req' : '"&amp;concatif2(A:A,Table2[[#This Row],[!Table]],G:G,"Y",D:D,"' }, { 'req': '")&amp;"'} ]","rg:[]")</f>
        <v>rg:[ { 'req' : 'id'} ]</v>
      </c>
    </row>
    <row r="77" spans="1:21" x14ac:dyDescent="0.3">
      <c r="A77" s="3" t="s">
        <v>99</v>
      </c>
      <c r="B77" s="3" t="s">
        <v>10</v>
      </c>
      <c r="C77" s="3"/>
      <c r="D77" s="5" t="s">
        <v>212</v>
      </c>
      <c r="E77" s="29" t="s">
        <v>7</v>
      </c>
      <c r="F77" s="3" t="s">
        <v>7</v>
      </c>
      <c r="G77" s="4"/>
      <c r="H77" s="5" t="str">
        <f t="shared" si="2"/>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string</v>
      </c>
      <c r="P77" s="5" t="str">
        <f>IF(Table2[[#This Row],[!Type]]=P$1, P$1,"rg:None")</f>
        <v>rg:None</v>
      </c>
      <c r="Q77" s="10" t="str">
        <f>IF(LEN(Table2[[#This Row],[!Length]]) &gt; 0, Table2[[#This Row],[!Length]], "rg:None")</f>
        <v>rg:None</v>
      </c>
      <c r="R77" s="10" t="str">
        <f>IF(LEN(Table2[[#This Row],[!Name]]) &gt; 0, Table2[[#This Row],[!Name]], "rg:None")</f>
        <v>NSCPolicyNumber</v>
      </c>
      <c r="S77" s="10" t="str">
        <f>IF(LEN(Table2[[#This Row],[!Description]]) &gt; 0, Table2[[#This Row],[!Description]], "rg:None")</f>
        <v>rg:None</v>
      </c>
      <c r="T77" s="10" t="str">
        <f>IF(LEN(Table2[[#This Row],[!FK]])&gt;0,Table2[[#This Row],[!FK]],"rg:None")</f>
        <v>rg:None</v>
      </c>
      <c r="U77" s="10" t="str">
        <f>IF(LEN(concatif2(A:A,Table2[[#This Row],[!Table]],G:G,"Y",D:D,",")) &gt; 0,"rg:[ { 'req' : '"&amp;concatif2(A:A,Table2[[#This Row],[!Table]],G:G,"Y",D:D,"' }, { 'req': '")&amp;"'} ]","rg:[]")</f>
        <v>rg:[ { 'req' : 'id'} ]</v>
      </c>
    </row>
    <row r="78" spans="1:21" x14ac:dyDescent="0.3">
      <c r="A78" s="3" t="s">
        <v>99</v>
      </c>
      <c r="B78" s="3" t="s">
        <v>36</v>
      </c>
      <c r="C78" s="3"/>
      <c r="D78" s="5" t="s">
        <v>213</v>
      </c>
      <c r="E78" s="29" t="s">
        <v>7</v>
      </c>
      <c r="F78" s="3" t="s">
        <v>7</v>
      </c>
      <c r="G78" s="4"/>
      <c r="H78" s="5" t="str">
        <f t="shared" si="2"/>
        <v>Defs</v>
      </c>
      <c r="I78" t="str">
        <f>IF(Table2[[#This Row],[!Type]]=I$1, I$1,"rg:None")</f>
        <v>rg:None</v>
      </c>
      <c r="J78" t="str">
        <f>IF(Table2[[#This Row],[!Type]]=J$1, J$1,"rg:None")</f>
        <v>datetime</v>
      </c>
      <c r="K78" t="str">
        <f>IF(Table2[[#This Row],[!Type]]=K$1, K$1,"rg:None")</f>
        <v>rg:None</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rg:None</v>
      </c>
      <c r="Q78" s="10" t="str">
        <f>IF(LEN(Table2[[#This Row],[!Length]]) &gt; 0, Table2[[#This Row],[!Length]], "rg:None")</f>
        <v>rg:None</v>
      </c>
      <c r="R78" s="10" t="str">
        <f>IF(LEN(Table2[[#This Row],[!Name]]) &gt; 0, Table2[[#This Row],[!Name]], "rg:None")</f>
        <v>NSCPolicyEffectiveDate</v>
      </c>
      <c r="S78" s="10" t="str">
        <f>IF(LEN(Table2[[#This Row],[!Description]]) &gt; 0, Table2[[#This Row],[!Description]], "rg:None")</f>
        <v>rg:None</v>
      </c>
      <c r="T78" s="10" t="str">
        <f>IF(LEN(Table2[[#This Row],[!FK]])&gt;0,Table2[[#This Row],[!FK]],"rg:None")</f>
        <v>rg:None</v>
      </c>
      <c r="U78" s="10" t="str">
        <f>IF(LEN(concatif2(A:A,Table2[[#This Row],[!Table]],G:G,"Y",D:D,",")) &gt; 0,"rg:[ { 'req' : '"&amp;concatif2(A:A,Table2[[#This Row],[!Table]],G:G,"Y",D:D,"' }, { 'req': '")&amp;"'} ]","rg:[]")</f>
        <v>rg:[ { 'req' : 'id'} ]</v>
      </c>
    </row>
    <row r="79" spans="1:21" x14ac:dyDescent="0.3">
      <c r="A79" s="3" t="s">
        <v>99</v>
      </c>
      <c r="B79" s="3" t="s">
        <v>36</v>
      </c>
      <c r="C79" s="3"/>
      <c r="D79" s="5" t="s">
        <v>214</v>
      </c>
      <c r="E79" s="29" t="s">
        <v>7</v>
      </c>
      <c r="F79" s="3" t="s">
        <v>7</v>
      </c>
      <c r="G79" s="4"/>
      <c r="H79" s="5" t="str">
        <f t="shared" si="2"/>
        <v>Defs</v>
      </c>
      <c r="I79" t="str">
        <f>IF(Table2[[#This Row],[!Type]]=I$1, I$1,"rg:None")</f>
        <v>rg:None</v>
      </c>
      <c r="J79" t="str">
        <f>IF(Table2[[#This Row],[!Type]]=J$1, J$1,"rg:None")</f>
        <v>datetime</v>
      </c>
      <c r="K79" t="str">
        <f>IF(Table2[[#This Row],[!Type]]=K$1, K$1,"rg:None")</f>
        <v>rg:None</v>
      </c>
      <c r="L79" s="10" t="str">
        <f>IF(Table2[[#This Row],[!Type]]=L$1, L$1,"rg:None")</f>
        <v>rg:None</v>
      </c>
      <c r="M79" s="5" t="str">
        <f>IF(Table2[[#This Row],[!Type]]=M$1, M$1,"rg:None")</f>
        <v>rg:None</v>
      </c>
      <c r="N79" s="5" t="str">
        <f>IF(Table2[[#This Row],[!Type]]=N$1, N$1,"rg:None")</f>
        <v>rg:None</v>
      </c>
      <c r="O79" s="5" t="str">
        <f>IF(Table2[[#This Row],[!Type]]=O$1, O$1,"rg:None")</f>
        <v>rg:None</v>
      </c>
      <c r="P79" s="5" t="str">
        <f>IF(Table2[[#This Row],[!Type]]=P$1, P$1,"rg:None")</f>
        <v>rg:None</v>
      </c>
      <c r="Q79" s="10" t="str">
        <f>IF(LEN(Table2[[#This Row],[!Length]]) &gt; 0, Table2[[#This Row],[!Length]], "rg:None")</f>
        <v>rg:None</v>
      </c>
      <c r="R79" s="10" t="str">
        <f>IF(LEN(Table2[[#This Row],[!Name]]) &gt; 0, Table2[[#This Row],[!Name]], "rg:None")</f>
        <v>NSCPolicyStatusDate</v>
      </c>
      <c r="S79" s="10" t="str">
        <f>IF(LEN(Table2[[#This Row],[!Description]]) &gt; 0, Table2[[#This Row],[!Description]], "rg:None")</f>
        <v>rg:None</v>
      </c>
      <c r="T79" s="10" t="str">
        <f>IF(LEN(Table2[[#This Row],[!FK]])&gt;0,Table2[[#This Row],[!FK]],"rg:None")</f>
        <v>rg:None</v>
      </c>
      <c r="U79" s="10" t="str">
        <f>IF(LEN(concatif2(A:A,Table2[[#This Row],[!Table]],G:G,"Y",D:D,",")) &gt; 0,"rg:[ { 'req' : '"&amp;concatif2(A:A,Table2[[#This Row],[!Table]],G:G,"Y",D:D,"' }, { 'req': '")&amp;"'} ]","rg:[]")</f>
        <v>rg:[ { 'req' : 'id'} ]</v>
      </c>
    </row>
    <row r="80" spans="1:21" x14ac:dyDescent="0.3">
      <c r="A80" s="3" t="s">
        <v>99</v>
      </c>
      <c r="B80" s="3" t="s">
        <v>36</v>
      </c>
      <c r="C80" s="3"/>
      <c r="D80" s="5" t="s">
        <v>215</v>
      </c>
      <c r="E80" s="29" t="s">
        <v>7</v>
      </c>
      <c r="F80" s="3" t="s">
        <v>7</v>
      </c>
      <c r="G80" s="4"/>
      <c r="H80" s="5" t="str">
        <f t="shared" si="2"/>
        <v>Defs</v>
      </c>
      <c r="I80" t="str">
        <f>IF(Table2[[#This Row],[!Type]]=I$1, I$1,"rg:None")</f>
        <v>rg:None</v>
      </c>
      <c r="J80" t="str">
        <f>IF(Table2[[#This Row],[!Type]]=J$1, J$1,"rg:None")</f>
        <v>datetime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rg:None</v>
      </c>
      <c r="P80" s="5" t="str">
        <f>IF(Table2[[#This Row],[!Type]]=P$1, P$1,"rg:None")</f>
        <v>rg:None</v>
      </c>
      <c r="Q80" s="10" t="str">
        <f>IF(LEN(Table2[[#This Row],[!Length]]) &gt; 0, Table2[[#This Row],[!Length]], "rg:None")</f>
        <v>rg:None</v>
      </c>
      <c r="R80" s="10" t="str">
        <f>IF(LEN(Table2[[#This Row],[!Name]]) &gt; 0, Table2[[#This Row],[!Name]], "rg:None")</f>
        <v>NSCPolicyExpiryDate</v>
      </c>
      <c r="S80" s="10" t="str">
        <f>IF(LEN(Table2[[#This Row],[!Description]]) &gt; 0, Table2[[#This Row],[!Description]], "rg:None")</f>
        <v>rg:None</v>
      </c>
      <c r="T80" s="10" t="str">
        <f>IF(LEN(Table2[[#This Row],[!FK]])&gt;0,Table2[[#This Row],[!FK]],"rg:None")</f>
        <v>rg:None</v>
      </c>
      <c r="U80" s="10" t="str">
        <f>IF(LEN(concatif2(A:A,Table2[[#This Row],[!Table]],G:G,"Y",D:D,",")) &gt; 0,"rg:[ { 'req' : '"&amp;concatif2(A:A,Table2[[#This Row],[!Table]],G:G,"Y",D:D,"' }, { 'req': '")&amp;"'} ]","rg:[]")</f>
        <v>rg:[ { 'req' : 'id'} ]</v>
      </c>
    </row>
    <row r="81" spans="1:21" x14ac:dyDescent="0.3">
      <c r="A81" s="3" t="s">
        <v>99</v>
      </c>
      <c r="B81" s="3" t="s">
        <v>10</v>
      </c>
      <c r="C81" s="3"/>
      <c r="D81" s="5" t="s">
        <v>216</v>
      </c>
      <c r="E81" s="29" t="s">
        <v>7</v>
      </c>
      <c r="F81" s="3" t="s">
        <v>7</v>
      </c>
      <c r="G81" s="4"/>
      <c r="H81" s="5" t="str">
        <f t="shared" si="2"/>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NSCPolicyStatus</v>
      </c>
      <c r="S81" s="10" t="str">
        <f>IF(LEN(Table2[[#This Row],[!Description]]) &gt; 0, Table2[[#This Row],[!Description]], "rg:None")</f>
        <v>rg:None</v>
      </c>
      <c r="T81" s="10" t="str">
        <f>IF(LEN(Table2[[#This Row],[!FK]])&gt;0,Table2[[#This Row],[!FK]],"rg:None")</f>
        <v>rg:None</v>
      </c>
      <c r="U81" s="10" t="str">
        <f>IF(LEN(concatif2(A:A,Table2[[#This Row],[!Table]],G:G,"Y",D:D,",")) &gt; 0,"rg:[ { 'req' : '"&amp;concatif2(A:A,Table2[[#This Row],[!Table]],G:G,"Y",D:D,"' }, { 'req': '")&amp;"'} ]","rg:[]")</f>
        <v>rg:[ { 'req' : 'id'} ]</v>
      </c>
    </row>
    <row r="82" spans="1:21" x14ac:dyDescent="0.3">
      <c r="A82" s="3" t="s">
        <v>99</v>
      </c>
      <c r="B82" s="3" t="s">
        <v>10</v>
      </c>
      <c r="C82" s="3"/>
      <c r="D82" s="5" t="s">
        <v>181</v>
      </c>
      <c r="E82" s="29" t="s">
        <v>7</v>
      </c>
      <c r="F82" s="3" t="s">
        <v>7</v>
      </c>
      <c r="G82" s="4"/>
      <c r="H82" s="5" t="str">
        <f t="shared" si="2"/>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NSCPlateDecal</v>
      </c>
      <c r="S82" s="10" t="str">
        <f>IF(LEN(Table2[[#This Row],[!Description]]) &gt; 0, Table2[[#This Row],[!Description]], "rg:None")</f>
        <v>rg:None</v>
      </c>
      <c r="T82" s="10" t="str">
        <f>IF(LEN(Table2[[#This Row],[!FK]])&gt;0,Table2[[#This Row],[!FK]],"rg:None")</f>
        <v>rg:None</v>
      </c>
      <c r="U82" s="10" t="str">
        <f>IF(LEN(concatif2(A:A,Table2[[#This Row],[!Table]],G:G,"Y",D:D,",")) &gt; 0,"rg:[ { 'req' : '"&amp;concatif2(A:A,Table2[[#This Row],[!Table]],G:G,"Y",D:D,"' }, { 'req': '")&amp;"'} ]","rg:[]")</f>
        <v>rg:[ { 'req' : 'id'} ]</v>
      </c>
    </row>
    <row r="83" spans="1:21" x14ac:dyDescent="0.3">
      <c r="A83" s="3" t="s">
        <v>102</v>
      </c>
      <c r="B83" s="3" t="s">
        <v>5</v>
      </c>
      <c r="C83" s="3"/>
      <c r="D83" s="3" t="s">
        <v>102</v>
      </c>
      <c r="E83" s="29" t="s">
        <v>7</v>
      </c>
      <c r="F83" s="3" t="s">
        <v>7</v>
      </c>
      <c r="G83" s="4"/>
      <c r="H83" s="5" t="str">
        <f t="shared" si="2"/>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rg:None</v>
      </c>
      <c r="P83" s="5" t="str">
        <f>IF(Table2[[#This Row],[!Type]]=P$1, P$1,"rg:None")</f>
        <v>table</v>
      </c>
      <c r="Q83" s="10" t="str">
        <f>IF(LEN(Table2[[#This Row],[!Length]]) &gt; 0, Table2[[#This Row],[!Length]], "rg:None")</f>
        <v>rg:None</v>
      </c>
      <c r="R83" s="10" t="str">
        <f>IF(LEN(Table2[[#This Row],[!Name]]) &gt; 0, Table2[[#This Row],[!Name]], "rg:None")</f>
        <v>Inspection</v>
      </c>
      <c r="S83" s="10" t="str">
        <f>IF(LEN(Table2[[#This Row],[!Description]]) &gt; 0, Table2[[#This Row],[!Description]], "rg:None")</f>
        <v>rg:None</v>
      </c>
      <c r="T83" s="10" t="str">
        <f>IF(LEN(Table2[[#This Row],[!FK]])&gt;0,Table2[[#This Row],[!FK]],"rg:None")</f>
        <v>rg:None</v>
      </c>
      <c r="U83" s="10" t="str">
        <f>IF(LEN(concatif2(A:A,Table2[[#This Row],[!Table]],G:G,"Y",D:D,",")) &gt; 0,"rg:[ { 'req' : '"&amp;concatif2(A:A,Table2[[#This Row],[!Table]],G:G,"Y",D:D,"' }, { 'req': '")&amp;"'} ]","rg:[]")</f>
        <v>rg:[ { 'req' : 'id'} ]</v>
      </c>
    </row>
    <row r="84" spans="1:21" x14ac:dyDescent="0.3">
      <c r="A84" s="3" t="s">
        <v>102</v>
      </c>
      <c r="B84" s="3" t="s">
        <v>8</v>
      </c>
      <c r="C84" s="3"/>
      <c r="D84" s="3" t="s">
        <v>8</v>
      </c>
      <c r="E84" s="29" t="s">
        <v>103</v>
      </c>
      <c r="F84" s="3" t="s">
        <v>7</v>
      </c>
      <c r="G84" s="4" t="s">
        <v>179</v>
      </c>
      <c r="H84" s="5" t="str">
        <f t="shared" si="2"/>
        <v>Defs</v>
      </c>
      <c r="I84" t="str">
        <f>IF(Table2[[#This Row],[!Type]]=I$1, I$1,"rg:None")</f>
        <v>rg:None</v>
      </c>
      <c r="J84" t="str">
        <f>IF(Table2[[#This Row],[!Type]]=J$1, J$1,"rg:None")</f>
        <v>rg:None</v>
      </c>
      <c r="K84" t="str">
        <f>IF(Table2[[#This Row],[!Type]]=K$1, K$1,"rg:None")</f>
        <v>id</v>
      </c>
      <c r="L84" s="10" t="str">
        <f>IF(Table2[[#This Row],[!Type]]=L$1, L$1,"rg:None")</f>
        <v>rg:None</v>
      </c>
      <c r="M84" s="5" t="str">
        <f>IF(Table2[[#This Row],[!Type]]=M$1, M$1,"rg:None")</f>
        <v>rg:None</v>
      </c>
      <c r="N84" s="5" t="str">
        <f>IF(Table2[[#This Row],[!Type]]=N$1, N$1,"rg:None")</f>
        <v>rg:None</v>
      </c>
      <c r="O84" s="5" t="str">
        <f>IF(Table2[[#This Row],[!Type]]=O$1, O$1,"rg:None")</f>
        <v>rg:None</v>
      </c>
      <c r="P84" s="5" t="str">
        <f>IF(Table2[[#This Row],[!Type]]=P$1, P$1,"rg:None")</f>
        <v>rg:None</v>
      </c>
      <c r="Q84" s="10" t="str">
        <f>IF(LEN(Table2[[#This Row],[!Length]]) &gt; 0, Table2[[#This Row],[!Length]], "rg:None")</f>
        <v>rg:None</v>
      </c>
      <c r="R84" s="10" t="str">
        <f>IF(LEN(Table2[[#This Row],[!Name]]) &gt; 0, Table2[[#This Row],[!Name]], "rg:None")</f>
        <v>id</v>
      </c>
      <c r="S84" s="10" t="str">
        <f>IF(LEN(Table2[[#This Row],[!Description]]) &gt; 0, Table2[[#This Row],[!Description]], "rg:None")</f>
        <v>Primary Key make this match the Inspection Details page</v>
      </c>
      <c r="T84" s="10" t="str">
        <f>IF(LEN(Table2[[#This Row],[!FK]])&gt;0,Table2[[#This Row],[!FK]],"rg:None")</f>
        <v>rg:None</v>
      </c>
      <c r="U84" s="10" t="str">
        <f>IF(LEN(concatif2(A:A,Table2[[#This Row],[!Table]],G:G,"Y",D:D,",")) &gt; 0,"rg:[ { 'req' : '"&amp;concatif2(A:A,Table2[[#This Row],[!Table]],G:G,"Y",D:D,"' }, { 'req': '")&amp;"'} ]","rg:[]")</f>
        <v>rg:[ { 'req' : 'id'} ]</v>
      </c>
    </row>
    <row r="85" spans="1:21" x14ac:dyDescent="0.3">
      <c r="A85" s="3" t="s">
        <v>102</v>
      </c>
      <c r="B85" s="3" t="s">
        <v>14</v>
      </c>
      <c r="C85" s="3"/>
      <c r="D85" s="3" t="s">
        <v>56</v>
      </c>
      <c r="E85" s="29" t="s">
        <v>7</v>
      </c>
      <c r="F85" s="3" t="s">
        <v>4</v>
      </c>
      <c r="G85" s="4"/>
      <c r="H85" s="5" t="str">
        <f t="shared" si="2"/>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ref</v>
      </c>
      <c r="O85" s="5" t="str">
        <f>IF(Table2[[#This Row],[!Type]]=O$1, O$1,"rg:None")</f>
        <v>rg:None</v>
      </c>
      <c r="P85" s="5" t="str">
        <f>IF(Table2[[#This Row],[!Type]]=P$1, P$1,"rg:None")</f>
        <v>rg:None</v>
      </c>
      <c r="Q85" s="10" t="str">
        <f>IF(LEN(Table2[[#This Row],[!Length]]) &gt; 0, Table2[[#This Row],[!Length]], "rg:None")</f>
        <v>rg:None</v>
      </c>
      <c r="R85" s="10" t="str">
        <f>IF(LEN(Table2[[#This Row],[!Name]]) &gt; 0, Table2[[#This Row],[!Name]], "rg:None")</f>
        <v>schoolBus</v>
      </c>
      <c r="S85" s="10" t="str">
        <f>IF(LEN(Table2[[#This Row],[!Description]]) &gt; 0, Table2[[#This Row],[!Description]], "rg:None")</f>
        <v>rg:None</v>
      </c>
      <c r="T85" s="10" t="str">
        <f>IF(LEN(Table2[[#This Row],[!FK]])&gt;0,Table2[[#This Row],[!FK]],"rg:None")</f>
        <v>SchoolBus</v>
      </c>
      <c r="U85" s="10" t="str">
        <f>IF(LEN(concatif2(A:A,Table2[[#This Row],[!Table]],G:G,"Y",D:D,",")) &gt; 0,"rg:[ { 'req' : '"&amp;concatif2(A:A,Table2[[#This Row],[!Table]],G:G,"Y",D:D,"' }, { 'req': '")&amp;"'} ]","rg:[]")</f>
        <v>rg:[ { 'req' : 'id'} ]</v>
      </c>
    </row>
    <row r="86" spans="1:21" x14ac:dyDescent="0.3">
      <c r="A86" s="3" t="s">
        <v>102</v>
      </c>
      <c r="B86" s="3" t="s">
        <v>14</v>
      </c>
      <c r="C86" s="3"/>
      <c r="D86" s="3" t="s">
        <v>104</v>
      </c>
      <c r="E86" s="29" t="s">
        <v>105</v>
      </c>
      <c r="F86" s="3" t="s">
        <v>0</v>
      </c>
      <c r="G86" s="4"/>
      <c r="H86" s="5" t="str">
        <f t="shared" ref="H86:H179" si="3">IF(LEN(A86) &gt; 0,"Defs","-")</f>
        <v>Defs</v>
      </c>
      <c r="I86" t="str">
        <f>IF(Table2[[#This Row],[!Type]]=I$1, I$1,"rg:None")</f>
        <v>rg:None</v>
      </c>
      <c r="J86" t="str">
        <f>IF(Table2[[#This Row],[!Type]]=J$1, J$1,"rg:None")</f>
        <v>rg:None</v>
      </c>
      <c r="K86" t="str">
        <f>IF(Table2[[#This Row],[!Type]]=K$1, K$1,"rg:None")</f>
        <v>rg:None</v>
      </c>
      <c r="L86" s="10" t="str">
        <f>IF(Table2[[#This Row],[!Type]]=L$1, L$1,"rg:None")</f>
        <v>rg:None</v>
      </c>
      <c r="M86" s="5" t="str">
        <f>IF(Table2[[#This Row],[!Type]]=M$1, M$1,"rg:None")</f>
        <v>rg:None</v>
      </c>
      <c r="N86" s="5" t="str">
        <f>IF(Table2[[#This Row],[!Type]]=N$1, N$1,"rg:None")</f>
        <v>ref</v>
      </c>
      <c r="O86" s="5" t="str">
        <f>IF(Table2[[#This Row],[!Type]]=O$1, O$1,"rg:None")</f>
        <v>rg:None</v>
      </c>
      <c r="P86" s="5" t="str">
        <f>IF(Table2[[#This Row],[!Type]]=P$1, P$1,"rg:None")</f>
        <v>rg:None</v>
      </c>
      <c r="Q86" s="10" t="str">
        <f>IF(LEN(Table2[[#This Row],[!Length]]) &gt; 0, Table2[[#This Row],[!Length]], "rg:None")</f>
        <v>rg:None</v>
      </c>
      <c r="R86" s="10" t="str">
        <f>IF(LEN(Table2[[#This Row],[!Name]]) &gt; 0, Table2[[#This Row],[!Name]], "rg:None")</f>
        <v>inspector</v>
      </c>
      <c r="S86" s="10" t="str">
        <f>IF(LEN(Table2[[#This Row],[!Description]]) &gt; 0, Table2[[#This Row],[!Description]], "rg:None")</f>
        <v>Defaults for a new inspection to the current user,  but can be changed as needed.</v>
      </c>
      <c r="T86" s="10" t="str">
        <f>IF(LEN(Table2[[#This Row],[!FK]])&gt;0,Table2[[#This Row],[!FK]],"rg:None")</f>
        <v>User</v>
      </c>
      <c r="U86" s="10" t="str">
        <f>IF(LEN(concatif2(A:A,Table2[[#This Row],[!Table]],G:G,"Y",D:D,",")) &gt; 0,"rg:[ { 'req' : '"&amp;concatif2(A:A,Table2[[#This Row],[!Table]],G:G,"Y",D:D,"' }, { 'req': '")&amp;"'} ]","rg:[]")</f>
        <v>rg:[ { 'req' : 'id'} ]</v>
      </c>
    </row>
    <row r="87" spans="1:21" x14ac:dyDescent="0.3">
      <c r="A87" s="3" t="s">
        <v>102</v>
      </c>
      <c r="B87" s="3" t="s">
        <v>36</v>
      </c>
      <c r="C87" s="3"/>
      <c r="D87" s="3" t="s">
        <v>106</v>
      </c>
      <c r="E87" s="29" t="s">
        <v>107</v>
      </c>
      <c r="F87" s="3" t="s">
        <v>7</v>
      </c>
      <c r="G87" s="4"/>
      <c r="H87" s="5" t="str">
        <f t="shared" si="3"/>
        <v>Defs</v>
      </c>
      <c r="I87" t="str">
        <f>IF(Table2[[#This Row],[!Type]]=I$1, I$1,"rg:None")</f>
        <v>rg:None</v>
      </c>
      <c r="J87" t="str">
        <f>IF(Table2[[#This Row],[!Type]]=J$1, J$1,"rg:None")</f>
        <v>datetime</v>
      </c>
      <c r="K87" t="str">
        <f>IF(Table2[[#This Row],[!Type]]=K$1, K$1,"rg:None")</f>
        <v>rg:None</v>
      </c>
      <c r="L87" s="10" t="str">
        <f>IF(Table2[[#This Row],[!Type]]=L$1, L$1,"rg:None")</f>
        <v>rg:None</v>
      </c>
      <c r="M87" s="5" t="str">
        <f>IF(Table2[[#This Row],[!Type]]=M$1, M$1,"rg:None")</f>
        <v>rg:None</v>
      </c>
      <c r="N87" s="5" t="str">
        <f>IF(Table2[[#This Row],[!Type]]=N$1, N$1,"rg:None")</f>
        <v>rg:None</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inspectionDate</v>
      </c>
      <c r="S87" s="10" t="str">
        <f>IF(LEN(Table2[[#This Row],[!Description]]) &gt; 0, Table2[[#This Row],[!Description]], "rg:None")</f>
        <v>The date the inspection was conducted.</v>
      </c>
      <c r="T87" s="10" t="str">
        <f>IF(LEN(Table2[[#This Row],[!FK]])&gt;0,Table2[[#This Row],[!FK]],"rg:None")</f>
        <v>rg:None</v>
      </c>
      <c r="U87" s="10" t="str">
        <f>IF(LEN(concatif2(A:A,Table2[[#This Row],[!Table]],G:G,"Y",D:D,",")) &gt; 0,"rg:[ { 'req' : '"&amp;concatif2(A:A,Table2[[#This Row],[!Table]],G:G,"Y",D:D,"' }, { 'req': '")&amp;"'} ]","rg:[]")</f>
        <v>rg:[ { 'req' : 'id'} ]</v>
      </c>
    </row>
    <row r="88" spans="1:21" x14ac:dyDescent="0.3">
      <c r="A88" s="3" t="s">
        <v>102</v>
      </c>
      <c r="B88" s="3" t="s">
        <v>10</v>
      </c>
      <c r="C88" s="3"/>
      <c r="D88" s="26" t="s">
        <v>318</v>
      </c>
      <c r="E88" s="29" t="s">
        <v>108</v>
      </c>
      <c r="F88" s="3" t="s">
        <v>7</v>
      </c>
      <c r="G88" s="4"/>
      <c r="H88" s="5" t="str">
        <f t="shared" si="3"/>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rg:None</v>
      </c>
      <c r="O88" s="5" t="str">
        <f>IF(Table2[[#This Row],[!Type]]=O$1, O$1,"rg:None")</f>
        <v>string</v>
      </c>
      <c r="P88" s="5" t="str">
        <f>IF(Table2[[#This Row],[!Type]]=P$1, P$1,"rg:None")</f>
        <v>rg:None</v>
      </c>
      <c r="Q88" s="10" t="str">
        <f>IF(LEN(Table2[[#This Row],[!Length]]) &gt; 0, Table2[[#This Row],[!Length]], "rg:None")</f>
        <v>rg:None</v>
      </c>
      <c r="R88" s="10" t="str">
        <f>IF(LEN(Table2[[#This Row],[!Name]]) &gt; 0, Table2[[#This Row],[!Name]], "rg:None")</f>
        <v>inspectionTypeCode</v>
      </c>
      <c r="S88" s="10" t="str">
        <f>IF(LEN(Table2[[#This Row],[!Description]]) &gt; 0, Table2[[#This Row],[!Description]], "rg:None")</f>
        <v>The type of the inspection - enumerated type of Annual or Re-inspection,  pulled from the School Bus record at the time the inspection record is created</v>
      </c>
      <c r="T88" s="10" t="str">
        <f>IF(LEN(Table2[[#This Row],[!FK]])&gt;0,Table2[[#This Row],[!FK]],"rg:None")</f>
        <v>rg:None</v>
      </c>
      <c r="U88" s="10" t="str">
        <f>IF(LEN(concatif2(A:A,Table2[[#This Row],[!Table]],G:G,"Y",D:D,",")) &gt; 0,"rg:[ { 'req' : '"&amp;concatif2(A:A,Table2[[#This Row],[!Table]],G:G,"Y",D:D,"' }, { 'req': '")&amp;"'} ]","rg:[]")</f>
        <v>rg:[ { 'req' : 'id'} ]</v>
      </c>
    </row>
    <row r="89" spans="1:21" x14ac:dyDescent="0.3">
      <c r="A89" s="3" t="s">
        <v>102</v>
      </c>
      <c r="B89" s="3" t="s">
        <v>10</v>
      </c>
      <c r="C89" s="3"/>
      <c r="D89" s="26" t="s">
        <v>319</v>
      </c>
      <c r="E89" s="29" t="s">
        <v>109</v>
      </c>
      <c r="F89" s="3" t="s">
        <v>7</v>
      </c>
      <c r="G89" s="4"/>
      <c r="H89" s="5" t="str">
        <f t="shared" si="3"/>
        <v>Defs</v>
      </c>
      <c r="I89" t="str">
        <f>IF(Table2[[#This Row],[!Type]]=I$1, I$1,"rg:None")</f>
        <v>rg:None</v>
      </c>
      <c r="J89" t="str">
        <f>IF(Table2[[#This Row],[!Type]]=J$1, J$1,"rg:None")</f>
        <v>rg:None</v>
      </c>
      <c r="K89" t="str">
        <f>IF(Table2[[#This Row],[!Type]]=K$1, K$1,"rg:None")</f>
        <v>rg:None</v>
      </c>
      <c r="L89" s="10" t="str">
        <f>IF(Table2[[#This Row],[!Type]]=L$1, L$1,"rg:None")</f>
        <v>rg:None</v>
      </c>
      <c r="M89" s="5" t="str">
        <f>IF(Table2[[#This Row],[!Type]]=M$1, M$1,"rg:None")</f>
        <v>rg:None</v>
      </c>
      <c r="N89" s="5" t="str">
        <f>IF(Table2[[#This Row],[!Type]]=N$1, N$1,"rg:None")</f>
        <v>rg:None</v>
      </c>
      <c r="O89" s="5" t="str">
        <f>IF(Table2[[#This Row],[!Type]]=O$1, O$1,"rg:None")</f>
        <v>string</v>
      </c>
      <c r="P89" s="5" t="str">
        <f>IF(Table2[[#This Row],[!Type]]=P$1, P$1,"rg:None")</f>
        <v>rg:None</v>
      </c>
      <c r="Q89" s="10" t="str">
        <f>IF(LEN(Table2[[#This Row],[!Length]]) &gt; 0, Table2[[#This Row],[!Length]], "rg:None")</f>
        <v>rg:None</v>
      </c>
      <c r="R89" s="10" t="str">
        <f>IF(LEN(Table2[[#This Row],[!Name]]) &gt; 0, Table2[[#This Row],[!Name]], "rg:None")</f>
        <v>inspectionResultCode</v>
      </c>
      <c r="S89" s="10" t="str">
        <f>IF(LEN(Table2[[#This Row],[!Description]]) &gt; 0, Table2[[#This Row],[!Description]], "rg:None")</f>
        <v>The result of the inspection - enumerated type of Passed or Failed. The detailed results of the inspection are in RIP and not duplicated here.</v>
      </c>
      <c r="T89" s="10" t="str">
        <f>IF(LEN(Table2[[#This Row],[!FK]])&gt;0,Table2[[#This Row],[!FK]],"rg:None")</f>
        <v>rg:None</v>
      </c>
      <c r="U89" s="10" t="str">
        <f>IF(LEN(concatif2(A:A,Table2[[#This Row],[!Table]],G:G,"Y",D:D,",")) &gt; 0,"rg:[ { 'req' : '"&amp;concatif2(A:A,Table2[[#This Row],[!Table]],G:G,"Y",D:D,"' }, { 'req': '")&amp;"'} ]","rg:[]")</f>
        <v>rg:[ { 'req' : 'id'} ]</v>
      </c>
    </row>
    <row r="90" spans="1:21" x14ac:dyDescent="0.3">
      <c r="A90" s="3" t="s">
        <v>102</v>
      </c>
      <c r="B90" s="3" t="s">
        <v>10</v>
      </c>
      <c r="C90" s="3"/>
      <c r="D90" s="3" t="s">
        <v>83</v>
      </c>
      <c r="E90" s="29" t="s">
        <v>110</v>
      </c>
      <c r="F90" s="3" t="s">
        <v>7</v>
      </c>
      <c r="G90" s="4"/>
      <c r="H90" s="5" t="str">
        <f t="shared" si="3"/>
        <v>Defs</v>
      </c>
      <c r="I90" t="str">
        <f>IF(Table2[[#This Row],[!Type]]=I$1, I$1,"rg:None")</f>
        <v>rg:None</v>
      </c>
      <c r="J90" t="str">
        <f>IF(Table2[[#This Row],[!Type]]=J$1, J$1,"rg:None")</f>
        <v>rg:None</v>
      </c>
      <c r="K90" t="str">
        <f>IF(Table2[[#This Row],[!Type]]=K$1, K$1,"rg:None")</f>
        <v>rg:None</v>
      </c>
      <c r="L90" s="10" t="str">
        <f>IF(Table2[[#This Row],[!Type]]=L$1, L$1,"rg:None")</f>
        <v>rg:None</v>
      </c>
      <c r="M90" s="5" t="str">
        <f>IF(Table2[[#This Row],[!Type]]=M$1, M$1,"rg:None")</f>
        <v>rg:None</v>
      </c>
      <c r="N90" s="5" t="str">
        <f>IF(Table2[[#This Row],[!Type]]=N$1, N$1,"rg:None")</f>
        <v>rg:None</v>
      </c>
      <c r="O90" s="5" t="str">
        <f>IF(Table2[[#This Row],[!Type]]=O$1, O$1,"rg:None")</f>
        <v>string</v>
      </c>
      <c r="P90" s="5" t="str">
        <f>IF(Table2[[#This Row],[!Type]]=P$1, P$1,"rg:None")</f>
        <v>rg:None</v>
      </c>
      <c r="Q90" s="10" t="str">
        <f>IF(LEN(Table2[[#This Row],[!Length]]) &gt; 0, Table2[[#This Row],[!Length]], "rg:None")</f>
        <v>rg:None</v>
      </c>
      <c r="R90" s="10" t="str">
        <f>IF(LEN(Table2[[#This Row],[!Name]]) &gt; 0, Table2[[#This Row],[!Name]], "rg:None")</f>
        <v>notes</v>
      </c>
      <c r="S90" s="10" t="str">
        <f>IF(LEN(Table2[[#This Row],[!Description]]) &gt; 0, Table2[[#This Row],[!Description]], "rg:None")</f>
        <v>A note about the inspection independent of what goes into the RIP inspection - this is just for the School Bus application.</v>
      </c>
      <c r="T90" s="10" t="str">
        <f>IF(LEN(Table2[[#This Row],[!FK]])&gt;0,Table2[[#This Row],[!FK]],"rg:None")</f>
        <v>rg:None</v>
      </c>
      <c r="U90" s="10" t="str">
        <f>IF(LEN(concatif2(A:A,Table2[[#This Row],[!Table]],G:G,"Y",D:D,",")) &gt; 0,"rg:[ { 'req' : '"&amp;concatif2(A:A,Table2[[#This Row],[!Table]],G:G,"Y",D:D,"' }, { 'req': '")&amp;"'} ]","rg:[]")</f>
        <v>rg:[ { 'req' : 'id'} ]</v>
      </c>
    </row>
    <row r="91" spans="1:21" x14ac:dyDescent="0.3">
      <c r="A91" s="3" t="s">
        <v>102</v>
      </c>
      <c r="B91" s="3" t="s">
        <v>10</v>
      </c>
      <c r="C91" s="3"/>
      <c r="D91" s="3" t="s">
        <v>180</v>
      </c>
      <c r="E91" s="29" t="s">
        <v>111</v>
      </c>
      <c r="F91" s="3" t="s">
        <v>7</v>
      </c>
      <c r="G91" s="4"/>
      <c r="H91" s="5" t="str">
        <f t="shared" si="3"/>
        <v>Defs</v>
      </c>
      <c r="I91" t="str">
        <f>IF(Table2[[#This Row],[!Type]]=I$1, I$1,"rg:None")</f>
        <v>rg:None</v>
      </c>
      <c r="J91" t="str">
        <f>IF(Table2[[#This Row],[!Type]]=J$1, J$1,"rg:None")</f>
        <v>rg:None</v>
      </c>
      <c r="K91" t="str">
        <f>IF(Table2[[#This Row],[!Type]]=K$1, K$1,"rg:None")</f>
        <v>rg:None</v>
      </c>
      <c r="L91" s="10" t="str">
        <f>IF(Table2[[#This Row],[!Type]]=L$1, L$1,"rg:None")</f>
        <v>rg:None</v>
      </c>
      <c r="M91" s="5" t="str">
        <f>IF(Table2[[#This Row],[!Type]]=M$1, M$1,"rg:None")</f>
        <v>rg:None</v>
      </c>
      <c r="N91" s="5" t="str">
        <f>IF(Table2[[#This Row],[!Type]]=N$1, N$1,"rg:None")</f>
        <v>rg:None</v>
      </c>
      <c r="O91" s="5" t="str">
        <f>IF(Table2[[#This Row],[!Type]]=O$1, O$1,"rg:None")</f>
        <v>string</v>
      </c>
      <c r="P91" s="5" t="str">
        <f>IF(Table2[[#This Row],[!Type]]=P$1, P$1,"rg:None")</f>
        <v>rg:None</v>
      </c>
      <c r="Q91" s="10" t="str">
        <f>IF(LEN(Table2[[#This Row],[!Length]]) &gt; 0, Table2[[#This Row],[!Length]], "rg:None")</f>
        <v>rg:None</v>
      </c>
      <c r="R91" s="10" t="str">
        <f>IF(LEN(Table2[[#This Row],[!Name]]) &gt; 0, Table2[[#This Row],[!Name]], "rg:None")</f>
        <v>RIPInspectionId</v>
      </c>
      <c r="S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91" s="10" t="str">
        <f>IF(LEN(Table2[[#This Row],[!FK]])&gt;0,Table2[[#This Row],[!FK]],"rg:None")</f>
        <v>rg:None</v>
      </c>
      <c r="U91" s="10" t="str">
        <f>IF(LEN(concatif2(A:A,Table2[[#This Row],[!Table]],G:G,"Y",D:D,",")) &gt; 0,"rg:[ { 'req' : '"&amp;concatif2(A:A,Table2[[#This Row],[!Table]],G:G,"Y",D:D,"' }, { 'req': '")&amp;"'} ]","rg:[]")</f>
        <v>rg:[ { 'req' : 'id'} ]</v>
      </c>
    </row>
    <row r="92" spans="1:21" x14ac:dyDescent="0.3">
      <c r="A92" s="24" t="s">
        <v>102</v>
      </c>
      <c r="B92" s="24" t="s">
        <v>36</v>
      </c>
      <c r="C92" s="3"/>
      <c r="D92" s="24" t="s">
        <v>281</v>
      </c>
      <c r="E92" s="24" t="s">
        <v>282</v>
      </c>
      <c r="F92" s="6"/>
      <c r="G92" s="19"/>
      <c r="H92" s="4" t="str">
        <f>IF(LEN(A92) &gt; 0,"Defs","-")</f>
        <v>Defs</v>
      </c>
      <c r="I92" s="16" t="str">
        <f>IF(Table2[[#This Row],[!Type]]=I$1, I$1,"rg:None")</f>
        <v>rg:None</v>
      </c>
      <c r="J92" s="16" t="str">
        <f>IF(Table2[[#This Row],[!Type]]=J$1, J$1,"rg:None")</f>
        <v>datetime</v>
      </c>
      <c r="K92" s="16" t="str">
        <f>IF(Table2[[#This Row],[!Type]]=K$1, K$1,"rg:None")</f>
        <v>rg:None</v>
      </c>
      <c r="L92" s="16"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16" t="str">
        <f>IF(LEN(Table2[[#This Row],[!Length]]) &gt; 0, Table2[[#This Row],[!Length]], "rg:None")</f>
        <v>rg:None</v>
      </c>
      <c r="R92" s="16" t="str">
        <f>IF(LEN(Table2[[#This Row],[!Name]]) &gt; 0, Table2[[#This Row],[!Name]], "rg:None")</f>
        <v>createdDate</v>
      </c>
      <c r="S92" s="16" t="str">
        <f>IF(LEN(Table2[[#This Row],[!Description]]) &gt; 0, Table2[[#This Row],[!Description]], "rg:None")</f>
        <v>Record creation date</v>
      </c>
      <c r="T92" s="16" t="str">
        <f>IF(LEN(Table2[[#This Row],[!FK]])&gt;0,Table2[[#This Row],[!FK]],"rg:None")</f>
        <v>rg:None</v>
      </c>
      <c r="U92" s="16" t="str">
        <f>IF(LEN(concatif2(A:A,Table2[[#This Row],[!Table]],G:G,"Y",D:D,",")) &gt; 0,"rg:[ { 'req' : '"&amp;concatif2(A:A,Table2[[#This Row],[!Table]],G:G,"Y",D:D,"' }, { 'req': '")&amp;"'} ]","rg:[]")</f>
        <v>rg:[ { 'req' : 'id'} ]</v>
      </c>
    </row>
    <row r="93" spans="1:21" x14ac:dyDescent="0.3">
      <c r="A93" s="26" t="s">
        <v>287</v>
      </c>
      <c r="B93" s="3" t="s">
        <v>5</v>
      </c>
      <c r="C93" s="3"/>
      <c r="D93" s="26" t="s">
        <v>287</v>
      </c>
      <c r="E93" s="30" t="s">
        <v>292</v>
      </c>
      <c r="F93" s="3" t="s">
        <v>7</v>
      </c>
      <c r="G93" s="4"/>
      <c r="H93" s="5" t="str">
        <f>IF(LEN(A93) &gt; 0,"Defs","-")</f>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rg:None</v>
      </c>
      <c r="P93" s="5" t="str">
        <f>IF(Table2[[#This Row],[!Type]]=P$1, P$1,"rg:None")</f>
        <v>table</v>
      </c>
      <c r="Q93" s="10" t="str">
        <f>IF(LEN(Table2[[#This Row],[!Length]]) &gt; 0, Table2[[#This Row],[!Length]], "rg:None")</f>
        <v>rg:None</v>
      </c>
      <c r="R93" s="10" t="str">
        <f>IF(LEN(Table2[[#This Row],[!Name]]) &gt; 0, Table2[[#This Row],[!Name]], "rg:None")</f>
        <v>Note</v>
      </c>
      <c r="S93" s="10" t="str">
        <f>IF(LEN(Table2[[#This Row],[!Description]]) &gt; 0, Table2[[#This Row],[!Description]], "rg:None")</f>
        <v>Notes entered by users about instance of entities - e.g. School Buses and School Bus Owners</v>
      </c>
      <c r="T93" s="10" t="str">
        <f>IF(LEN(Table2[[#This Row],[!FK]])&gt;0,Table2[[#This Row],[!FK]],"rg:None")</f>
        <v>rg:None</v>
      </c>
      <c r="U93" s="10" t="str">
        <f>IF(LEN(concatif2(A:A,Table2[[#This Row],[!Table]],G:G,"Y",D:D,",")) &gt; 0,"rg:[ { 'req' : '"&amp;concatif2(A:A,Table2[[#This Row],[!Table]],G:G,"Y",D:D,"' }, { 'req': '")&amp;"'} ]","rg:[]")</f>
        <v>rg:[ { 'req' : 'id'} ]</v>
      </c>
    </row>
    <row r="94" spans="1:21" x14ac:dyDescent="0.3">
      <c r="A94" s="26" t="s">
        <v>287</v>
      </c>
      <c r="B94" s="3" t="s">
        <v>8</v>
      </c>
      <c r="C94" s="3"/>
      <c r="D94" s="3" t="s">
        <v>8</v>
      </c>
      <c r="E94" s="29" t="s">
        <v>9</v>
      </c>
      <c r="F94" s="3" t="s">
        <v>7</v>
      </c>
      <c r="G94" s="4" t="s">
        <v>179</v>
      </c>
      <c r="H94" s="5" t="str">
        <f>IF(LEN(A94) &gt; 0,"Defs","-")</f>
        <v>Defs</v>
      </c>
      <c r="I94" t="str">
        <f>IF(Table2[[#This Row],[!Type]]=I$1, I$1,"rg:None")</f>
        <v>rg:None</v>
      </c>
      <c r="J94" t="str">
        <f>IF(Table2[[#This Row],[!Type]]=J$1, J$1,"rg:None")</f>
        <v>rg:None</v>
      </c>
      <c r="K94" t="str">
        <f>IF(Table2[[#This Row],[!Type]]=K$1, K$1,"rg:None")</f>
        <v>id</v>
      </c>
      <c r="L94" s="10" t="str">
        <f>IF(Table2[[#This Row],[!Type]]=L$1, L$1,"rg:None")</f>
        <v>rg:None</v>
      </c>
      <c r="M94" s="5" t="str">
        <f>IF(Table2[[#This Row],[!Type]]=M$1, M$1,"rg:None")</f>
        <v>rg:None</v>
      </c>
      <c r="N94" s="5" t="str">
        <f>IF(Table2[[#This Row],[!Type]]=N$1, N$1,"rg:None")</f>
        <v>rg:None</v>
      </c>
      <c r="O94" s="5" t="str">
        <f>IF(Table2[[#This Row],[!Type]]=O$1, O$1,"rg:None")</f>
        <v>rg:None</v>
      </c>
      <c r="P94" s="5" t="str">
        <f>IF(Table2[[#This Row],[!Type]]=P$1, P$1,"rg:None")</f>
        <v>rg:None</v>
      </c>
      <c r="Q94" s="10" t="str">
        <f>IF(LEN(Table2[[#This Row],[!Length]]) &gt; 0, Table2[[#This Row],[!Length]], "rg:None")</f>
        <v>rg:None</v>
      </c>
      <c r="R94" s="10" t="str">
        <f>IF(LEN(Table2[[#This Row],[!Name]]) &gt; 0, Table2[[#This Row],[!Name]], "rg:None")</f>
        <v>id</v>
      </c>
      <c r="S94" s="10" t="str">
        <f>IF(LEN(Table2[[#This Row],[!Description]]) &gt; 0, Table2[[#This Row],[!Description]], "rg:None")</f>
        <v>Primary Key</v>
      </c>
      <c r="T94" s="10" t="str">
        <f>IF(LEN(Table2[[#This Row],[!FK]])&gt;0,Table2[[#This Row],[!FK]],"rg:None")</f>
        <v>rg:None</v>
      </c>
      <c r="U94" s="10" t="str">
        <f>IF(LEN(concatif2(A:A,Table2[[#This Row],[!Table]],G:G,"Y",D:D,",")) &gt; 0,"rg:[ { 'req' : '"&amp;concatif2(A:A,Table2[[#This Row],[!Table]],G:G,"Y",D:D,"' }, { 'req': '")&amp;"'} ]","rg:[]")</f>
        <v>rg:[ { 'req' : 'id'} ]</v>
      </c>
    </row>
    <row r="95" spans="1:21" x14ac:dyDescent="0.3">
      <c r="A95" s="26" t="s">
        <v>287</v>
      </c>
      <c r="B95" s="3" t="s">
        <v>10</v>
      </c>
      <c r="C95" s="3"/>
      <c r="D95" s="26" t="s">
        <v>320</v>
      </c>
      <c r="E95" s="29" t="s">
        <v>54</v>
      </c>
      <c r="F95" s="3" t="s">
        <v>7</v>
      </c>
      <c r="G95" s="4"/>
      <c r="H95" s="5" t="str">
        <f>IF(LEN(A95) &gt; 0,"Defs","-")</f>
        <v>Defs</v>
      </c>
      <c r="I95" t="str">
        <f>IF(Table2[[#This Row],[!Type]]=I$1, I$1,"rg:None")</f>
        <v>rg:None</v>
      </c>
      <c r="J95" t="str">
        <f>IF(Table2[[#This Row],[!Type]]=J$1, J$1,"rg:None")</f>
        <v>rg:None</v>
      </c>
      <c r="K95" t="str">
        <f>IF(Table2[[#This Row],[!Type]]=K$1, K$1,"rg:None")</f>
        <v>rg:None</v>
      </c>
      <c r="L95" s="10" t="str">
        <f>IF(Table2[[#This Row],[!Type]]=L$1, L$1,"rg:None")</f>
        <v>rg:None</v>
      </c>
      <c r="M95" s="5" t="str">
        <f>IF(Table2[[#This Row],[!Type]]=M$1, M$1,"rg:None")</f>
        <v>rg:None</v>
      </c>
      <c r="N95" s="5" t="str">
        <f>IF(Table2[[#This Row],[!Type]]=N$1, N$1,"rg:None")</f>
        <v>rg:None</v>
      </c>
      <c r="O95" s="5" t="str">
        <f>IF(Table2[[#This Row],[!Type]]=O$1, O$1,"rg:None")</f>
        <v>string</v>
      </c>
      <c r="P95" s="5" t="str">
        <f>IF(Table2[[#This Row],[!Type]]=P$1, P$1,"rg:None")</f>
        <v>rg:None</v>
      </c>
      <c r="Q95" s="10" t="str">
        <f>IF(LEN(Table2[[#This Row],[!Length]]) &gt; 0, Table2[[#This Row],[!Length]], "rg:None")</f>
        <v>rg:None</v>
      </c>
      <c r="R95" s="10" t="str">
        <f>IF(LEN(Table2[[#This Row],[!Name]]) &gt; 0, Table2[[#This Row],[!Name]], "rg:None")</f>
        <v>noteText</v>
      </c>
      <c r="S95" s="10" t="str">
        <f>IF(LEN(Table2[[#This Row],[!Description]]) &gt; 0, Table2[[#This Row],[!Description]], "rg:None")</f>
        <v>The contents of the note.</v>
      </c>
      <c r="T95" s="10" t="str">
        <f>IF(LEN(Table2[[#This Row],[!FK]])&gt;0,Table2[[#This Row],[!FK]],"rg:None")</f>
        <v>rg:None</v>
      </c>
      <c r="U95" s="10" t="str">
        <f>IF(LEN(concatif2(A:A,Table2[[#This Row],[!Table]],G:G,"Y",D:D,",")) &gt; 0,"rg:[ { 'req' : '"&amp;concatif2(A:A,Table2[[#This Row],[!Table]],G:G,"Y",D:D,"' }, { 'req': '")&amp;"'} ]","rg:[]")</f>
        <v>rg:[ { 'req' : 'id'} ]</v>
      </c>
    </row>
    <row r="96" spans="1:21" x14ac:dyDescent="0.3">
      <c r="A96" s="26" t="s">
        <v>287</v>
      </c>
      <c r="B96" s="3" t="s">
        <v>21</v>
      </c>
      <c r="C96" s="3"/>
      <c r="D96" s="3" t="s">
        <v>55</v>
      </c>
      <c r="E96" s="30" t="s">
        <v>293</v>
      </c>
      <c r="F96" s="3" t="s">
        <v>7</v>
      </c>
      <c r="G96" s="4"/>
      <c r="H96" s="5" t="str">
        <f>IF(LEN(A96) &gt; 0,"Defs","-")</f>
        <v>Defs</v>
      </c>
      <c r="I96" t="str">
        <f>IF(Table2[[#This Row],[!Type]]=I$1, I$1,"rg:None")</f>
        <v>boolean</v>
      </c>
      <c r="J96" t="str">
        <f>IF(Table2[[#This Row],[!Type]]=J$1, J$1,"rg:None")</f>
        <v>rg:None</v>
      </c>
      <c r="K96" t="str">
        <f>IF(Table2[[#This Row],[!Type]]=K$1, K$1,"rg:None")</f>
        <v>rg:None</v>
      </c>
      <c r="L96" s="10" t="str">
        <f>IF(Table2[[#This Row],[!Type]]=L$1, L$1,"rg:None")</f>
        <v>rg:None</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isNoLongerRelevant</v>
      </c>
      <c r="S96" s="10" t="str">
        <f>IF(LEN(Table2[[#This Row],[!Description]]) &gt; 0, Table2[[#This Row],[!Description]], "rg:None")</f>
        <v>A user set flag that the note is no longer relevant. Allows the note to be retained for historical reasons,  but identified to other users as no longer applicable.</v>
      </c>
      <c r="T96" s="10" t="str">
        <f>IF(LEN(Table2[[#This Row],[!FK]])&gt;0,Table2[[#This Row],[!FK]],"rg:None")</f>
        <v>rg:None</v>
      </c>
      <c r="U96" s="10" t="str">
        <f>IF(LEN(concatif2(A:A,Table2[[#This Row],[!Table]],G:G,"Y",D:D,",")) &gt; 0,"rg:[ { 'req' : '"&amp;concatif2(A:A,Table2[[#This Row],[!Table]],G:G,"Y",D:D,"' }, { 'req': '")&amp;"'} ]","rg:[]")</f>
        <v>rg:[ { 'req' : 'id'} ]</v>
      </c>
    </row>
    <row r="97" spans="1:21" x14ac:dyDescent="0.3">
      <c r="A97" s="26" t="s">
        <v>289</v>
      </c>
      <c r="B97" s="3" t="s">
        <v>5</v>
      </c>
      <c r="C97" s="3"/>
      <c r="D97" s="26" t="s">
        <v>289</v>
      </c>
      <c r="E97" s="30" t="s">
        <v>294</v>
      </c>
      <c r="F97" s="3" t="s">
        <v>7</v>
      </c>
      <c r="G97" s="4"/>
      <c r="H97" s="5" t="str">
        <f>IF(LEN(A97) &gt; 0,"Defs","-")</f>
        <v>Defs</v>
      </c>
      <c r="I97" t="str">
        <f>IF(Table2[[#This Row],[!Type]]=I$1, I$1,"rg:None")</f>
        <v>rg:None</v>
      </c>
      <c r="J97" t="str">
        <f>IF(Table2[[#This Row],[!Type]]=J$1, J$1,"rg:None")</f>
        <v>rg:None</v>
      </c>
      <c r="K97" t="str">
        <f>IF(Table2[[#This Row],[!Type]]=K$1, K$1,"rg:None")</f>
        <v>rg:None</v>
      </c>
      <c r="L97" s="10" t="str">
        <f>IF(Table2[[#This Row],[!Type]]=L$1, L$1,"rg:None")</f>
        <v>rg:None</v>
      </c>
      <c r="M97" s="5" t="str">
        <f>IF(Table2[[#This Row],[!Type]]=M$1, M$1,"rg:None")</f>
        <v>rg:None</v>
      </c>
      <c r="N97" s="5" t="str">
        <f>IF(Table2[[#This Row],[!Type]]=N$1, N$1,"rg:None")</f>
        <v>rg:None</v>
      </c>
      <c r="O97" s="5" t="str">
        <f>IF(Table2[[#This Row],[!Type]]=O$1, O$1,"rg:None")</f>
        <v>rg:None</v>
      </c>
      <c r="P97" s="5" t="str">
        <f>IF(Table2[[#This Row],[!Type]]=P$1, P$1,"rg:None")</f>
        <v>table</v>
      </c>
      <c r="Q97" s="10" t="str">
        <f>IF(LEN(Table2[[#This Row],[!Length]]) &gt; 0, Table2[[#This Row],[!Length]], "rg:None")</f>
        <v>rg:None</v>
      </c>
      <c r="R97" s="10" t="str">
        <f>IF(LEN(Table2[[#This Row],[!Name]]) &gt; 0, Table2[[#This Row],[!Name]], "rg:None")</f>
        <v>Attachment</v>
      </c>
      <c r="S97" s="10" t="str">
        <f>IF(LEN(Table2[[#This Row],[!Description]]) &gt; 0, Table2[[#This Row],[!Description]], "rg:None")</f>
        <v>Attachments uploaded by users about instance of entities - e.g. School Buses and School Bus Owners</v>
      </c>
      <c r="T97" s="10" t="str">
        <f>IF(LEN(Table2[[#This Row],[!FK]])&gt;0,Table2[[#This Row],[!FK]],"rg:None")</f>
        <v>rg:None</v>
      </c>
      <c r="U97" s="10" t="str">
        <f>IF(LEN(concatif2(A:A,Table2[[#This Row],[!Table]],G:G,"Y",D:D,",")) &gt; 0,"rg:[ { 'req' : '"&amp;concatif2(A:A,Table2[[#This Row],[!Table]],G:G,"Y",D:D,"' }, { 'req': '")&amp;"'} ]","rg:[]")</f>
        <v>rg:[ { 'req' : 'id'} ]</v>
      </c>
    </row>
    <row r="98" spans="1:21" x14ac:dyDescent="0.3">
      <c r="A98" s="26" t="s">
        <v>289</v>
      </c>
      <c r="B98" s="3" t="s">
        <v>8</v>
      </c>
      <c r="C98" s="3"/>
      <c r="D98" s="3" t="s">
        <v>8</v>
      </c>
      <c r="E98" s="29" t="s">
        <v>9</v>
      </c>
      <c r="F98" s="3" t="s">
        <v>7</v>
      </c>
      <c r="G98" s="4" t="s">
        <v>179</v>
      </c>
      <c r="H98" s="5" t="str">
        <f>IF(LEN(A98) &gt; 0,"Defs","-")</f>
        <v>Defs</v>
      </c>
      <c r="I98" t="str">
        <f>IF(Table2[[#This Row],[!Type]]=I$1, I$1,"rg:None")</f>
        <v>rg:None</v>
      </c>
      <c r="J98" t="str">
        <f>IF(Table2[[#This Row],[!Type]]=J$1, J$1,"rg:None")</f>
        <v>rg:None</v>
      </c>
      <c r="K98" t="str">
        <f>IF(Table2[[#This Row],[!Type]]=K$1, K$1,"rg:None")</f>
        <v>id</v>
      </c>
      <c r="L98" s="10" t="str">
        <f>IF(Table2[[#This Row],[!Type]]=L$1, L$1,"rg:None")</f>
        <v>rg:None</v>
      </c>
      <c r="M98" s="5" t="str">
        <f>IF(Table2[[#This Row],[!Type]]=M$1, M$1,"rg:None")</f>
        <v>rg:None</v>
      </c>
      <c r="N98" s="5" t="str">
        <f>IF(Table2[[#This Row],[!Type]]=N$1, N$1,"rg:None")</f>
        <v>rg:None</v>
      </c>
      <c r="O98" s="5" t="str">
        <f>IF(Table2[[#This Row],[!Type]]=O$1, O$1,"rg:None")</f>
        <v>rg:None</v>
      </c>
      <c r="P98" s="5" t="str">
        <f>IF(Table2[[#This Row],[!Type]]=P$1, P$1,"rg:None")</f>
        <v>rg:None</v>
      </c>
      <c r="Q98" s="10" t="str">
        <f>IF(LEN(Table2[[#This Row],[!Length]]) &gt; 0, Table2[[#This Row],[!Length]], "rg:None")</f>
        <v>rg:None</v>
      </c>
      <c r="R98" s="10" t="str">
        <f>IF(LEN(Table2[[#This Row],[!Name]]) &gt; 0, Table2[[#This Row],[!Name]], "rg:None")</f>
        <v>id</v>
      </c>
      <c r="S98" s="10" t="str">
        <f>IF(LEN(Table2[[#This Row],[!Description]]) &gt; 0, Table2[[#This Row],[!Description]], "rg:None")</f>
        <v>Primary Key</v>
      </c>
      <c r="T98" s="10" t="str">
        <f>IF(LEN(Table2[[#This Row],[!FK]])&gt;0,Table2[[#This Row],[!FK]],"rg:None")</f>
        <v>rg:None</v>
      </c>
      <c r="U98" s="10" t="str">
        <f>IF(LEN(concatif2(A:A,Table2[[#This Row],[!Table]],G:G,"Y",D:D,",")) &gt; 0,"rg:[ { 'req' : '"&amp;concatif2(A:A,Table2[[#This Row],[!Table]],G:G,"Y",D:D,"' }, { 'req': '")&amp;"'} ]","rg:[]")</f>
        <v>rg:[ { 'req' : 'id'} ]</v>
      </c>
    </row>
    <row r="99" spans="1:21" x14ac:dyDescent="0.3">
      <c r="A99" s="26" t="s">
        <v>289</v>
      </c>
      <c r="B99" s="3" t="s">
        <v>10</v>
      </c>
      <c r="C99" s="3"/>
      <c r="D99" s="3" t="s">
        <v>58</v>
      </c>
      <c r="E99" s="29" t="s">
        <v>59</v>
      </c>
      <c r="F99" s="3" t="s">
        <v>7</v>
      </c>
      <c r="G99" s="4"/>
      <c r="H99" s="5" t="str">
        <f>IF(LEN(A99) &gt; 0,"Defs","-")</f>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internalFileName</v>
      </c>
      <c r="S99" s="10" t="str">
        <f>IF(LEN(Table2[[#This Row],[!Description]]) &gt; 0, Table2[[#This Row],[!Description]], "rg:None")</f>
        <v>The physical location of the attachment on the file system.</v>
      </c>
      <c r="T99" s="10" t="str">
        <f>IF(LEN(Table2[[#This Row],[!FK]])&gt;0,Table2[[#This Row],[!FK]],"rg:None")</f>
        <v>rg:None</v>
      </c>
      <c r="U99" s="10" t="str">
        <f>IF(LEN(concatif2(A:A,Table2[[#This Row],[!Table]],G:G,"Y",D:D,",")) &gt; 0,"rg:[ { 'req' : '"&amp;concatif2(A:A,Table2[[#This Row],[!Table]],G:G,"Y",D:D,"' }, { 'req': '")&amp;"'} ]","rg:[]")</f>
        <v>rg:[ { 'req' : 'id'} ]</v>
      </c>
    </row>
    <row r="100" spans="1:21" x14ac:dyDescent="0.3">
      <c r="A100" s="26" t="s">
        <v>289</v>
      </c>
      <c r="B100" s="3" t="s">
        <v>10</v>
      </c>
      <c r="C100" s="3"/>
      <c r="D100" s="3" t="s">
        <v>60</v>
      </c>
      <c r="E100" s="29" t="s">
        <v>61</v>
      </c>
      <c r="F100" s="3" t="s">
        <v>7</v>
      </c>
      <c r="G100" s="4"/>
      <c r="H100" s="5" t="str">
        <f>IF(LEN(A100) &gt; 0,"Defs","-")</f>
        <v>Defs</v>
      </c>
      <c r="I100" t="str">
        <f>IF(Table2[[#This Row],[!Type]]=I$1, I$1,"rg:None")</f>
        <v>rg:None</v>
      </c>
      <c r="J100" t="str">
        <f>IF(Table2[[#This Row],[!Type]]=J$1, J$1,"rg:None")</f>
        <v>rg:None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string</v>
      </c>
      <c r="P100" s="5" t="str">
        <f>IF(Table2[[#This Row],[!Type]]=P$1, P$1,"rg:None")</f>
        <v>rg:None</v>
      </c>
      <c r="Q100" s="10" t="str">
        <f>IF(LEN(Table2[[#This Row],[!Length]]) &gt; 0, Table2[[#This Row],[!Length]], "rg:None")</f>
        <v>rg:None</v>
      </c>
      <c r="R100" s="10" t="str">
        <f>IF(LEN(Table2[[#This Row],[!Name]]) &gt; 0, Table2[[#This Row],[!Name]], "rg:None")</f>
        <v>externalFileName</v>
      </c>
      <c r="S100" s="10" t="str">
        <f>IF(LEN(Table2[[#This Row],[!Description]]) &gt; 0, Table2[[#This Row],[!Description]], "rg:None")</f>
        <v>The name of the attachment as defined by the user in uploading the document.</v>
      </c>
      <c r="T100" s="10" t="str">
        <f>IF(LEN(Table2[[#This Row],[!FK]])&gt;0,Table2[[#This Row],[!FK]],"rg:None")</f>
        <v>rg:None</v>
      </c>
      <c r="U100" s="10" t="str">
        <f>IF(LEN(concatif2(A:A,Table2[[#This Row],[!Table]],G:G,"Y",D:D,",")) &gt; 0,"rg:[ { 'req' : '"&amp;concatif2(A:A,Table2[[#This Row],[!Table]],G:G,"Y",D:D,"' }, { 'req': '")&amp;"'} ]","rg:[]")</f>
        <v>rg:[ { 'req' : 'id'} ]</v>
      </c>
    </row>
    <row r="101" spans="1:21" x14ac:dyDescent="0.3">
      <c r="A101" s="26" t="s">
        <v>289</v>
      </c>
      <c r="B101" s="3" t="s">
        <v>10</v>
      </c>
      <c r="C101" s="3"/>
      <c r="D101" s="3" t="s">
        <v>62</v>
      </c>
      <c r="E101" s="29" t="s">
        <v>63</v>
      </c>
      <c r="F101" s="3" t="s">
        <v>7</v>
      </c>
      <c r="G101" s="4"/>
      <c r="H101" s="5" t="str">
        <f>IF(LEN(A101) &gt; 0,"Defs","-")</f>
        <v>Defs</v>
      </c>
      <c r="I101" t="str">
        <f>IF(Table2[[#This Row],[!Type]]=I$1, I$1,"rg:None")</f>
        <v>rg:None</v>
      </c>
      <c r="J101" t="str">
        <f>IF(Table2[[#This Row],[!Type]]=J$1, J$1,"rg:None")</f>
        <v>rg:None</v>
      </c>
      <c r="K101" t="str">
        <f>IF(Table2[[#This Row],[!Type]]=K$1, K$1,"rg:None")</f>
        <v>rg:None</v>
      </c>
      <c r="L101" s="10" t="str">
        <f>IF(Table2[[#This Row],[!Type]]=L$1, L$1,"rg:None")</f>
        <v>rg:None</v>
      </c>
      <c r="M101" s="5" t="str">
        <f>IF(Table2[[#This Row],[!Type]]=M$1, M$1,"rg:None")</f>
        <v>rg:None</v>
      </c>
      <c r="N101" s="5" t="str">
        <f>IF(Table2[[#This Row],[!Type]]=N$1, N$1,"rg:None")</f>
        <v>rg:None</v>
      </c>
      <c r="O101" s="5" t="str">
        <f>IF(Table2[[#This Row],[!Type]]=O$1, O$1,"rg:None")</f>
        <v>string</v>
      </c>
      <c r="P101" s="5" t="str">
        <f>IF(Table2[[#This Row],[!Type]]=P$1, P$1,"rg:None")</f>
        <v>rg:None</v>
      </c>
      <c r="Q101" s="10" t="str">
        <f>IF(LEN(Table2[[#This Row],[!Length]]) &gt; 0, Table2[[#This Row],[!Length]], "rg:None")</f>
        <v>rg:None</v>
      </c>
      <c r="R101" s="10" t="str">
        <f>IF(LEN(Table2[[#This Row],[!Name]]) &gt; 0, Table2[[#This Row],[!Name]], "rg:None")</f>
        <v>description</v>
      </c>
      <c r="S101" s="10" t="str">
        <f>IF(LEN(Table2[[#This Row],[!Description]]) &gt; 0, Table2[[#This Row],[!Description]], "rg:None")</f>
        <v>A note about the attachment,  optionally maintained by the user.</v>
      </c>
      <c r="T101" s="10" t="str">
        <f>IF(LEN(Table2[[#This Row],[!FK]])&gt;0,Table2[[#This Row],[!FK]],"rg:None")</f>
        <v>rg:None</v>
      </c>
      <c r="U101" s="10" t="str">
        <f>IF(LEN(concatif2(A:A,Table2[[#This Row],[!Table]],G:G,"Y",D:D,",")) &gt; 0,"rg:[ { 'req' : '"&amp;concatif2(A:A,Table2[[#This Row],[!Table]],G:G,"Y",D:D,"' }, { 'req': '")&amp;"'} ]","rg:[]")</f>
        <v>rg:[ { 'req' : 'id'} ]</v>
      </c>
    </row>
    <row r="102" spans="1:21" x14ac:dyDescent="0.3">
      <c r="A102" s="26" t="s">
        <v>291</v>
      </c>
      <c r="B102" s="3" t="s">
        <v>5</v>
      </c>
      <c r="C102" s="3"/>
      <c r="D102" s="26" t="s">
        <v>291</v>
      </c>
      <c r="E102" s="30" t="s">
        <v>295</v>
      </c>
      <c r="F102" s="3" t="s">
        <v>7</v>
      </c>
      <c r="G102" s="4"/>
      <c r="H102" s="5" t="str">
        <f>IF(LEN(A102) &gt; 0,"Defs","-")</f>
        <v>Defs</v>
      </c>
      <c r="I102" t="str">
        <f>IF(Table2[[#This Row],[!Type]]=I$1, I$1,"rg:None")</f>
        <v>rg:None</v>
      </c>
      <c r="J102" t="str">
        <f>IF(Table2[[#This Row],[!Type]]=J$1, J$1,"rg:None")</f>
        <v>rg:None</v>
      </c>
      <c r="K102" t="str">
        <f>IF(Table2[[#This Row],[!Type]]=K$1, K$1,"rg:None")</f>
        <v>rg:None</v>
      </c>
      <c r="L102" s="10" t="str">
        <f>IF(Table2[[#This Row],[!Type]]=L$1, L$1,"rg:None")</f>
        <v>rg:None</v>
      </c>
      <c r="M102" s="5" t="str">
        <f>IF(Table2[[#This Row],[!Type]]=M$1, M$1,"rg:None")</f>
        <v>rg:None</v>
      </c>
      <c r="N102" s="5" t="str">
        <f>IF(Table2[[#This Row],[!Type]]=N$1, N$1,"rg:None")</f>
        <v>rg:None</v>
      </c>
      <c r="O102" s="5" t="str">
        <f>IF(Table2[[#This Row],[!Type]]=O$1, O$1,"rg:None")</f>
        <v>rg:None</v>
      </c>
      <c r="P102" s="5" t="str">
        <f>IF(Table2[[#This Row],[!Type]]=P$1, P$1,"rg:None")</f>
        <v>table</v>
      </c>
      <c r="Q102" s="10" t="str">
        <f>IF(LEN(Table2[[#This Row],[!Length]]) &gt; 0, Table2[[#This Row],[!Length]], "rg:None")</f>
        <v>rg:None</v>
      </c>
      <c r="R102" s="10" t="str">
        <f>IF(LEN(Table2[[#This Row],[!Name]]) &gt; 0, Table2[[#This Row],[!Name]], "rg:None")</f>
        <v>History</v>
      </c>
      <c r="S102" s="10" t="str">
        <f>IF(LEN(Table2[[#This Row],[!Description]]) &gt; 0, Table2[[#This Row],[!Description]], "rg:None")</f>
        <v>The history of updates made to an entity - e.g. a School Bus or a School Bus Owner</v>
      </c>
      <c r="T102" s="10" t="str">
        <f>IF(LEN(Table2[[#This Row],[!FK]])&gt;0,Table2[[#This Row],[!FK]],"rg:None")</f>
        <v>rg:None</v>
      </c>
      <c r="U102" s="10" t="str">
        <f>IF(LEN(concatif2(A:A,Table2[[#This Row],[!Table]],G:G,"Y",D:D,",")) &gt; 0,"rg:[ { 'req' : '"&amp;concatif2(A:A,Table2[[#This Row],[!Table]],G:G,"Y",D:D,"' }, { 'req': '")&amp;"'} ]","rg:[]")</f>
        <v>rg:[ { 'req' : 'id'} ]</v>
      </c>
    </row>
    <row r="103" spans="1:21" x14ac:dyDescent="0.3">
      <c r="A103" s="26" t="s">
        <v>291</v>
      </c>
      <c r="B103" s="3" t="s">
        <v>8</v>
      </c>
      <c r="C103" s="3"/>
      <c r="D103" s="3" t="s">
        <v>8</v>
      </c>
      <c r="E103" s="29" t="s">
        <v>9</v>
      </c>
      <c r="F103" s="3" t="s">
        <v>7</v>
      </c>
      <c r="G103" s="4" t="s">
        <v>179</v>
      </c>
      <c r="H103" s="5" t="str">
        <f>IF(LEN(A103) &gt; 0,"Defs","-")</f>
        <v>Defs</v>
      </c>
      <c r="I103" t="str">
        <f>IF(Table2[[#This Row],[!Type]]=I$1, I$1,"rg:None")</f>
        <v>rg:None</v>
      </c>
      <c r="J103" t="str">
        <f>IF(Table2[[#This Row],[!Type]]=J$1, J$1,"rg:None")</f>
        <v>rg:None</v>
      </c>
      <c r="K103" t="str">
        <f>IF(Table2[[#This Row],[!Type]]=K$1, K$1,"rg:None")</f>
        <v>id</v>
      </c>
      <c r="L103" s="10" t="str">
        <f>IF(Table2[[#This Row],[!Type]]=L$1, L$1,"rg:None")</f>
        <v>rg:None</v>
      </c>
      <c r="M103" s="5" t="str">
        <f>IF(Table2[[#This Row],[!Type]]=M$1, M$1,"rg:None")</f>
        <v>rg:None</v>
      </c>
      <c r="N103" s="5" t="str">
        <f>IF(Table2[[#This Row],[!Type]]=N$1, N$1,"rg:None")</f>
        <v>rg:None</v>
      </c>
      <c r="O103" s="5" t="str">
        <f>IF(Table2[[#This Row],[!Type]]=O$1, O$1,"rg:None")</f>
        <v>rg:None</v>
      </c>
      <c r="P103" s="5" t="str">
        <f>IF(Table2[[#This Row],[!Type]]=P$1, P$1,"rg:None")</f>
        <v>rg:None</v>
      </c>
      <c r="Q103" s="10" t="str">
        <f>IF(LEN(Table2[[#This Row],[!Length]]) &gt; 0, Table2[[#This Row],[!Length]], "rg:None")</f>
        <v>rg:None</v>
      </c>
      <c r="R103" s="10" t="str">
        <f>IF(LEN(Table2[[#This Row],[!Name]]) &gt; 0, Table2[[#This Row],[!Name]], "rg:None")</f>
        <v>id</v>
      </c>
      <c r="S103" s="10" t="str">
        <f>IF(LEN(Table2[[#This Row],[!Description]]) &gt; 0, Table2[[#This Row],[!Description]], "rg:None")</f>
        <v>Primary Key</v>
      </c>
      <c r="T103" s="10" t="str">
        <f>IF(LEN(Table2[[#This Row],[!FK]])&gt;0,Table2[[#This Row],[!FK]],"rg:None")</f>
        <v>rg:None</v>
      </c>
      <c r="U103" s="10" t="str">
        <f>IF(LEN(concatif2(A:A,Table2[[#This Row],[!Table]],G:G,"Y",D:D,",")) &gt; 0,"rg:[ { 'req' : '"&amp;concatif2(A:A,Table2[[#This Row],[!Table]],G:G,"Y",D:D,"' }, { 'req': '")&amp;"'} ]","rg:[]")</f>
        <v>rg:[ { 'req' : 'id'} ]</v>
      </c>
    </row>
    <row r="104" spans="1:21" x14ac:dyDescent="0.3">
      <c r="A104" s="26" t="s">
        <v>291</v>
      </c>
      <c r="B104" s="26" t="s">
        <v>10</v>
      </c>
      <c r="C104" s="3"/>
      <c r="D104" s="26" t="s">
        <v>321</v>
      </c>
      <c r="E104" s="30" t="s">
        <v>296</v>
      </c>
      <c r="F104" s="3"/>
      <c r="G104" s="4"/>
      <c r="H104" s="5" t="str">
        <f>IF(LEN(A104) &gt; 0,"Defs","-")</f>
        <v>Defs</v>
      </c>
      <c r="I104" t="str">
        <f>IF(Table2[[#This Row],[!Type]]=I$1, I$1,"rg:None")</f>
        <v>rg:None</v>
      </c>
      <c r="J104" t="str">
        <f>IF(Table2[[#This Row],[!Type]]=J$1, J$1,"rg:None")</f>
        <v>rg:None</v>
      </c>
      <c r="K104" t="str">
        <f>IF(Table2[[#This Row],[!Type]]=K$1, K$1,"rg:None")</f>
        <v>rg:None</v>
      </c>
      <c r="L104" s="10" t="str">
        <f>IF(Table2[[#This Row],[!Type]]=L$1, L$1,"rg:None")</f>
        <v>rg:None</v>
      </c>
      <c r="M104" s="5" t="str">
        <f>IF(Table2[[#This Row],[!Type]]=M$1, M$1,"rg:None")</f>
        <v>rg:None</v>
      </c>
      <c r="N104" s="5" t="str">
        <f>IF(Table2[[#This Row],[!Type]]=N$1, N$1,"rg:None")</f>
        <v>rg:None</v>
      </c>
      <c r="O104" s="5" t="str">
        <f>IF(Table2[[#This Row],[!Type]]=O$1, O$1,"rg:None")</f>
        <v>string</v>
      </c>
      <c r="P104" s="5" t="str">
        <f>IF(Table2[[#This Row],[!Type]]=P$1, P$1,"rg:None")</f>
        <v>rg:None</v>
      </c>
      <c r="Q104" s="10" t="str">
        <f>IF(LEN(Table2[[#This Row],[!Length]]) &gt; 0, Table2[[#This Row],[!Length]], "rg:None")</f>
        <v>rg:None</v>
      </c>
      <c r="R104" s="10" t="str">
        <f>IF(LEN(Table2[[#This Row],[!Name]]) &gt; 0, Table2[[#This Row],[!Name]], "rg:None")</f>
        <v>historyText</v>
      </c>
      <c r="S104" s="10" t="str">
        <f>IF(LEN(Table2[[#This Row],[!Description]]) &gt; 0, Table2[[#This Row],[!Description]], "rg:None")</f>
        <v>The text of the history entry tracked against the related entity.</v>
      </c>
      <c r="T104" s="10" t="str">
        <f>IF(LEN(Table2[[#This Row],[!FK]])&gt;0,Table2[[#This Row],[!FK]],"rg:None")</f>
        <v>rg:None</v>
      </c>
      <c r="U104" s="10" t="str">
        <f>IF(LEN(concatif2(A:A,Table2[[#This Row],[!Table]],G:G,"Y",D:D,",")) &gt; 0,"rg:[ { 'req' : '"&amp;concatif2(A:A,Table2[[#This Row],[!Table]],G:G,"Y",D:D,"' }, { 'req': '")&amp;"'} ]","rg:[]")</f>
        <v>rg:[ { 'req' : 'id'} ]</v>
      </c>
    </row>
    <row r="105" spans="1:21" x14ac:dyDescent="0.3">
      <c r="A105" s="26" t="s">
        <v>297</v>
      </c>
      <c r="B105" s="3" t="s">
        <v>5</v>
      </c>
      <c r="C105" s="3"/>
      <c r="D105" s="26" t="s">
        <v>297</v>
      </c>
      <c r="E105" s="29" t="s">
        <v>7</v>
      </c>
      <c r="F105" s="3" t="s">
        <v>7</v>
      </c>
      <c r="G105" s="4"/>
      <c r="H105" s="5" t="str">
        <f>IF(LEN(A105) &gt; 0,"Defs","-")</f>
        <v>Defs</v>
      </c>
      <c r="I105" t="str">
        <f>IF(Table2[[#This Row],[!Type]]=I$1, I$1,"rg:None")</f>
        <v>rg:None</v>
      </c>
      <c r="J105" t="str">
        <f>IF(Table2[[#This Row],[!Type]]=J$1, J$1,"rg:None")</f>
        <v>rg:None</v>
      </c>
      <c r="K105" t="str">
        <f>IF(Table2[[#This Row],[!Type]]=K$1, K$1,"rg:None")</f>
        <v>rg:None</v>
      </c>
      <c r="L105" s="10" t="str">
        <f>IF(Table2[[#This Row],[!Type]]=L$1, L$1,"rg:None")</f>
        <v>rg:None</v>
      </c>
      <c r="M105" s="5" t="str">
        <f>IF(Table2[[#This Row],[!Type]]=M$1, M$1,"rg:None")</f>
        <v>rg:None</v>
      </c>
      <c r="N105" s="5" t="str">
        <f>IF(Table2[[#This Row],[!Type]]=N$1, N$1,"rg:None")</f>
        <v>rg:None</v>
      </c>
      <c r="O105" s="5" t="str">
        <f>IF(Table2[[#This Row],[!Type]]=O$1, O$1,"rg:None")</f>
        <v>rg:None</v>
      </c>
      <c r="P105" s="5" t="str">
        <f>IF(Table2[[#This Row],[!Type]]=P$1, P$1,"rg:None")</f>
        <v>table</v>
      </c>
      <c r="Q105" s="10" t="str">
        <f>IF(LEN(Table2[[#This Row],[!Length]]) &gt; 0, Table2[[#This Row],[!Length]], "rg:None")</f>
        <v>rg:None</v>
      </c>
      <c r="R105" s="10" t="str">
        <f>IF(LEN(Table2[[#This Row],[!Name]]) &gt; 0, Table2[[#This Row],[!Name]], "rg:None")</f>
        <v>Contact</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26" t="s">
        <v>297</v>
      </c>
      <c r="B106" s="3" t="s">
        <v>8</v>
      </c>
      <c r="C106" s="3"/>
      <c r="D106" s="3" t="s">
        <v>8</v>
      </c>
      <c r="E106" s="29" t="s">
        <v>9</v>
      </c>
      <c r="F106" s="3" t="s">
        <v>7</v>
      </c>
      <c r="G106" s="4" t="s">
        <v>179</v>
      </c>
      <c r="H106" s="5" t="str">
        <f>IF(LEN(A106) &gt; 0,"Defs","-")</f>
        <v>Defs</v>
      </c>
      <c r="I106" t="str">
        <f>IF(Table2[[#This Row],[!Type]]=I$1, I$1,"rg:None")</f>
        <v>rg:None</v>
      </c>
      <c r="J106" t="str">
        <f>IF(Table2[[#This Row],[!Type]]=J$1, J$1,"rg:None")</f>
        <v>rg:None</v>
      </c>
      <c r="K106" t="str">
        <f>IF(Table2[[#This Row],[!Type]]=K$1, K$1,"rg:None")</f>
        <v>id</v>
      </c>
      <c r="L106" s="10" t="str">
        <f>IF(Table2[[#This Row],[!Type]]=L$1, L$1,"rg:None")</f>
        <v>rg:None</v>
      </c>
      <c r="M106" s="5" t="str">
        <f>IF(Table2[[#This Row],[!Type]]=M$1, M$1,"rg:None")</f>
        <v>rg:None</v>
      </c>
      <c r="N106" s="5" t="str">
        <f>IF(Table2[[#This Row],[!Type]]=N$1, N$1,"rg:None")</f>
        <v>rg:None</v>
      </c>
      <c r="O106" s="5" t="str">
        <f>IF(Table2[[#This Row],[!Type]]=O$1, O$1,"rg:None")</f>
        <v>rg:None</v>
      </c>
      <c r="P106" s="5" t="str">
        <f>IF(Table2[[#This Row],[!Type]]=P$1, P$1,"rg:None")</f>
        <v>rg:None</v>
      </c>
      <c r="Q106" s="10" t="str">
        <f>IF(LEN(Table2[[#This Row],[!Length]]) &gt; 0, Table2[[#This Row],[!Length]], "rg:None")</f>
        <v>rg:None</v>
      </c>
      <c r="R106" s="10" t="str">
        <f>IF(LEN(Table2[[#This Row],[!Name]]) &gt; 0, Table2[[#This Row],[!Name]], "rg:None")</f>
        <v>id</v>
      </c>
      <c r="S106" s="10" t="str">
        <f>IF(LEN(Table2[[#This Row],[!Description]]) &gt; 0, Table2[[#This Row],[!Description]], "rg:None")</f>
        <v>Primary Key</v>
      </c>
      <c r="T106" s="10" t="str">
        <f>IF(LEN(Table2[[#This Row],[!FK]])&gt;0,Table2[[#This Row],[!FK]],"rg:None")</f>
        <v>rg:None</v>
      </c>
      <c r="U106" s="10" t="str">
        <f>IF(LEN(concatif2(A:A,Table2[[#This Row],[!Table]],G:G,"Y",D:D,",")) &gt; 0,"rg:[ { 'req' : '"&amp;concatif2(A:A,Table2[[#This Row],[!Table]],G:G,"Y",D:D,"' }, { 'req': '")&amp;"'} ]","rg:[]")</f>
        <v>rg:[ { 'req' : 'id'} ]</v>
      </c>
    </row>
    <row r="107" spans="1:21" x14ac:dyDescent="0.3">
      <c r="A107" s="26" t="s">
        <v>297</v>
      </c>
      <c r="B107" s="3" t="s">
        <v>10</v>
      </c>
      <c r="C107" s="3"/>
      <c r="D107" s="3" t="s">
        <v>77</v>
      </c>
      <c r="E107" s="29" t="s">
        <v>78</v>
      </c>
      <c r="F107" s="3" t="s">
        <v>7</v>
      </c>
      <c r="G107" s="4"/>
      <c r="H107" s="5" t="str">
        <f>IF(LEN(A107) &gt; 0,"Defs","-")</f>
        <v>Defs</v>
      </c>
      <c r="I107" t="str">
        <f>IF(Table2[[#This Row],[!Type]]=I$1, I$1,"rg:None")</f>
        <v>rg:None</v>
      </c>
      <c r="J107" t="str">
        <f>IF(Table2[[#This Row],[!Type]]=J$1, J$1,"rg:None")</f>
        <v>rg:None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string</v>
      </c>
      <c r="P107" s="5" t="str">
        <f>IF(Table2[[#This Row],[!Type]]=P$1, P$1,"rg:None")</f>
        <v>rg:None</v>
      </c>
      <c r="Q107" s="10" t="str">
        <f>IF(LEN(Table2[[#This Row],[!Length]]) &gt; 0, Table2[[#This Row],[!Length]], "rg:None")</f>
        <v>rg:None</v>
      </c>
      <c r="R107" s="10" t="str">
        <f>IF(LEN(Table2[[#This Row],[!Name]]) &gt; 0, Table2[[#This Row],[!Name]], "rg:None")</f>
        <v>givenName</v>
      </c>
      <c r="S107" s="10" t="str">
        <f>IF(LEN(Table2[[#This Row],[!Description]]) &gt; 0, Table2[[#This Row],[!Description]], "rg:None")</f>
        <v>The given name of the contact.</v>
      </c>
      <c r="T107" s="10" t="str">
        <f>IF(LEN(Table2[[#This Row],[!FK]])&gt;0,Table2[[#This Row],[!FK]],"rg:None")</f>
        <v>rg:None</v>
      </c>
      <c r="U107" s="10" t="str">
        <f>IF(LEN(concatif2(A:A,Table2[[#This Row],[!Table]],G:G,"Y",D:D,",")) &gt; 0,"rg:[ { 'req' : '"&amp;concatif2(A:A,Table2[[#This Row],[!Table]],G:G,"Y",D:D,"' }, { 'req': '")&amp;"'} ]","rg:[]")</f>
        <v>rg:[ { 'req' : 'id'} ]</v>
      </c>
    </row>
    <row r="108" spans="1:21" x14ac:dyDescent="0.3">
      <c r="A108" s="26" t="s">
        <v>297</v>
      </c>
      <c r="B108" s="3" t="s">
        <v>10</v>
      </c>
      <c r="C108" s="3"/>
      <c r="D108" s="3" t="s">
        <v>79</v>
      </c>
      <c r="E108" s="29" t="s">
        <v>80</v>
      </c>
      <c r="F108" s="3" t="s">
        <v>7</v>
      </c>
      <c r="G108" s="4"/>
      <c r="H108" s="5" t="str">
        <f>IF(LEN(A108) &gt; 0,"Defs","-")</f>
        <v>Defs</v>
      </c>
      <c r="I108" t="str">
        <f>IF(Table2[[#This Row],[!Type]]=I$1, I$1,"rg:None")</f>
        <v>rg:None</v>
      </c>
      <c r="J108" t="str">
        <f>IF(Table2[[#This Row],[!Type]]=J$1, J$1,"rg:None")</f>
        <v>rg:None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string</v>
      </c>
      <c r="P108" s="5" t="str">
        <f>IF(Table2[[#This Row],[!Type]]=P$1, P$1,"rg:None")</f>
        <v>rg:None</v>
      </c>
      <c r="Q108" s="10" t="str">
        <f>IF(LEN(Table2[[#This Row],[!Length]]) &gt; 0, Table2[[#This Row],[!Length]], "rg:None")</f>
        <v>rg:None</v>
      </c>
      <c r="R108" s="10" t="str">
        <f>IF(LEN(Table2[[#This Row],[!Name]]) &gt; 0, Table2[[#This Row],[!Name]], "rg:None")</f>
        <v>surname</v>
      </c>
      <c r="S108" s="10" t="str">
        <f>IF(LEN(Table2[[#This Row],[!Description]]) &gt; 0, Table2[[#This Row],[!Description]], "rg:None")</f>
        <v>The surname of the contact.</v>
      </c>
      <c r="T108" s="10" t="str">
        <f>IF(LEN(Table2[[#This Row],[!FK]])&gt;0,Table2[[#This Row],[!FK]],"rg:None")</f>
        <v>rg:None</v>
      </c>
      <c r="U108" s="10" t="str">
        <f>IF(LEN(concatif2(A:A,Table2[[#This Row],[!Table]],G:G,"Y",D:D,",")) &gt; 0,"rg:[ { 'req' : '"&amp;concatif2(A:A,Table2[[#This Row],[!Table]],G:G,"Y",D:D,"' }, { 'req': '")&amp;"'} ]","rg:[]")</f>
        <v>rg:[ { 'req' : 'id'} ]</v>
      </c>
    </row>
    <row r="109" spans="1:21" x14ac:dyDescent="0.3">
      <c r="A109" s="26" t="s">
        <v>297</v>
      </c>
      <c r="B109" s="3" t="s">
        <v>10</v>
      </c>
      <c r="C109" s="3"/>
      <c r="D109" s="3" t="s">
        <v>81</v>
      </c>
      <c r="E109" s="29" t="s">
        <v>82</v>
      </c>
      <c r="F109" s="3" t="s">
        <v>7</v>
      </c>
      <c r="G109" s="4"/>
      <c r="H109" s="5" t="str">
        <f>IF(LEN(A109) &gt; 0,"Defs","-")</f>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role</v>
      </c>
      <c r="S109" s="10" t="str">
        <f>IF(LEN(Table2[[#This Row],[!Description]]) &gt; 0, Table2[[#This Row],[!Description]], "rg:None")</f>
        <v>The role of the contact. UI controlled as to whether it is free form or selected from an enumerated list.</v>
      </c>
      <c r="T109" s="10" t="str">
        <f>IF(LEN(Table2[[#This Row],[!FK]])&gt;0,Table2[[#This Row],[!FK]],"rg:None")</f>
        <v>rg:None</v>
      </c>
      <c r="U109" s="10" t="str">
        <f>IF(LEN(concatif2(A:A,Table2[[#This Row],[!Table]],G:G,"Y",D:D,",")) &gt; 0,"rg:[ { 'req' : '"&amp;concatif2(A:A,Table2[[#This Row],[!Table]],G:G,"Y",D:D,"' }, { 'req': '")&amp;"'} ]","rg:[]")</f>
        <v>rg:[ { 'req' : 'id'} ]</v>
      </c>
    </row>
    <row r="110" spans="1:21" x14ac:dyDescent="0.3">
      <c r="A110" s="26" t="s">
        <v>297</v>
      </c>
      <c r="B110" s="3" t="s">
        <v>10</v>
      </c>
      <c r="C110" s="3"/>
      <c r="D110" s="3" t="s">
        <v>83</v>
      </c>
      <c r="E110" s="30" t="s">
        <v>322</v>
      </c>
      <c r="F110" s="3" t="s">
        <v>7</v>
      </c>
      <c r="G110" s="4"/>
      <c r="H110" s="5" t="str">
        <f>IF(LEN(A110) &gt; 0,"Defs","-")</f>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notes</v>
      </c>
      <c r="S110" s="10" t="str">
        <f>IF(LEN(Table2[[#This Row],[!Description]]) &gt; 0, Table2[[#This Row],[!Description]], "rg:None")</f>
        <v>A note about the contact maintained by the users.</v>
      </c>
      <c r="T110" s="10" t="str">
        <f>IF(LEN(Table2[[#This Row],[!FK]])&gt;0,Table2[[#This Row],[!FK]],"rg:None")</f>
        <v>rg:None</v>
      </c>
      <c r="U110" s="10" t="str">
        <f>IF(LEN(concatif2(A:A,Table2[[#This Row],[!Table]],G:G,"Y",D:D,",")) &gt; 0,"rg:[ { 'req' : '"&amp;concatif2(A:A,Table2[[#This Row],[!Table]],G:G,"Y",D:D,"' }, { 'req': '")&amp;"'} ]","rg:[]")</f>
        <v>rg:[ { 'req' : 'id'} ]</v>
      </c>
    </row>
    <row r="111" spans="1:21" x14ac:dyDescent="0.3">
      <c r="A111" s="26" t="s">
        <v>297</v>
      </c>
      <c r="B111" s="3" t="s">
        <v>84</v>
      </c>
      <c r="C111" s="3"/>
      <c r="D111" s="26" t="s">
        <v>298</v>
      </c>
      <c r="E111" s="29" t="s">
        <v>7</v>
      </c>
      <c r="F111" s="26" t="s">
        <v>301</v>
      </c>
      <c r="G111" s="4"/>
      <c r="H111" s="5" t="str">
        <f>IF(LEN(A111) &gt; 0,"Defs","-")</f>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links</v>
      </c>
      <c r="N111" s="5" t="str">
        <f>IF(Table2[[#This Row],[!Type]]=N$1, N$1,"rg:None")</f>
        <v>rg:None</v>
      </c>
      <c r="O111" s="5" t="str">
        <f>IF(Table2[[#This Row],[!Type]]=O$1, O$1,"rg:None")</f>
        <v>rg:None</v>
      </c>
      <c r="P111" s="5" t="str">
        <f>IF(Table2[[#This Row],[!Type]]=P$1, P$1,"rg:None")</f>
        <v>rg:None</v>
      </c>
      <c r="Q111" s="10" t="str">
        <f>IF(LEN(Table2[[#This Row],[!Length]]) &gt; 0, Table2[[#This Row],[!Length]], "rg:None")</f>
        <v>rg:None</v>
      </c>
      <c r="R111" s="10" t="str">
        <f>IF(LEN(Table2[[#This Row],[!Name]]) &gt; 0, Table2[[#This Row],[!Name]], "rg:None")</f>
        <v>contactPhones</v>
      </c>
      <c r="S111" s="10" t="str">
        <f>IF(LEN(Table2[[#This Row],[!Description]]) &gt; 0, Table2[[#This Row],[!Description]], "rg:None")</f>
        <v>rg:None</v>
      </c>
      <c r="T111" s="10" t="str">
        <f>IF(LEN(Table2[[#This Row],[!FK]])&gt;0,Table2[[#This Row],[!FK]],"rg:None")</f>
        <v>ContactPhone</v>
      </c>
      <c r="U111" s="10" t="str">
        <f>IF(LEN(concatif2(A:A,Table2[[#This Row],[!Table]],G:G,"Y",D:D,",")) &gt; 0,"rg:[ { 'req' : '"&amp;concatif2(A:A,Table2[[#This Row],[!Table]],G:G,"Y",D:D,"' }, { 'req': '")&amp;"'} ]","rg:[]")</f>
        <v>rg:[ { 'req' : 'id'} ]</v>
      </c>
    </row>
    <row r="112" spans="1:21" x14ac:dyDescent="0.3">
      <c r="A112" s="26" t="s">
        <v>297</v>
      </c>
      <c r="B112" s="3" t="s">
        <v>84</v>
      </c>
      <c r="C112" s="3"/>
      <c r="D112" s="26" t="s">
        <v>299</v>
      </c>
      <c r="E112" s="29" t="s">
        <v>7</v>
      </c>
      <c r="F112" s="26" t="s">
        <v>300</v>
      </c>
      <c r="G112" s="4"/>
      <c r="H112" s="5" t="str">
        <f>IF(LEN(A112) &gt; 0,"Defs","-")</f>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links</v>
      </c>
      <c r="N112" s="5" t="str">
        <f>IF(Table2[[#This Row],[!Type]]=N$1, N$1,"rg:None")</f>
        <v>rg:None</v>
      </c>
      <c r="O112" s="5" t="str">
        <f>IF(Table2[[#This Row],[!Type]]=O$1, O$1,"rg:None")</f>
        <v>rg:None</v>
      </c>
      <c r="P112" s="5" t="str">
        <f>IF(Table2[[#This Row],[!Type]]=P$1, P$1,"rg:None")</f>
        <v>rg:None</v>
      </c>
      <c r="Q112" s="10" t="str">
        <f>IF(LEN(Table2[[#This Row],[!Length]]) &gt; 0, Table2[[#This Row],[!Length]], "rg:None")</f>
        <v>rg:None</v>
      </c>
      <c r="R112" s="10" t="str">
        <f>IF(LEN(Table2[[#This Row],[!Name]]) &gt; 0, Table2[[#This Row],[!Name]], "rg:None")</f>
        <v>contactAddresses</v>
      </c>
      <c r="S112" s="10" t="str">
        <f>IF(LEN(Table2[[#This Row],[!Description]]) &gt; 0, Table2[[#This Row],[!Description]], "rg:None")</f>
        <v>rg:None</v>
      </c>
      <c r="T112" s="10" t="str">
        <f>IF(LEN(Table2[[#This Row],[!FK]])&gt;0,Table2[[#This Row],[!FK]],"rg:None")</f>
        <v>ContactAddress</v>
      </c>
      <c r="U112" s="10" t="str">
        <f>IF(LEN(concatif2(A:A,Table2[[#This Row],[!Table]],G:G,"Y",D:D,",")) &gt; 0,"rg:[ { 'req' : '"&amp;concatif2(A:A,Table2[[#This Row],[!Table]],G:G,"Y",D:D,"' }, { 'req': '")&amp;"'} ]","rg:[]")</f>
        <v>rg:[ { 'req' : 'id'} ]</v>
      </c>
    </row>
    <row r="113" spans="1:21" x14ac:dyDescent="0.3">
      <c r="A113" s="26" t="s">
        <v>301</v>
      </c>
      <c r="B113" s="3" t="s">
        <v>5</v>
      </c>
      <c r="C113" s="3"/>
      <c r="D113" s="26" t="s">
        <v>301</v>
      </c>
      <c r="E113" s="29" t="s">
        <v>7</v>
      </c>
      <c r="F113" s="3" t="s">
        <v>7</v>
      </c>
      <c r="G113" s="4"/>
      <c r="H113" s="5" t="str">
        <f>IF(LEN(A113) &gt; 0,"Defs","-")</f>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rg:None</v>
      </c>
      <c r="P113" s="5" t="str">
        <f>IF(Table2[[#This Row],[!Type]]=P$1, P$1,"rg:None")</f>
        <v>table</v>
      </c>
      <c r="Q113" s="10" t="str">
        <f>IF(LEN(Table2[[#This Row],[!Length]]) &gt; 0, Table2[[#This Row],[!Length]], "rg:None")</f>
        <v>rg:None</v>
      </c>
      <c r="R113" s="10" t="str">
        <f>IF(LEN(Table2[[#This Row],[!Name]]) &gt; 0, Table2[[#This Row],[!Name]], "rg:None")</f>
        <v>ContactPhone</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26" t="s">
        <v>301</v>
      </c>
      <c r="B114" s="3" t="s">
        <v>8</v>
      </c>
      <c r="C114" s="3"/>
      <c r="D114" s="3" t="s">
        <v>8</v>
      </c>
      <c r="E114" s="29" t="s">
        <v>9</v>
      </c>
      <c r="F114" s="3" t="s">
        <v>7</v>
      </c>
      <c r="G114" s="4" t="s">
        <v>179</v>
      </c>
      <c r="H114" s="5" t="str">
        <f>IF(LEN(A114) &gt; 0,"Defs","-")</f>
        <v>Defs</v>
      </c>
      <c r="I114" t="str">
        <f>IF(Table2[[#This Row],[!Type]]=I$1, I$1,"rg:None")</f>
        <v>rg:None</v>
      </c>
      <c r="J114" t="str">
        <f>IF(Table2[[#This Row],[!Type]]=J$1, J$1,"rg:None")</f>
        <v>rg:None</v>
      </c>
      <c r="K114" t="str">
        <f>IF(Table2[[#This Row],[!Type]]=K$1, K$1,"rg:None")</f>
        <v>id</v>
      </c>
      <c r="L114" s="10" t="str">
        <f>IF(Table2[[#This Row],[!Type]]=L$1, L$1,"rg:None")</f>
        <v>rg:None</v>
      </c>
      <c r="M114" s="5" t="str">
        <f>IF(Table2[[#This Row],[!Type]]=M$1, M$1,"rg:None")</f>
        <v>rg:None</v>
      </c>
      <c r="N114" s="5" t="str">
        <f>IF(Table2[[#This Row],[!Type]]=N$1, N$1,"rg:None")</f>
        <v>rg:None</v>
      </c>
      <c r="O114" s="5" t="str">
        <f>IF(Table2[[#This Row],[!Type]]=O$1, O$1,"rg:None")</f>
        <v>rg:None</v>
      </c>
      <c r="P114" s="5" t="str">
        <f>IF(Table2[[#This Row],[!Type]]=P$1, P$1,"rg:None")</f>
        <v>rg:None</v>
      </c>
      <c r="Q114" s="10" t="str">
        <f>IF(LEN(Table2[[#This Row],[!Length]]) &gt; 0, Table2[[#This Row],[!Length]], "rg:None")</f>
        <v>rg:None</v>
      </c>
      <c r="R114" s="10" t="str">
        <f>IF(LEN(Table2[[#This Row],[!Name]]) &gt; 0, Table2[[#This Row],[!Name]], "rg:None")</f>
        <v>id</v>
      </c>
      <c r="S114" s="10" t="str">
        <f>IF(LEN(Table2[[#This Row],[!Description]]) &gt; 0, Table2[[#This Row],[!Description]], "rg:None")</f>
        <v>Primary Key</v>
      </c>
      <c r="T114" s="10" t="str">
        <f>IF(LEN(Table2[[#This Row],[!FK]])&gt;0,Table2[[#This Row],[!FK]],"rg:None")</f>
        <v>rg:None</v>
      </c>
      <c r="U114" s="10" t="str">
        <f>IF(LEN(concatif2(A:A,Table2[[#This Row],[!Table]],G:G,"Y",D:D,",")) &gt; 0,"rg:[ { 'req' : '"&amp;concatif2(A:A,Table2[[#This Row],[!Table]],G:G,"Y",D:D,"' }, { 'req': '")&amp;"'} ]","rg:[]")</f>
        <v>rg:[ { 'req' : 'id'} ]</v>
      </c>
    </row>
    <row r="115" spans="1:21" x14ac:dyDescent="0.3">
      <c r="A115" s="26" t="s">
        <v>301</v>
      </c>
      <c r="B115" s="3" t="s">
        <v>10</v>
      </c>
      <c r="C115" s="3"/>
      <c r="D115" s="3" t="s">
        <v>85</v>
      </c>
      <c r="E115" s="29" t="s">
        <v>86</v>
      </c>
      <c r="F115" s="3" t="s">
        <v>7</v>
      </c>
      <c r="G115" s="4"/>
      <c r="H115" s="5" t="str">
        <f>IF(LEN(A115) &gt; 0,"Defs","-")</f>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type</v>
      </c>
      <c r="S115" s="10" t="str">
        <f>IF(LEN(Table2[[#This Row],[!Description]]) &gt; 0, Table2[[#This Row],[!Description]], "rg:None")</f>
        <v>The type of the phone number. UI controlled as to whether it is free form or selected from an enumerated list.</v>
      </c>
      <c r="T115" s="10" t="str">
        <f>IF(LEN(Table2[[#This Row],[!FK]])&gt;0,Table2[[#This Row],[!FK]],"rg:None")</f>
        <v>rg:None</v>
      </c>
      <c r="U115" s="10" t="str">
        <f>IF(LEN(concatif2(A:A,Table2[[#This Row],[!Table]],G:G,"Y",D:D,",")) &gt; 0,"rg:[ { 'req' : '"&amp;concatif2(A:A,Table2[[#This Row],[!Table]],G:G,"Y",D:D,"' }, { 'req': '")&amp;"'} ]","rg:[]")</f>
        <v>rg:[ { 'req' : 'id'} ]</v>
      </c>
    </row>
    <row r="116" spans="1:21" x14ac:dyDescent="0.3">
      <c r="A116" s="26" t="s">
        <v>301</v>
      </c>
      <c r="B116" s="3" t="s">
        <v>10</v>
      </c>
      <c r="C116" s="3"/>
      <c r="D116" s="3" t="s">
        <v>87</v>
      </c>
      <c r="E116" s="29" t="s">
        <v>88</v>
      </c>
      <c r="F116" s="3" t="s">
        <v>7</v>
      </c>
      <c r="G116" s="4"/>
      <c r="H116" s="5" t="str">
        <f>IF(LEN(A116) &gt; 0,"Defs","-")</f>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phoneNumber</v>
      </c>
      <c r="S116" s="10" t="str">
        <f>IF(LEN(Table2[[#This Row],[!Description]]) &gt; 0, Table2[[#This Row],[!Description]], "rg:None")</f>
        <v>The phone number of the contact. Entered as free form to support a range of formats.</v>
      </c>
      <c r="T116" s="10" t="str">
        <f>IF(LEN(Table2[[#This Row],[!FK]])&gt;0,Table2[[#This Row],[!FK]],"rg:None")</f>
        <v>rg:None</v>
      </c>
      <c r="U116" s="10" t="str">
        <f>IF(LEN(concatif2(A:A,Table2[[#This Row],[!Table]],G:G,"Y",D:D,",")) &gt; 0,"rg:[ { 'req' : '"&amp;concatif2(A:A,Table2[[#This Row],[!Table]],G:G,"Y",D:D,"' }, { 'req': '")&amp;"'} ]","rg:[]")</f>
        <v>rg:[ { 'req' : 'id'} ]</v>
      </c>
    </row>
    <row r="117" spans="1:21" x14ac:dyDescent="0.3">
      <c r="A117" s="26" t="s">
        <v>300</v>
      </c>
      <c r="B117" s="3" t="s">
        <v>5</v>
      </c>
      <c r="C117" s="3"/>
      <c r="D117" s="26" t="s">
        <v>300</v>
      </c>
      <c r="E117" s="29" t="s">
        <v>7</v>
      </c>
      <c r="F117" s="3" t="s">
        <v>7</v>
      </c>
      <c r="G117" s="4"/>
      <c r="H117" s="5" t="str">
        <f>IF(LEN(A117) &gt; 0,"Defs","-")</f>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rg:None</v>
      </c>
      <c r="P117" s="5" t="str">
        <f>IF(Table2[[#This Row],[!Type]]=P$1, P$1,"rg:None")</f>
        <v>table</v>
      </c>
      <c r="Q117" s="10" t="str">
        <f>IF(LEN(Table2[[#This Row],[!Length]]) &gt; 0, Table2[[#This Row],[!Length]], "rg:None")</f>
        <v>rg:None</v>
      </c>
      <c r="R117" s="10" t="str">
        <f>IF(LEN(Table2[[#This Row],[!Name]]) &gt; 0, Table2[[#This Row],[!Name]], "rg:None")</f>
        <v>ContactAddress</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26" t="s">
        <v>300</v>
      </c>
      <c r="B118" s="3" t="s">
        <v>8</v>
      </c>
      <c r="C118" s="3"/>
      <c r="D118" s="3" t="s">
        <v>8</v>
      </c>
      <c r="E118" s="29" t="s">
        <v>9</v>
      </c>
      <c r="F118" s="3" t="s">
        <v>7</v>
      </c>
      <c r="G118" s="4" t="s">
        <v>179</v>
      </c>
      <c r="H118" s="5" t="str">
        <f>IF(LEN(A118) &gt; 0,"Defs","-")</f>
        <v>Defs</v>
      </c>
      <c r="I118" t="str">
        <f>IF(Table2[[#This Row],[!Type]]=I$1, I$1,"rg:None")</f>
        <v>rg:None</v>
      </c>
      <c r="J118" t="str">
        <f>IF(Table2[[#This Row],[!Type]]=J$1, J$1,"rg:None")</f>
        <v>rg:None</v>
      </c>
      <c r="K118" t="str">
        <f>IF(Table2[[#This Row],[!Type]]=K$1, K$1,"rg:None")</f>
        <v>id</v>
      </c>
      <c r="L118" s="10" t="str">
        <f>IF(Table2[[#This Row],[!Type]]=L$1, L$1,"rg:None")</f>
        <v>rg:None</v>
      </c>
      <c r="M118" s="5" t="str">
        <f>IF(Table2[[#This Row],[!Type]]=M$1, M$1,"rg:None")</f>
        <v>rg:None</v>
      </c>
      <c r="N118" s="5" t="str">
        <f>IF(Table2[[#This Row],[!Type]]=N$1, N$1,"rg:None")</f>
        <v>rg:None</v>
      </c>
      <c r="O118" s="5" t="str">
        <f>IF(Table2[[#This Row],[!Type]]=O$1, O$1,"rg:None")</f>
        <v>rg:None</v>
      </c>
      <c r="P118" s="5" t="str">
        <f>IF(Table2[[#This Row],[!Type]]=P$1, P$1,"rg:None")</f>
        <v>rg:None</v>
      </c>
      <c r="Q118" s="10" t="str">
        <f>IF(LEN(Table2[[#This Row],[!Length]]) &gt; 0, Table2[[#This Row],[!Length]], "rg:None")</f>
        <v>rg:None</v>
      </c>
      <c r="R118" s="10" t="str">
        <f>IF(LEN(Table2[[#This Row],[!Name]]) &gt; 0, Table2[[#This Row],[!Name]], "rg:None")</f>
        <v>id</v>
      </c>
      <c r="S118" s="10" t="str">
        <f>IF(LEN(Table2[[#This Row],[!Description]]) &gt; 0, Table2[[#This Row],[!Description]], "rg:None")</f>
        <v>Primary Key</v>
      </c>
      <c r="T118" s="10" t="str">
        <f>IF(LEN(Table2[[#This Row],[!FK]])&gt;0,Table2[[#This Row],[!FK]],"rg:None")</f>
        <v>rg:None</v>
      </c>
      <c r="U118" s="10" t="str">
        <f>IF(LEN(concatif2(A:A,Table2[[#This Row],[!Table]],G:G,"Y",D:D,",")) &gt; 0,"rg:[ { 'req' : '"&amp;concatif2(A:A,Table2[[#This Row],[!Table]],G:G,"Y",D:D,"' }, { 'req': '")&amp;"'} ]","rg:[]")</f>
        <v>rg:[ { 'req' : 'id'} ]</v>
      </c>
    </row>
    <row r="119" spans="1:21" x14ac:dyDescent="0.3">
      <c r="A119" s="26" t="s">
        <v>300</v>
      </c>
      <c r="B119" s="3" t="s">
        <v>10</v>
      </c>
      <c r="C119" s="3"/>
      <c r="D119" s="3" t="s">
        <v>85</v>
      </c>
      <c r="E119" s="29" t="s">
        <v>89</v>
      </c>
      <c r="F119" s="3" t="s">
        <v>7</v>
      </c>
      <c r="G119" s="4"/>
      <c r="H119" s="5" t="str">
        <f>IF(LEN(A119) &gt; 0,"Defs","-")</f>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type</v>
      </c>
      <c r="S119" s="10" t="str">
        <f>IF(LEN(Table2[[#This Row],[!Description]]) &gt; 0, Table2[[#This Row],[!Description]], "rg:None")</f>
        <v>The type of the address. UI controlled as to whether it is free form or selected from an enumerated list.</v>
      </c>
      <c r="T119" s="10" t="str">
        <f>IF(LEN(Table2[[#This Row],[!FK]])&gt;0,Table2[[#This Row],[!FK]],"rg:None")</f>
        <v>rg:None</v>
      </c>
      <c r="U119" s="10" t="str">
        <f>IF(LEN(concatif2(A:A,Table2[[#This Row],[!Table]],G:G,"Y",D:D,",")) &gt; 0,"rg:[ { 'req' : '"&amp;concatif2(A:A,Table2[[#This Row],[!Table]],G:G,"Y",D:D,"' }, { 'req': '")&amp;"'} ]","rg:[]")</f>
        <v>rg:[ { 'req' : 'id'} ]</v>
      </c>
    </row>
    <row r="120" spans="1:21" x14ac:dyDescent="0.3">
      <c r="A120" s="26" t="s">
        <v>300</v>
      </c>
      <c r="B120" s="3" t="s">
        <v>10</v>
      </c>
      <c r="C120" s="3"/>
      <c r="D120" s="26" t="s">
        <v>323</v>
      </c>
      <c r="E120" s="29" t="s">
        <v>90</v>
      </c>
      <c r="F120" s="3" t="s">
        <v>7</v>
      </c>
      <c r="G120" s="4"/>
      <c r="H120" s="5" t="str">
        <f>IF(LEN(A120) &gt; 0,"Defs","-")</f>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address1</v>
      </c>
      <c r="S120" s="10" t="str">
        <f>IF(LEN(Table2[[#This Row],[!Description]]) &gt; 0, Table2[[#This Row],[!Description]], "rg:None")</f>
        <v>Address 1 line of the address.</v>
      </c>
      <c r="T120" s="10" t="str">
        <f>IF(LEN(Table2[[#This Row],[!FK]])&gt;0,Table2[[#This Row],[!FK]],"rg:None")</f>
        <v>rg:None</v>
      </c>
      <c r="U120" s="10" t="str">
        <f>IF(LEN(concatif2(A:A,Table2[[#This Row],[!Table]],G:G,"Y",D:D,",")) &gt; 0,"rg:[ { 'req' : '"&amp;concatif2(A:A,Table2[[#This Row],[!Table]],G:G,"Y",D:D,"' }, { 'req': '")&amp;"'} ]","rg:[]")</f>
        <v>rg:[ { 'req' : 'id'} ]</v>
      </c>
    </row>
    <row r="121" spans="1:21" x14ac:dyDescent="0.3">
      <c r="A121" s="26" t="s">
        <v>300</v>
      </c>
      <c r="B121" s="3" t="s">
        <v>10</v>
      </c>
      <c r="C121" s="3"/>
      <c r="D121" s="26" t="s">
        <v>324</v>
      </c>
      <c r="E121" s="29" t="s">
        <v>91</v>
      </c>
      <c r="F121" s="3" t="s">
        <v>7</v>
      </c>
      <c r="G121" s="4"/>
      <c r="H121" s="5" t="str">
        <f>IF(LEN(A121) &gt; 0,"Defs","-")</f>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address2</v>
      </c>
      <c r="S121" s="10" t="str">
        <f>IF(LEN(Table2[[#This Row],[!Description]]) &gt; 0, Table2[[#This Row],[!Description]], "rg:None")</f>
        <v>Address 2 line of the address.</v>
      </c>
      <c r="T121" s="10" t="str">
        <f>IF(LEN(Table2[[#This Row],[!FK]])&gt;0,Table2[[#This Row],[!FK]],"rg:None")</f>
        <v>rg:None</v>
      </c>
      <c r="U121" s="10" t="str">
        <f>IF(LEN(concatif2(A:A,Table2[[#This Row],[!Table]],G:G,"Y",D:D,",")) &gt; 0,"rg:[ { 'req' : '"&amp;concatif2(A:A,Table2[[#This Row],[!Table]],G:G,"Y",D:D,"' }, { 'req': '")&amp;"'} ]","rg:[]")</f>
        <v>rg:[ { 'req' : 'id'} ]</v>
      </c>
    </row>
    <row r="122" spans="1:21" x14ac:dyDescent="0.3">
      <c r="A122" s="26" t="s">
        <v>300</v>
      </c>
      <c r="B122" s="3" t="s">
        <v>10</v>
      </c>
      <c r="C122" s="3"/>
      <c r="D122" s="3" t="s">
        <v>92</v>
      </c>
      <c r="E122" s="29" t="s">
        <v>93</v>
      </c>
      <c r="F122" s="3" t="s">
        <v>7</v>
      </c>
      <c r="G122" s="4"/>
      <c r="H122" s="5" t="str">
        <f>IF(LEN(A122) &gt; 0,"Defs","-")</f>
        <v>Defs</v>
      </c>
      <c r="I122" t="str">
        <f>IF(Table2[[#This Row],[!Type]]=I$1, I$1,"rg:None")</f>
        <v>rg:None</v>
      </c>
      <c r="J122" t="str">
        <f>IF(Table2[[#This Row],[!Type]]=J$1, J$1,"rg:None")</f>
        <v>rg:None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string</v>
      </c>
      <c r="P122" s="5" t="str">
        <f>IF(Table2[[#This Row],[!Type]]=P$1, P$1,"rg:None")</f>
        <v>rg:None</v>
      </c>
      <c r="Q122" s="10" t="str">
        <f>IF(LEN(Table2[[#This Row],[!Length]]) &gt; 0, Table2[[#This Row],[!Length]], "rg:None")</f>
        <v>rg:None</v>
      </c>
      <c r="R122" s="10" t="str">
        <f>IF(LEN(Table2[[#This Row],[!Name]]) &gt; 0, Table2[[#This Row],[!Name]], "rg:None")</f>
        <v>city</v>
      </c>
      <c r="S122" s="10" t="str">
        <f>IF(LEN(Table2[[#This Row],[!Description]]) &gt; 0, Table2[[#This Row],[!Description]], "rg:None")</f>
        <v>The City of the address.</v>
      </c>
      <c r="T122" s="10" t="str">
        <f>IF(LEN(Table2[[#This Row],[!FK]])&gt;0,Table2[[#This Row],[!FK]],"rg:None")</f>
        <v>rg:None</v>
      </c>
      <c r="U122" s="10" t="str">
        <f>IF(LEN(concatif2(A:A,Table2[[#This Row],[!Table]],G:G,"Y",D:D,",")) &gt; 0,"rg:[ { 'req' : '"&amp;concatif2(A:A,Table2[[#This Row],[!Table]],G:G,"Y",D:D,"' }, { 'req': '")&amp;"'} ]","rg:[]")</f>
        <v>rg:[ { 'req' : 'id'} ]</v>
      </c>
    </row>
    <row r="123" spans="1:21" x14ac:dyDescent="0.3">
      <c r="A123" s="26" t="s">
        <v>300</v>
      </c>
      <c r="B123" s="3" t="s">
        <v>10</v>
      </c>
      <c r="C123" s="3"/>
      <c r="D123" s="3" t="s">
        <v>94</v>
      </c>
      <c r="E123" s="29" t="s">
        <v>95</v>
      </c>
      <c r="F123" s="3" t="s">
        <v>7</v>
      </c>
      <c r="G123" s="4"/>
      <c r="H123" s="5" t="str">
        <f>IF(LEN(A123) &gt; 0,"Defs","-")</f>
        <v>Defs</v>
      </c>
      <c r="I123" t="str">
        <f>IF(Table2[[#This Row],[!Type]]=I$1, I$1,"rg:None")</f>
        <v>rg:None</v>
      </c>
      <c r="J123" t="str">
        <f>IF(Table2[[#This Row],[!Type]]=J$1, J$1,"rg:None")</f>
        <v>rg:None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string</v>
      </c>
      <c r="P123" s="5" t="str">
        <f>IF(Table2[[#This Row],[!Type]]=P$1, P$1,"rg:None")</f>
        <v>rg:None</v>
      </c>
      <c r="Q123" s="10" t="str">
        <f>IF(LEN(Table2[[#This Row],[!Length]]) &gt; 0, Table2[[#This Row],[!Length]], "rg:None")</f>
        <v>rg:None</v>
      </c>
      <c r="R123" s="10" t="str">
        <f>IF(LEN(Table2[[#This Row],[!Name]]) &gt; 0, Table2[[#This Row],[!Name]], "rg:None")</f>
        <v>province</v>
      </c>
      <c r="S123" s="10" t="str">
        <f>IF(LEN(Table2[[#This Row],[!Description]]) &gt; 0, Table2[[#This Row],[!Description]], "rg:None")</f>
        <v>The Province of the address.</v>
      </c>
      <c r="T123" s="10" t="str">
        <f>IF(LEN(Table2[[#This Row],[!FK]])&gt;0,Table2[[#This Row],[!FK]],"rg:None")</f>
        <v>rg:None</v>
      </c>
      <c r="U123" s="10" t="str">
        <f>IF(LEN(concatif2(A:A,Table2[[#This Row],[!Table]],G:G,"Y",D:D,",")) &gt; 0,"rg:[ { 'req' : '"&amp;concatif2(A:A,Table2[[#This Row],[!Table]],G:G,"Y",D:D,"' }, { 'req': '")&amp;"'} ]","rg:[]")</f>
        <v>rg:[ { 'req' : 'id'} ]</v>
      </c>
    </row>
    <row r="124" spans="1:21" x14ac:dyDescent="0.3">
      <c r="A124" s="26" t="s">
        <v>300</v>
      </c>
      <c r="B124" s="3" t="s">
        <v>10</v>
      </c>
      <c r="C124" s="3"/>
      <c r="D124" s="3" t="s">
        <v>96</v>
      </c>
      <c r="E124" s="29" t="s">
        <v>97</v>
      </c>
      <c r="F124" s="3" t="s">
        <v>7</v>
      </c>
      <c r="G124" s="4"/>
      <c r="H124" s="5" t="str">
        <f>IF(LEN(A124) &gt; 0,"Defs","-")</f>
        <v>Defs</v>
      </c>
      <c r="I124" t="str">
        <f>IF(Table2[[#This Row],[!Type]]=I$1, I$1,"rg:None")</f>
        <v>rg:None</v>
      </c>
      <c r="J124" t="str">
        <f>IF(Table2[[#This Row],[!Type]]=J$1, J$1,"rg:None")</f>
        <v>rg:None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string</v>
      </c>
      <c r="P124" s="5" t="str">
        <f>IF(Table2[[#This Row],[!Type]]=P$1, P$1,"rg:None")</f>
        <v>rg:None</v>
      </c>
      <c r="Q124" s="10" t="str">
        <f>IF(LEN(Table2[[#This Row],[!Length]]) &gt; 0, Table2[[#This Row],[!Length]], "rg:None")</f>
        <v>rg:None</v>
      </c>
      <c r="R124" s="10" t="str">
        <f>IF(LEN(Table2[[#This Row],[!Name]]) &gt; 0, Table2[[#This Row],[!Name]], "rg:None")</f>
        <v>postalCode</v>
      </c>
      <c r="S124" s="10" t="str">
        <f>IF(LEN(Table2[[#This Row],[!Description]]) &gt; 0, Table2[[#This Row],[!Description]], "rg:None")</f>
        <v>The postal code of the address.</v>
      </c>
      <c r="T124" s="10" t="str">
        <f>IF(LEN(Table2[[#This Row],[!FK]])&gt;0,Table2[[#This Row],[!FK]],"rg:None")</f>
        <v>rg:None</v>
      </c>
      <c r="U124" s="10" t="str">
        <f>IF(LEN(concatif2(A:A,Table2[[#This Row],[!Table]],G:G,"Y",D:D,",")) &gt; 0,"rg:[ { 'req' : '"&amp;concatif2(A:A,Table2[[#This Row],[!Table]],G:G,"Y",D:D,"' }, { 'req': '")&amp;"'} ]","rg:[]")</f>
        <v>rg:[ { 'req' : 'id'} ]</v>
      </c>
    </row>
    <row r="125" spans="1:21" x14ac:dyDescent="0.3">
      <c r="A125" s="3" t="s">
        <v>112</v>
      </c>
      <c r="B125" s="3" t="s">
        <v>5</v>
      </c>
      <c r="C125" s="3"/>
      <c r="D125" s="3" t="s">
        <v>112</v>
      </c>
      <c r="E125" s="29" t="s">
        <v>217</v>
      </c>
      <c r="F125" s="3" t="s">
        <v>7</v>
      </c>
      <c r="G125" s="4"/>
      <c r="H125" s="5" t="str">
        <f t="shared" si="3"/>
        <v>Defs</v>
      </c>
      <c r="I125" t="str">
        <f>IF(Table2[[#This Row],[!Type]]=I$1, I$1,"rg:None")</f>
        <v>rg:None</v>
      </c>
      <c r="J125" t="str">
        <f>IF(Table2[[#This Row],[!Type]]=J$1, J$1,"rg:None")</f>
        <v>rg:None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rg:None</v>
      </c>
      <c r="P125" s="5" t="str">
        <f>IF(Table2[[#This Row],[!Type]]=P$1, P$1,"rg:None")</f>
        <v>table</v>
      </c>
      <c r="Q125" s="10" t="str">
        <f>IF(LEN(Table2[[#This Row],[!Length]]) &gt; 0, Table2[[#This Row],[!Length]], "rg:None")</f>
        <v>rg:None</v>
      </c>
      <c r="R125" s="10" t="str">
        <f>IF(LEN(Table2[[#This Row],[!Name]]) &gt; 0, Table2[[#This Row],[!Name]], "rg:None")</f>
        <v>UserFavourite</v>
      </c>
      <c r="S125" s="10" t="str">
        <f>IF(LEN(Table2[[#This Row],[!Description]]) &gt; 0, Table2[[#This Row],[!Description]], "rg:None")</f>
        <v>User specific settings for a specific location in the UI. The location and saved settings are internally defined by the UI.</v>
      </c>
      <c r="T125" s="10" t="str">
        <f>IF(LEN(Table2[[#This Row],[!FK]])&gt;0,Table2[[#This Row],[!FK]],"rg:None")</f>
        <v>rg:None</v>
      </c>
      <c r="U125" s="10" t="str">
        <f>IF(LEN(concatif2(A:A,Table2[[#This Row],[!Table]],G:G,"Y",D:D,",")) &gt; 0,"rg:[ { 'req' : '"&amp;concatif2(A:A,Table2[[#This Row],[!Table]],G:G,"Y",D:D,"' }, { 'req': '")&amp;"'} ]","rg:[]")</f>
        <v>rg:[ { 'req' : 'id'} ]</v>
      </c>
    </row>
    <row r="126" spans="1:21" x14ac:dyDescent="0.3">
      <c r="A126" s="3" t="s">
        <v>112</v>
      </c>
      <c r="B126" s="3" t="s">
        <v>8</v>
      </c>
      <c r="C126" s="3"/>
      <c r="D126" s="3" t="s">
        <v>8</v>
      </c>
      <c r="E126" s="29" t="s">
        <v>9</v>
      </c>
      <c r="F126" s="3" t="s">
        <v>7</v>
      </c>
      <c r="G126" s="4" t="s">
        <v>179</v>
      </c>
      <c r="H126" s="5" t="str">
        <f t="shared" si="3"/>
        <v>Defs</v>
      </c>
      <c r="I126" t="str">
        <f>IF(Table2[[#This Row],[!Type]]=I$1, I$1,"rg:None")</f>
        <v>rg:None</v>
      </c>
      <c r="J126" t="str">
        <f>IF(Table2[[#This Row],[!Type]]=J$1, J$1,"rg:None")</f>
        <v>rg:None</v>
      </c>
      <c r="K126" t="str">
        <f>IF(Table2[[#This Row],[!Type]]=K$1, K$1,"rg:None")</f>
        <v>id</v>
      </c>
      <c r="L126" s="10" t="str">
        <f>IF(Table2[[#This Row],[!Type]]=L$1, L$1,"rg:None")</f>
        <v>rg:None</v>
      </c>
      <c r="M126" s="5" t="str">
        <f>IF(Table2[[#This Row],[!Type]]=M$1, M$1,"rg:None")</f>
        <v>rg:None</v>
      </c>
      <c r="N126" s="5" t="str">
        <f>IF(Table2[[#This Row],[!Type]]=N$1, N$1,"rg:None")</f>
        <v>rg:None</v>
      </c>
      <c r="O126" s="5" t="str">
        <f>IF(Table2[[#This Row],[!Type]]=O$1, O$1,"rg:None")</f>
        <v>rg:None</v>
      </c>
      <c r="P126" s="5" t="str">
        <f>IF(Table2[[#This Row],[!Type]]=P$1, P$1,"rg:None")</f>
        <v>rg:None</v>
      </c>
      <c r="Q126" s="10" t="str">
        <f>IF(LEN(Table2[[#This Row],[!Length]]) &gt; 0, Table2[[#This Row],[!Length]], "rg:None")</f>
        <v>rg:None</v>
      </c>
      <c r="R126" s="10" t="str">
        <f>IF(LEN(Table2[[#This Row],[!Name]]) &gt; 0, Table2[[#This Row],[!Name]], "rg:None")</f>
        <v>id</v>
      </c>
      <c r="S126" s="10" t="str">
        <f>IF(LEN(Table2[[#This Row],[!Description]]) &gt; 0, Table2[[#This Row],[!Description]], "rg:None")</f>
        <v>Primary Key</v>
      </c>
      <c r="T126" s="10" t="str">
        <f>IF(LEN(Table2[[#This Row],[!FK]])&gt;0,Table2[[#This Row],[!FK]],"rg:None")</f>
        <v>rg:None</v>
      </c>
      <c r="U126" s="10" t="str">
        <f>IF(LEN(concatif2(A:A,Table2[[#This Row],[!Table]],G:G,"Y",D:D,",")) &gt; 0,"rg:[ { 'req' : '"&amp;concatif2(A:A,Table2[[#This Row],[!Table]],G:G,"Y",D:D,"' }, { 'req': '")&amp;"'} ]","rg:[]")</f>
        <v>rg:[ { 'req' : 'id'} ]</v>
      </c>
    </row>
    <row r="127" spans="1:21" x14ac:dyDescent="0.3">
      <c r="A127" s="3" t="s">
        <v>112</v>
      </c>
      <c r="B127" s="3" t="s">
        <v>10</v>
      </c>
      <c r="C127" s="3"/>
      <c r="D127" s="20" t="s">
        <v>85</v>
      </c>
      <c r="E127" s="20" t="s">
        <v>280</v>
      </c>
      <c r="F127" s="6"/>
      <c r="G127" s="19"/>
      <c r="H127" s="4" t="str">
        <f>IF(LEN(A127) &gt; 0,"Defs","-")</f>
        <v>Defs</v>
      </c>
      <c r="I127" s="16" t="str">
        <f>IF(Table2[[#This Row],[!Type]]=I$1, I$1,"rg:None")</f>
        <v>rg:None</v>
      </c>
      <c r="J127" s="16" t="str">
        <f>IF(Table2[[#This Row],[!Type]]=J$1, J$1,"rg:None")</f>
        <v>rg:None</v>
      </c>
      <c r="K127" s="16" t="str">
        <f>IF(Table2[[#This Row],[!Type]]=K$1, K$1,"rg:None")</f>
        <v>rg:None</v>
      </c>
      <c r="L127" s="16" t="str">
        <f>IF(Table2[[#This Row],[!Type]]=L$1, L$1,"rg:None")</f>
        <v>rg:None</v>
      </c>
      <c r="M127" s="4" t="str">
        <f>IF(Table2[[#This Row],[!Type]]=M$1, M$1,"rg:None")</f>
        <v>rg:None</v>
      </c>
      <c r="N127" s="4" t="str">
        <f>IF(Table2[[#This Row],[!Type]]=N$1, N$1,"rg:None")</f>
        <v>rg:None</v>
      </c>
      <c r="O127" s="4" t="str">
        <f>IF(Table2[[#This Row],[!Type]]=O$1, O$1,"rg:None")</f>
        <v>string</v>
      </c>
      <c r="P127" s="4" t="str">
        <f>IF(Table2[[#This Row],[!Type]]=P$1, P$1,"rg:None")</f>
        <v>rg:None</v>
      </c>
      <c r="Q127" s="16" t="str">
        <f>IF(LEN(Table2[[#This Row],[!Length]]) &gt; 0, Table2[[#This Row],[!Length]], "rg:None")</f>
        <v>rg:None</v>
      </c>
      <c r="R127" s="16" t="str">
        <f>IF(LEN(Table2[[#This Row],[!Name]]) &gt; 0, Table2[[#This Row],[!Name]], "rg:None")</f>
        <v>type</v>
      </c>
      <c r="S127" s="16" t="str">
        <f>IF(LEN(Table2[[#This Row],[!Description]]) &gt; 0, Table2[[#This Row],[!Description]], "rg:None")</f>
        <v>The type of Favourite</v>
      </c>
      <c r="T127" s="16" t="str">
        <f>IF(LEN(Table2[[#This Row],[!FK]])&gt;0,Table2[[#This Row],[!FK]],"rg:None")</f>
        <v>rg:None</v>
      </c>
      <c r="U127" s="16" t="str">
        <f>IF(LEN(concatif2(A:A,Table2[[#This Row],[!Table]],G:G,"Y",D:D,",")) &gt; 0,"rg:[ { 'req' : '"&amp;concatif2(A:A,Table2[[#This Row],[!Table]],G:G,"Y",D:D,"' }, { 'req': '")&amp;"'} ]","rg:[]")</f>
        <v>rg:[ { 'req' : 'id'} ]</v>
      </c>
    </row>
    <row r="128" spans="1:21" x14ac:dyDescent="0.3">
      <c r="A128" s="3" t="s">
        <v>112</v>
      </c>
      <c r="B128" s="3" t="s">
        <v>10</v>
      </c>
      <c r="C128" s="3"/>
      <c r="D128" s="3" t="s">
        <v>65</v>
      </c>
      <c r="E128" s="29" t="s">
        <v>113</v>
      </c>
      <c r="F128" s="3" t="s">
        <v>7</v>
      </c>
      <c r="G128" s="4"/>
      <c r="H128" s="5" t="str">
        <f t="shared" si="3"/>
        <v>Defs</v>
      </c>
      <c r="I128" t="str">
        <f>IF(Table2[[#This Row],[!Type]]=I$1, I$1,"rg:None")</f>
        <v>rg:None</v>
      </c>
      <c r="J128" t="str">
        <f>IF(Table2[[#This Row],[!Type]]=J$1, J$1,"rg:None")</f>
        <v>rg:None</v>
      </c>
      <c r="K128" t="str">
        <f>IF(Table2[[#This Row],[!Type]]=K$1, K$1,"rg:None")</f>
        <v>rg:None</v>
      </c>
      <c r="L128" s="10" t="str">
        <f>IF(Table2[[#This Row],[!Type]]=L$1, L$1,"rg:None")</f>
        <v>rg:None</v>
      </c>
      <c r="M128" s="5" t="str">
        <f>IF(Table2[[#This Row],[!Type]]=M$1, M$1,"rg:None")</f>
        <v>rg:None</v>
      </c>
      <c r="N128" s="5" t="str">
        <f>IF(Table2[[#This Row],[!Type]]=N$1, N$1,"rg:None")</f>
        <v>rg:None</v>
      </c>
      <c r="O128" s="5" t="str">
        <f>IF(Table2[[#This Row],[!Type]]=O$1, O$1,"rg:None")</f>
        <v>string</v>
      </c>
      <c r="P128" s="5" t="str">
        <f>IF(Table2[[#This Row],[!Type]]=P$1, P$1,"rg:None")</f>
        <v>rg:None</v>
      </c>
      <c r="Q128" s="10" t="str">
        <f>IF(LEN(Table2[[#This Row],[!Length]]) &gt; 0, Table2[[#This Row],[!Length]], "rg:None")</f>
        <v>rg:None</v>
      </c>
      <c r="R128" s="10" t="str">
        <f>IF(LEN(Table2[[#This Row],[!Name]]) &gt; 0, Table2[[#This Row],[!Name]], "rg:None")</f>
        <v>name</v>
      </c>
      <c r="S128" s="10" t="str">
        <f>IF(LEN(Table2[[#This Row],[!Description]]) &gt; 0, Table2[[#This Row],[!Description]], "rg:None")</f>
        <v>The user-defined name for the recorded settings. Allows the user to save different groups of settings and access each one easily when needed.</v>
      </c>
      <c r="T128" s="10" t="str">
        <f>IF(LEN(Table2[[#This Row],[!FK]])&gt;0,Table2[[#This Row],[!FK]],"rg:None")</f>
        <v>rg:None</v>
      </c>
      <c r="U128" s="10" t="str">
        <f>IF(LEN(concatif2(A:A,Table2[[#This Row],[!Table]],G:G,"Y",D:D,",")) &gt; 0,"rg:[ { 'req' : '"&amp;concatif2(A:A,Table2[[#This Row],[!Table]],G:G,"Y",D:D,"' }, { 'req': '")&amp;"'} ]","rg:[]")</f>
        <v>rg:[ { 'req' : 'id'} ]</v>
      </c>
    </row>
    <row r="129" spans="1:21" x14ac:dyDescent="0.3">
      <c r="A129" s="3" t="s">
        <v>112</v>
      </c>
      <c r="B129" s="3" t="s">
        <v>10</v>
      </c>
      <c r="C129" s="3"/>
      <c r="D129" s="26" t="s">
        <v>114</v>
      </c>
      <c r="E129" s="29" t="s">
        <v>115</v>
      </c>
      <c r="F129" s="3" t="s">
        <v>7</v>
      </c>
      <c r="G129" s="4"/>
      <c r="H129" s="5" t="str">
        <f t="shared" si="3"/>
        <v>Defs</v>
      </c>
      <c r="I129" t="str">
        <f>IF(Table2[[#This Row],[!Type]]=I$1, I$1,"rg:None")</f>
        <v>rg:None</v>
      </c>
      <c r="J129" t="str">
        <f>IF(Table2[[#This Row],[!Type]]=J$1, J$1,"rg:None")</f>
        <v>rg:None</v>
      </c>
      <c r="K129" t="str">
        <f>IF(Table2[[#This Row],[!Type]]=K$1, K$1,"rg:None")</f>
        <v>rg:None</v>
      </c>
      <c r="L129" s="10" t="str">
        <f>IF(Table2[[#This Row],[!Type]]=L$1, L$1,"rg:None")</f>
        <v>rg:None</v>
      </c>
      <c r="M129" s="5" t="str">
        <f>IF(Table2[[#This Row],[!Type]]=M$1, M$1,"rg:None")</f>
        <v>rg:None</v>
      </c>
      <c r="N129" s="5" t="str">
        <f>IF(Table2[[#This Row],[!Type]]=N$1, N$1,"rg:None")</f>
        <v>rg:None</v>
      </c>
      <c r="O129" s="5" t="str">
        <f>IF(Table2[[#This Row],[!Type]]=O$1, O$1,"rg:None")</f>
        <v>string</v>
      </c>
      <c r="P129" s="5" t="str">
        <f>IF(Table2[[#This Row],[!Type]]=P$1, P$1,"rg:None")</f>
        <v>rg:None</v>
      </c>
      <c r="Q129" s="10" t="str">
        <f>IF(LEN(Table2[[#This Row],[!Length]]) &gt; 0, Table2[[#This Row],[!Length]], "rg:None")</f>
        <v>rg:None</v>
      </c>
      <c r="R129" s="10" t="str">
        <f>IF(LEN(Table2[[#This Row],[!Name]]) &gt; 0, Table2[[#This Row],[!Name]], "rg:None")</f>
        <v>value</v>
      </c>
      <c r="S129" s="10" t="str">
        <f>IF(LEN(Table2[[#This Row],[!Description]]) &gt; 0, Table2[[#This Row],[!Description]], "rg:None")</f>
        <v>The settings saved by the user. In general,  a UI defined chunk of json that stores the settings in place when the user created the favourite.</v>
      </c>
      <c r="T129" s="10" t="str">
        <f>IF(LEN(Table2[[#This Row],[!FK]])&gt;0,Table2[[#This Row],[!FK]],"rg:None")</f>
        <v>rg:None</v>
      </c>
      <c r="U129" s="10" t="str">
        <f>IF(LEN(concatif2(A:A,Table2[[#This Row],[!Table]],G:G,"Y",D:D,",")) &gt; 0,"rg:[ { 'req' : '"&amp;concatif2(A:A,Table2[[#This Row],[!Table]],G:G,"Y",D:D,"' }, { 'req': '")&amp;"'} ]","rg:[]")</f>
        <v>rg:[ { 'req' : 'id'} ]</v>
      </c>
    </row>
    <row r="130" spans="1:21" x14ac:dyDescent="0.3">
      <c r="A130" s="3" t="s">
        <v>112</v>
      </c>
      <c r="B130" s="3" t="s">
        <v>21</v>
      </c>
      <c r="C130" s="3"/>
      <c r="D130" s="3" t="s">
        <v>116</v>
      </c>
      <c r="E130" s="29" t="s">
        <v>117</v>
      </c>
      <c r="F130" s="3" t="s">
        <v>7</v>
      </c>
      <c r="G130" s="4"/>
      <c r="H130" s="5" t="str">
        <f t="shared" si="3"/>
        <v>Defs</v>
      </c>
      <c r="I130" t="str">
        <f>IF(Table2[[#This Row],[!Type]]=I$1, I$1,"rg:None")</f>
        <v>boolean</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rg:None</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isDefault</v>
      </c>
      <c r="S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30" s="10" t="str">
        <f>IF(LEN(Table2[[#This Row],[!FK]])&gt;0,Table2[[#This Row],[!FK]],"rg:None")</f>
        <v>rg:None</v>
      </c>
      <c r="U130" s="10" t="str">
        <f>IF(LEN(concatif2(A:A,Table2[[#This Row],[!Table]],G:G,"Y",D:D,",")) &gt; 0,"rg:[ { 'req' : '"&amp;concatif2(A:A,Table2[[#This Row],[!Table]],G:G,"Y",D:D,"' }, { 'req': '")&amp;"'} ]","rg:[]")</f>
        <v>rg:[ { 'req' : 'id'} ]</v>
      </c>
    </row>
    <row r="131" spans="1:21" x14ac:dyDescent="0.3">
      <c r="A131" s="24" t="s">
        <v>112</v>
      </c>
      <c r="B131" s="3" t="s">
        <v>14</v>
      </c>
      <c r="C131" s="3"/>
      <c r="D131" s="24" t="s">
        <v>0</v>
      </c>
      <c r="E131" s="24" t="s">
        <v>283</v>
      </c>
      <c r="F131" s="25" t="s">
        <v>0</v>
      </c>
      <c r="G131" s="19"/>
      <c r="H131" s="4" t="str">
        <f>IF(LEN(A131) &gt; 0,"Defs","-")</f>
        <v>Defs</v>
      </c>
      <c r="I131" s="16" t="str">
        <f>IF(Table2[[#This Row],[!Type]]=I$1, I$1,"rg:None")</f>
        <v>rg:None</v>
      </c>
      <c r="J131" s="16" t="str">
        <f>IF(Table2[[#This Row],[!Type]]=J$1, J$1,"rg:None")</f>
        <v>rg:None</v>
      </c>
      <c r="K131" s="16" t="str">
        <f>IF(Table2[[#This Row],[!Type]]=K$1, K$1,"rg:None")</f>
        <v>rg:None</v>
      </c>
      <c r="L131" s="16" t="str">
        <f>IF(Table2[[#This Row],[!Type]]=L$1, L$1,"rg:None")</f>
        <v>rg:None</v>
      </c>
      <c r="M131" s="4" t="str">
        <f>IF(Table2[[#This Row],[!Type]]=M$1, M$1,"rg:None")</f>
        <v>rg:None</v>
      </c>
      <c r="N131" s="4" t="str">
        <f>IF(Table2[[#This Row],[!Type]]=N$1, N$1,"rg:None")</f>
        <v>ref</v>
      </c>
      <c r="O131" s="4" t="str">
        <f>IF(Table2[[#This Row],[!Type]]=O$1, O$1,"rg:None")</f>
        <v>rg:None</v>
      </c>
      <c r="P131" s="4" t="str">
        <f>IF(Table2[[#This Row],[!Type]]=P$1, P$1,"rg:None")</f>
        <v>rg:None</v>
      </c>
      <c r="Q131" s="16" t="str">
        <f>IF(LEN(Table2[[#This Row],[!Length]]) &gt; 0, Table2[[#This Row],[!Length]], "rg:None")</f>
        <v>rg:None</v>
      </c>
      <c r="R131" s="16" t="str">
        <f>IF(LEN(Table2[[#This Row],[!Name]]) &gt; 0, Table2[[#This Row],[!Name]], "rg:None")</f>
        <v>User</v>
      </c>
      <c r="S131" s="16" t="str">
        <f>IF(LEN(Table2[[#This Row],[!Description]]) &gt; 0, Table2[[#This Row],[!Description]], "rg:None")</f>
        <v>The User who has this Favourite</v>
      </c>
      <c r="T131" s="16" t="str">
        <f>IF(LEN(Table2[[#This Row],[!FK]])&gt;0,Table2[[#This Row],[!FK]],"rg:None")</f>
        <v>User</v>
      </c>
      <c r="U131" s="16" t="str">
        <f>IF(LEN(concatif2(A:A,Table2[[#This Row],[!Table]],G:G,"Y",D:D,",")) &gt; 0,"rg:[ { 'req' : '"&amp;concatif2(A:A,Table2[[#This Row],[!Table]],G:G,"Y",D:D,"' }, { 'req': '")&amp;"'} ]","rg:[]")</f>
        <v>rg:[ { 'req' : 'id'} ]</v>
      </c>
    </row>
    <row r="132" spans="1:21" x14ac:dyDescent="0.3">
      <c r="A132" s="3" t="s">
        <v>118</v>
      </c>
      <c r="B132" s="3" t="s">
        <v>5</v>
      </c>
      <c r="C132" s="3"/>
      <c r="D132" s="3" t="s">
        <v>118</v>
      </c>
      <c r="E132" s="29" t="s">
        <v>7</v>
      </c>
      <c r="F132" s="3" t="s">
        <v>7</v>
      </c>
      <c r="G132" s="4"/>
      <c r="H132" s="5" t="str">
        <f t="shared" si="3"/>
        <v>Defs</v>
      </c>
      <c r="I132" t="str">
        <f>IF(Table2[[#This Row],[!Type]]=I$1, I$1,"rg:None")</f>
        <v>rg:None</v>
      </c>
      <c r="J132" t="str">
        <f>IF(Table2[[#This Row],[!Type]]=J$1, J$1,"rg:None")</f>
        <v>rg:None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rg:None</v>
      </c>
      <c r="P132" s="5" t="str">
        <f>IF(Table2[[#This Row],[!Type]]=P$1, P$1,"rg:None")</f>
        <v>table</v>
      </c>
      <c r="Q132" s="10" t="str">
        <f>IF(LEN(Table2[[#This Row],[!Length]]) &gt; 0, Table2[[#This Row],[!Length]], "rg:None")</f>
        <v>rg:None</v>
      </c>
      <c r="R132" s="10" t="str">
        <f>IF(LEN(Table2[[#This Row],[!Name]]) &gt; 0, Table2[[#This Row],[!Name]], "rg:None")</f>
        <v>Region</v>
      </c>
      <c r="S132" s="10" t="str">
        <f>IF(LEN(Table2[[#This Row],[!Description]]) &gt; 0, Table2[[#This Row],[!Description]], "rg:None")</f>
        <v>rg:None</v>
      </c>
      <c r="T132" s="10" t="str">
        <f>IF(LEN(Table2[[#This Row],[!FK]])&gt;0,Table2[[#This Row],[!FK]],"rg:None")</f>
        <v>rg:None</v>
      </c>
      <c r="U132" s="10" t="str">
        <f>IF(LEN(concatif2(A:A,Table2[[#This Row],[!Table]],G:G,"Y",D:D,",")) &gt; 0,"rg:[ { 'req' : '"&amp;concatif2(A:A,Table2[[#This Row],[!Table]],G:G,"Y",D:D,"' }, { 'req': '")&amp;"'} ]","rg:[]")</f>
        <v>rg:[ { 'req' : 'id'} ]</v>
      </c>
    </row>
    <row r="133" spans="1:21" x14ac:dyDescent="0.3">
      <c r="A133" s="3" t="s">
        <v>118</v>
      </c>
      <c r="B133" s="3" t="s">
        <v>8</v>
      </c>
      <c r="C133" s="3"/>
      <c r="D133" s="3" t="s">
        <v>8</v>
      </c>
      <c r="E133" s="29" t="s">
        <v>9</v>
      </c>
      <c r="F133" s="3" t="s">
        <v>7</v>
      </c>
      <c r="G133" s="4" t="s">
        <v>179</v>
      </c>
      <c r="H133" s="5" t="str">
        <f t="shared" si="3"/>
        <v>Defs</v>
      </c>
      <c r="I133" t="str">
        <f>IF(Table2[[#This Row],[!Type]]=I$1, I$1,"rg:None")</f>
        <v>rg:None</v>
      </c>
      <c r="J133" t="str">
        <f>IF(Table2[[#This Row],[!Type]]=J$1, J$1,"rg:None")</f>
        <v>rg:None</v>
      </c>
      <c r="K133" t="str">
        <f>IF(Table2[[#This Row],[!Type]]=K$1, K$1,"rg:None")</f>
        <v>id</v>
      </c>
      <c r="L133" s="10" t="str">
        <f>IF(Table2[[#This Row],[!Type]]=L$1, L$1,"rg:None")</f>
        <v>rg:None</v>
      </c>
      <c r="M133" s="5" t="str">
        <f>IF(Table2[[#This Row],[!Type]]=M$1, M$1,"rg:None")</f>
        <v>rg:None</v>
      </c>
      <c r="N133" s="5" t="str">
        <f>IF(Table2[[#This Row],[!Type]]=N$1, N$1,"rg:None")</f>
        <v>rg:None</v>
      </c>
      <c r="O133" s="5" t="str">
        <f>IF(Table2[[#This Row],[!Type]]=O$1, O$1,"rg:None")</f>
        <v>rg:None</v>
      </c>
      <c r="P133" s="5" t="str">
        <f>IF(Table2[[#This Row],[!Type]]=P$1, P$1,"rg:None")</f>
        <v>rg:None</v>
      </c>
      <c r="Q133" s="10" t="str">
        <f>IF(LEN(Table2[[#This Row],[!Length]]) &gt; 0, Table2[[#This Row],[!Length]], "rg:None")</f>
        <v>rg:None</v>
      </c>
      <c r="R133" s="10" t="str">
        <f>IF(LEN(Table2[[#This Row],[!Name]]) &gt; 0, Table2[[#This Row],[!Name]], "rg:None")</f>
        <v>id</v>
      </c>
      <c r="S133" s="10" t="str">
        <f>IF(LEN(Table2[[#This Row],[!Description]]) &gt; 0, Table2[[#This Row],[!Description]], "rg:None")</f>
        <v>Primary Key</v>
      </c>
      <c r="T133" s="10" t="str">
        <f>IF(LEN(Table2[[#This Row],[!FK]])&gt;0,Table2[[#This Row],[!FK]],"rg:None")</f>
        <v>rg:None</v>
      </c>
      <c r="U133" s="10" t="str">
        <f>IF(LEN(concatif2(A:A,Table2[[#This Row],[!Table]],G:G,"Y",D:D,",")) &gt; 0,"rg:[ { 'req' : '"&amp;concatif2(A:A,Table2[[#This Row],[!Table]],G:G,"Y",D:D,"' }, { 'req': '")&amp;"'} ]","rg:[]")</f>
        <v>rg:[ { 'req' : 'id'} ]</v>
      </c>
    </row>
    <row r="134" spans="1:21" x14ac:dyDescent="0.3">
      <c r="A134" s="3" t="s">
        <v>118</v>
      </c>
      <c r="B134" s="3" t="s">
        <v>48</v>
      </c>
      <c r="C134" s="3"/>
      <c r="D134" s="3" t="s">
        <v>119</v>
      </c>
      <c r="E134" s="29" t="s">
        <v>120</v>
      </c>
      <c r="F134" s="3" t="s">
        <v>7</v>
      </c>
      <c r="G134" s="4"/>
      <c r="H134" s="5" t="str">
        <f t="shared" si="3"/>
        <v>Defs</v>
      </c>
      <c r="I134" t="str">
        <f>IF(Table2[[#This Row],[!Type]]=I$1, I$1,"rg:None")</f>
        <v>rg:None</v>
      </c>
      <c r="J134" t="str">
        <f>IF(Table2[[#This Row],[!Type]]=J$1, J$1,"rg:None")</f>
        <v>rg:None</v>
      </c>
      <c r="K134" t="str">
        <f>IF(Table2[[#This Row],[!Type]]=K$1, K$1,"rg:None")</f>
        <v>rg:None</v>
      </c>
      <c r="L134" s="10" t="str">
        <f>IF(Table2[[#This Row],[!Type]]=L$1, L$1,"rg:None")</f>
        <v>integer</v>
      </c>
      <c r="M134" s="5" t="str">
        <f>IF(Table2[[#This Row],[!Type]]=M$1, M$1,"rg:None")</f>
        <v>rg:None</v>
      </c>
      <c r="N134" s="5" t="str">
        <f>IF(Table2[[#This Row],[!Type]]=N$1, N$1,"rg:None")</f>
        <v>rg:None</v>
      </c>
      <c r="O134" s="5" t="str">
        <f>IF(Table2[[#This Row],[!Type]]=O$1, O$1,"rg:None")</f>
        <v>rg:None</v>
      </c>
      <c r="P134" s="5" t="str">
        <f>IF(Table2[[#This Row],[!Type]]=P$1, P$1,"rg:None")</f>
        <v>rg:None</v>
      </c>
      <c r="Q134" s="10" t="str">
        <f>IF(LEN(Table2[[#This Row],[!Length]]) &gt; 0, Table2[[#This Row],[!Length]], "rg:None")</f>
        <v>rg:None</v>
      </c>
      <c r="R134" s="10" t="str">
        <f>IF(LEN(Table2[[#This Row],[!Name]]) &gt; 0, Table2[[#This Row],[!Name]], "rg:None")</f>
        <v>ministryRegionID</v>
      </c>
      <c r="S134" s="10" t="str">
        <f>IF(LEN(Table2[[#This Row],[!Description]]) &gt; 0, Table2[[#This Row],[!Description]], "rg:None")</f>
        <v>The Ministry ID for the Region</v>
      </c>
      <c r="T134" s="10" t="str">
        <f>IF(LEN(Table2[[#This Row],[!FK]])&gt;0,Table2[[#This Row],[!FK]],"rg:None")</f>
        <v>rg:None</v>
      </c>
      <c r="U134" s="10" t="str">
        <f>IF(LEN(concatif2(A:A,Table2[[#This Row],[!Table]],G:G,"Y",D:D,",")) &gt; 0,"rg:[ { 'req' : '"&amp;concatif2(A:A,Table2[[#This Row],[!Table]],G:G,"Y",D:D,"' }, { 'req': '")&amp;"'} ]","rg:[]")</f>
        <v>rg:[ { 'req' : 'id'} ]</v>
      </c>
    </row>
    <row r="135" spans="1:21" x14ac:dyDescent="0.3">
      <c r="A135" s="3" t="s">
        <v>118</v>
      </c>
      <c r="B135" s="3" t="s">
        <v>10</v>
      </c>
      <c r="C135" s="3"/>
      <c r="D135" s="3" t="s">
        <v>65</v>
      </c>
      <c r="E135" s="29" t="s">
        <v>121</v>
      </c>
      <c r="F135" s="3" t="s">
        <v>7</v>
      </c>
      <c r="G135" s="4"/>
      <c r="H135" s="5" t="str">
        <f t="shared" si="3"/>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name</v>
      </c>
      <c r="S135" s="10" t="str">
        <f>IF(LEN(Table2[[#This Row],[!Description]]) &gt; 0, Table2[[#This Row],[!Description]], "rg:None")</f>
        <v>The name of the Region</v>
      </c>
      <c r="T135" s="10" t="str">
        <f>IF(LEN(Table2[[#This Row],[!FK]])&gt;0,Table2[[#This Row],[!FK]],"rg:None")</f>
        <v>rg:None</v>
      </c>
      <c r="U135" s="10" t="str">
        <f>IF(LEN(concatif2(A:A,Table2[[#This Row],[!Table]],G:G,"Y",D:D,",")) &gt; 0,"rg:[ { 'req' : '"&amp;concatif2(A:A,Table2[[#This Row],[!Table]],G:G,"Y",D:D,"' }, { 'req': '")&amp;"'} ]","rg:[]")</f>
        <v>rg:[ { 'req' : 'id'} ]</v>
      </c>
    </row>
    <row r="136" spans="1:21" x14ac:dyDescent="0.3">
      <c r="A136" s="3" t="s">
        <v>118</v>
      </c>
      <c r="B136" s="3" t="s">
        <v>36</v>
      </c>
      <c r="C136" s="3"/>
      <c r="D136" s="3" t="s">
        <v>122</v>
      </c>
      <c r="E136" s="29" t="s">
        <v>123</v>
      </c>
      <c r="F136" s="3" t="s">
        <v>7</v>
      </c>
      <c r="G136" s="4"/>
      <c r="H136" s="5" t="str">
        <f t="shared" si="3"/>
        <v>Defs</v>
      </c>
      <c r="I136" t="str">
        <f>IF(Table2[[#This Row],[!Type]]=I$1, I$1,"rg:None")</f>
        <v>rg:None</v>
      </c>
      <c r="J136" t="str">
        <f>IF(Table2[[#This Row],[!Type]]=J$1, J$1,"rg:None")</f>
        <v>datetime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rg:None</v>
      </c>
      <c r="P136" s="5" t="str">
        <f>IF(Table2[[#This Row],[!Type]]=P$1, P$1,"rg:None")</f>
        <v>rg:None</v>
      </c>
      <c r="Q136" s="10" t="str">
        <f>IF(LEN(Table2[[#This Row],[!Length]]) &gt; 0, Table2[[#This Row],[!Length]], "rg:None")</f>
        <v>rg:None</v>
      </c>
      <c r="R136" s="10" t="str">
        <f>IF(LEN(Table2[[#This Row],[!Name]]) &gt; 0, Table2[[#This Row],[!Name]], "rg:None")</f>
        <v>startDate</v>
      </c>
      <c r="S136" s="10" t="str">
        <f>IF(LEN(Table2[[#This Row],[!Description]]) &gt; 0, Table2[[#This Row],[!Description]], "rg:None")</f>
        <v>The effective date of the Region - NOT CURRENTLY ENFORCED IN SCHOOL BUS</v>
      </c>
      <c r="T136" s="10" t="str">
        <f>IF(LEN(Table2[[#This Row],[!FK]])&gt;0,Table2[[#This Row],[!FK]],"rg:None")</f>
        <v>rg:None</v>
      </c>
      <c r="U136" s="10" t="str">
        <f>IF(LEN(concatif2(A:A,Table2[[#This Row],[!Table]],G:G,"Y",D:D,",")) &gt; 0,"rg:[ { 'req' : '"&amp;concatif2(A:A,Table2[[#This Row],[!Table]],G:G,"Y",D:D,"' }, { 'req': '")&amp;"'} ]","rg:[]")</f>
        <v>rg:[ { 'req' : 'id'} ]</v>
      </c>
    </row>
    <row r="137" spans="1:21" x14ac:dyDescent="0.3">
      <c r="A137" s="3" t="s">
        <v>118</v>
      </c>
      <c r="B137" s="3" t="s">
        <v>36</v>
      </c>
      <c r="C137" s="3"/>
      <c r="D137" s="3" t="s">
        <v>124</v>
      </c>
      <c r="E137" s="29" t="s">
        <v>125</v>
      </c>
      <c r="F137" s="3" t="s">
        <v>7</v>
      </c>
      <c r="G137" s="4"/>
      <c r="H137" s="5" t="str">
        <f t="shared" si="3"/>
        <v>Defs</v>
      </c>
      <c r="I137" t="str">
        <f>IF(Table2[[#This Row],[!Type]]=I$1, I$1,"rg:None")</f>
        <v>rg:None</v>
      </c>
      <c r="J137" t="str">
        <f>IF(Table2[[#This Row],[!Type]]=J$1, J$1,"rg:None")</f>
        <v>datetime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rg:None</v>
      </c>
      <c r="P137" s="5" t="str">
        <f>IF(Table2[[#This Row],[!Type]]=P$1, P$1,"rg:None")</f>
        <v>rg:None</v>
      </c>
      <c r="Q137" s="10" t="str">
        <f>IF(LEN(Table2[[#This Row],[!Length]]) &gt; 0, Table2[[#This Row],[!Length]], "rg:None")</f>
        <v>rg:None</v>
      </c>
      <c r="R137" s="10" t="str">
        <f>IF(LEN(Table2[[#This Row],[!Name]]) &gt; 0, Table2[[#This Row],[!Name]], "rg:None")</f>
        <v>endDate</v>
      </c>
      <c r="S137" s="10" t="str">
        <f>IF(LEN(Table2[[#This Row],[!Description]]) &gt; 0, Table2[[#This Row],[!Description]], "rg:None")</f>
        <v>The end date of the Region; null if active - NOT CURRENTLY ENFORCED IN SCHOOL BUS</v>
      </c>
      <c r="T137" s="10" t="str">
        <f>IF(LEN(Table2[[#This Row],[!FK]])&gt;0,Table2[[#This Row],[!FK]],"rg:None")</f>
        <v>rg:None</v>
      </c>
      <c r="U137" s="10" t="str">
        <f>IF(LEN(concatif2(A:A,Table2[[#This Row],[!Table]],G:G,"Y",D:D,",")) &gt; 0,"rg:[ { 'req' : '"&amp;concatif2(A:A,Table2[[#This Row],[!Table]],G:G,"Y",D:D,"' }, { 'req': '")&amp;"'} ]","rg:[]")</f>
        <v>rg:[ { 'req' : 'id'} ]</v>
      </c>
    </row>
    <row r="138" spans="1:21" x14ac:dyDescent="0.3">
      <c r="A138" s="3" t="s">
        <v>126</v>
      </c>
      <c r="B138" s="3" t="s">
        <v>5</v>
      </c>
      <c r="C138" s="3"/>
      <c r="D138" s="3" t="s">
        <v>126</v>
      </c>
      <c r="E138" s="29" t="s">
        <v>7</v>
      </c>
      <c r="F138" s="3" t="s">
        <v>7</v>
      </c>
      <c r="G138" s="4"/>
      <c r="H138" s="5" t="str">
        <f t="shared" si="3"/>
        <v>Defs</v>
      </c>
      <c r="I138" t="str">
        <f>IF(Table2[[#This Row],[!Type]]=I$1, I$1,"rg:None")</f>
        <v>rg:None</v>
      </c>
      <c r="J138" t="str">
        <f>IF(Table2[[#This Row],[!Type]]=J$1, J$1,"rg:None")</f>
        <v>rg:None</v>
      </c>
      <c r="K138" t="str">
        <f>IF(Table2[[#This Row],[!Type]]=K$1, K$1,"rg:None")</f>
        <v>rg:None</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table</v>
      </c>
      <c r="Q138" s="10" t="str">
        <f>IF(LEN(Table2[[#This Row],[!Length]]) &gt; 0, Table2[[#This Row],[!Length]], "rg:None")</f>
        <v>rg:None</v>
      </c>
      <c r="R138" s="10" t="str">
        <f>IF(LEN(Table2[[#This Row],[!Name]]) &gt; 0, Table2[[#This Row],[!Name]], "rg:None")</f>
        <v>District</v>
      </c>
      <c r="S138" s="10" t="str">
        <f>IF(LEN(Table2[[#This Row],[!Description]]) &gt; 0, Table2[[#This Row],[!Description]], "rg:None")</f>
        <v>rg:None</v>
      </c>
      <c r="T138" s="10" t="str">
        <f>IF(LEN(Table2[[#This Row],[!FK]])&gt;0,Table2[[#This Row],[!FK]],"rg:None")</f>
        <v>rg:None</v>
      </c>
      <c r="U138" s="10" t="str">
        <f>IF(LEN(concatif2(A:A,Table2[[#This Row],[!Table]],G:G,"Y",D:D,",")) &gt; 0,"rg:[ { 'req' : '"&amp;concatif2(A:A,Table2[[#This Row],[!Table]],G:G,"Y",D:D,"' }, { 'req': '")&amp;"'} ]","rg:[]")</f>
        <v>rg:[ { 'req' : 'id'} ]</v>
      </c>
    </row>
    <row r="139" spans="1:21" x14ac:dyDescent="0.3">
      <c r="A139" s="3" t="s">
        <v>126</v>
      </c>
      <c r="B139" s="3" t="s">
        <v>8</v>
      </c>
      <c r="C139" s="3"/>
      <c r="D139" s="3" t="s">
        <v>8</v>
      </c>
      <c r="E139" s="29" t="s">
        <v>9</v>
      </c>
      <c r="F139" s="3" t="s">
        <v>7</v>
      </c>
      <c r="G139" s="4" t="s">
        <v>179</v>
      </c>
      <c r="H139" s="5" t="str">
        <f t="shared" si="3"/>
        <v>Defs</v>
      </c>
      <c r="I139" t="str">
        <f>IF(Table2[[#This Row],[!Type]]=I$1, I$1,"rg:None")</f>
        <v>rg:None</v>
      </c>
      <c r="J139" t="str">
        <f>IF(Table2[[#This Row],[!Type]]=J$1, J$1,"rg:None")</f>
        <v>rg:None</v>
      </c>
      <c r="K139" t="str">
        <f>IF(Table2[[#This Row],[!Type]]=K$1, K$1,"rg:None")</f>
        <v>id</v>
      </c>
      <c r="L139" s="10" t="str">
        <f>IF(Table2[[#This Row],[!Type]]=L$1, L$1,"rg:None")</f>
        <v>rg:None</v>
      </c>
      <c r="M139" s="5" t="str">
        <f>IF(Table2[[#This Row],[!Type]]=M$1, M$1,"rg:None")</f>
        <v>rg:None</v>
      </c>
      <c r="N139" s="5" t="str">
        <f>IF(Table2[[#This Row],[!Type]]=N$1, N$1,"rg:None")</f>
        <v>rg:None</v>
      </c>
      <c r="O139" s="5" t="str">
        <f>IF(Table2[[#This Row],[!Type]]=O$1, O$1,"rg:None")</f>
        <v>rg:None</v>
      </c>
      <c r="P139" s="5" t="str">
        <f>IF(Table2[[#This Row],[!Type]]=P$1, P$1,"rg:None")</f>
        <v>rg:None</v>
      </c>
      <c r="Q139" s="10" t="str">
        <f>IF(LEN(Table2[[#This Row],[!Length]]) &gt; 0, Table2[[#This Row],[!Length]], "rg:None")</f>
        <v>rg:None</v>
      </c>
      <c r="R139" s="10" t="str">
        <f>IF(LEN(Table2[[#This Row],[!Name]]) &gt; 0, Table2[[#This Row],[!Name]], "rg:None")</f>
        <v>id</v>
      </c>
      <c r="S139" s="10" t="str">
        <f>IF(LEN(Table2[[#This Row],[!Description]]) &gt; 0, Table2[[#This Row],[!Description]], "rg:None")</f>
        <v>Primary Key</v>
      </c>
      <c r="T139" s="10" t="str">
        <f>IF(LEN(Table2[[#This Row],[!FK]])&gt;0,Table2[[#This Row],[!FK]],"rg:None")</f>
        <v>rg:None</v>
      </c>
      <c r="U139" s="10" t="str">
        <f>IF(LEN(concatif2(A:A,Table2[[#This Row],[!Table]],G:G,"Y",D:D,",")) &gt; 0,"rg:[ { 'req' : '"&amp;concatif2(A:A,Table2[[#This Row],[!Table]],G:G,"Y",D:D,"' }, { 'req': '")&amp;"'} ]","rg:[]")</f>
        <v>rg:[ { 'req' : 'id'} ]</v>
      </c>
    </row>
    <row r="140" spans="1:21" x14ac:dyDescent="0.3">
      <c r="A140" s="3" t="s">
        <v>126</v>
      </c>
      <c r="B140" s="3" t="s">
        <v>48</v>
      </c>
      <c r="C140" s="3"/>
      <c r="D140" s="3" t="s">
        <v>127</v>
      </c>
      <c r="E140" s="29" t="s">
        <v>128</v>
      </c>
      <c r="F140" s="3" t="s">
        <v>7</v>
      </c>
      <c r="G140" s="4"/>
      <c r="H140" s="5" t="str">
        <f t="shared" si="3"/>
        <v>Defs</v>
      </c>
      <c r="I140" t="str">
        <f>IF(Table2[[#This Row],[!Type]]=I$1, I$1,"rg:None")</f>
        <v>rg:None</v>
      </c>
      <c r="J140" t="str">
        <f>IF(Table2[[#This Row],[!Type]]=J$1, J$1,"rg:None")</f>
        <v>rg:None</v>
      </c>
      <c r="K140" t="str">
        <f>IF(Table2[[#This Row],[!Type]]=K$1, K$1,"rg:None")</f>
        <v>rg:None</v>
      </c>
      <c r="L140" s="10" t="str">
        <f>IF(Table2[[#This Row],[!Type]]=L$1, L$1,"rg:None")</f>
        <v>integer</v>
      </c>
      <c r="M140" s="5" t="str">
        <f>IF(Table2[[#This Row],[!Type]]=M$1, M$1,"rg:None")</f>
        <v>rg:None</v>
      </c>
      <c r="N140" s="5" t="str">
        <f>IF(Table2[[#This Row],[!Type]]=N$1, N$1,"rg:None")</f>
        <v>rg:None</v>
      </c>
      <c r="O140" s="5" t="str">
        <f>IF(Table2[[#This Row],[!Type]]=O$1, O$1,"rg:None")</f>
        <v>rg:None</v>
      </c>
      <c r="P140" s="5" t="str">
        <f>IF(Table2[[#This Row],[!Type]]=P$1, P$1,"rg:None")</f>
        <v>rg:None</v>
      </c>
      <c r="Q140" s="10" t="str">
        <f>IF(LEN(Table2[[#This Row],[!Length]]) &gt; 0, Table2[[#This Row],[!Length]], "rg:None")</f>
        <v>rg:None</v>
      </c>
      <c r="R140" s="10" t="str">
        <f>IF(LEN(Table2[[#This Row],[!Name]]) &gt; 0, Table2[[#This Row],[!Name]], "rg:None")</f>
        <v>ministryDistrictID</v>
      </c>
      <c r="S140" s="10" t="str">
        <f>IF(LEN(Table2[[#This Row],[!Description]]) &gt; 0, Table2[[#This Row],[!Description]], "rg:None")</f>
        <v>The Ministry ID for the District</v>
      </c>
      <c r="T140" s="10" t="str">
        <f>IF(LEN(Table2[[#This Row],[!FK]])&gt;0,Table2[[#This Row],[!FK]],"rg:None")</f>
        <v>rg:None</v>
      </c>
      <c r="U140" s="10" t="str">
        <f>IF(LEN(concatif2(A:A,Table2[[#This Row],[!Table]],G:G,"Y",D:D,",")) &gt; 0,"rg:[ { 'req' : '"&amp;concatif2(A:A,Table2[[#This Row],[!Table]],G:G,"Y",D:D,"' }, { 'req': '")&amp;"'} ]","rg:[]")</f>
        <v>rg:[ { 'req' : 'id'} ]</v>
      </c>
    </row>
    <row r="141" spans="1:21" x14ac:dyDescent="0.3">
      <c r="A141" s="3" t="s">
        <v>126</v>
      </c>
      <c r="B141" s="3" t="s">
        <v>10</v>
      </c>
      <c r="C141" s="3"/>
      <c r="D141" s="3" t="s">
        <v>65</v>
      </c>
      <c r="E141" s="29" t="s">
        <v>129</v>
      </c>
      <c r="F141" s="3" t="s">
        <v>7</v>
      </c>
      <c r="G141" s="4"/>
      <c r="H141" s="5" t="str">
        <f t="shared" si="3"/>
        <v>Defs</v>
      </c>
      <c r="I141" t="str">
        <f>IF(Table2[[#This Row],[!Type]]=I$1, I$1,"rg:None")</f>
        <v>rg:None</v>
      </c>
      <c r="J141" t="str">
        <f>IF(Table2[[#This Row],[!Type]]=J$1, J$1,"rg:None")</f>
        <v>rg:None</v>
      </c>
      <c r="K141" t="str">
        <f>IF(Table2[[#This Row],[!Type]]=K$1, K$1,"rg:None")</f>
        <v>rg:None</v>
      </c>
      <c r="L141" s="10" t="str">
        <f>IF(Table2[[#This Row],[!Type]]=L$1, L$1,"rg:None")</f>
        <v>rg:None</v>
      </c>
      <c r="M141" s="5" t="str">
        <f>IF(Table2[[#This Row],[!Type]]=M$1, M$1,"rg:None")</f>
        <v>rg:None</v>
      </c>
      <c r="N141" s="5" t="str">
        <f>IF(Table2[[#This Row],[!Type]]=N$1, N$1,"rg:None")</f>
        <v>rg:None</v>
      </c>
      <c r="O141" s="5" t="str">
        <f>IF(Table2[[#This Row],[!Type]]=O$1, O$1,"rg:None")</f>
        <v>string</v>
      </c>
      <c r="P141" s="5" t="str">
        <f>IF(Table2[[#This Row],[!Type]]=P$1, P$1,"rg:None")</f>
        <v>rg:None</v>
      </c>
      <c r="Q141" s="10" t="str">
        <f>IF(LEN(Table2[[#This Row],[!Length]]) &gt; 0, Table2[[#This Row],[!Length]], "rg:None")</f>
        <v>rg:None</v>
      </c>
      <c r="R141" s="10" t="str">
        <f>IF(LEN(Table2[[#This Row],[!Name]]) &gt; 0, Table2[[#This Row],[!Name]], "rg:None")</f>
        <v>name</v>
      </c>
      <c r="S141" s="10" t="str">
        <f>IF(LEN(Table2[[#This Row],[!Description]]) &gt; 0, Table2[[#This Row],[!Description]], "rg:None")</f>
        <v>The name of the District</v>
      </c>
      <c r="T141" s="10" t="str">
        <f>IF(LEN(Table2[[#This Row],[!FK]])&gt;0,Table2[[#This Row],[!FK]],"rg:None")</f>
        <v>rg:None</v>
      </c>
      <c r="U141" s="10" t="str">
        <f>IF(LEN(concatif2(A:A,Table2[[#This Row],[!Table]],G:G,"Y",D:D,",")) &gt; 0,"rg:[ { 'req' : '"&amp;concatif2(A:A,Table2[[#This Row],[!Table]],G:G,"Y",D:D,"' }, { 'req': '")&amp;"'} ]","rg:[]")</f>
        <v>rg:[ { 'req' : 'id'} ]</v>
      </c>
    </row>
    <row r="142" spans="1:21" x14ac:dyDescent="0.3">
      <c r="A142" s="3" t="s">
        <v>126</v>
      </c>
      <c r="B142" s="3" t="s">
        <v>14</v>
      </c>
      <c r="C142" s="3"/>
      <c r="D142" s="3" t="s">
        <v>130</v>
      </c>
      <c r="E142" s="29" t="s">
        <v>131</v>
      </c>
      <c r="F142" s="3" t="s">
        <v>118</v>
      </c>
      <c r="G142" s="4"/>
      <c r="H142" s="5" t="str">
        <f t="shared" si="3"/>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ref</v>
      </c>
      <c r="O142" s="5" t="str">
        <f>IF(Table2[[#This Row],[!Type]]=O$1, O$1,"rg:None")</f>
        <v>rg:None</v>
      </c>
      <c r="P142" s="5" t="str">
        <f>IF(Table2[[#This Row],[!Type]]=P$1, P$1,"rg:None")</f>
        <v>rg:None</v>
      </c>
      <c r="Q142" s="10" t="str">
        <f>IF(LEN(Table2[[#This Row],[!Length]]) &gt; 0, Table2[[#This Row],[!Length]], "rg:None")</f>
        <v>rg:None</v>
      </c>
      <c r="R142" s="10" t="str">
        <f>IF(LEN(Table2[[#This Row],[!Name]]) &gt; 0, Table2[[#This Row],[!Name]], "rg:None")</f>
        <v>region</v>
      </c>
      <c r="S142" s="10" t="str">
        <f>IF(LEN(Table2[[#This Row],[!Description]]) &gt; 0, Table2[[#This Row],[!Description]], "rg:None")</f>
        <v>The region in which the District is found.</v>
      </c>
      <c r="T142" s="10" t="str">
        <f>IF(LEN(Table2[[#This Row],[!FK]])&gt;0,Table2[[#This Row],[!FK]],"rg:None")</f>
        <v>Region</v>
      </c>
      <c r="U142" s="10" t="str">
        <f>IF(LEN(concatif2(A:A,Table2[[#This Row],[!Table]],G:G,"Y",D:D,",")) &gt; 0,"rg:[ { 'req' : '"&amp;concatif2(A:A,Table2[[#This Row],[!Table]],G:G,"Y",D:D,"' }, { 'req': '")&amp;"'} ]","rg:[]")</f>
        <v>rg:[ { 'req' : 'id'} ]</v>
      </c>
    </row>
    <row r="143" spans="1:21" x14ac:dyDescent="0.3">
      <c r="A143" s="3" t="s">
        <v>126</v>
      </c>
      <c r="B143" s="3" t="s">
        <v>36</v>
      </c>
      <c r="C143" s="3"/>
      <c r="D143" s="3" t="s">
        <v>122</v>
      </c>
      <c r="E143" s="29" t="s">
        <v>132</v>
      </c>
      <c r="F143" s="3" t="s">
        <v>7</v>
      </c>
      <c r="G143" s="4"/>
      <c r="H143" s="5" t="str">
        <f t="shared" si="3"/>
        <v>Defs</v>
      </c>
      <c r="I143" t="str">
        <f>IF(Table2[[#This Row],[!Type]]=I$1, I$1,"rg:None")</f>
        <v>rg:None</v>
      </c>
      <c r="J143" t="str">
        <f>IF(Table2[[#This Row],[!Type]]=J$1, J$1,"rg:None")</f>
        <v>datetime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rg:None</v>
      </c>
      <c r="P143" s="5" t="str">
        <f>IF(Table2[[#This Row],[!Type]]=P$1, P$1,"rg:None")</f>
        <v>rg:None</v>
      </c>
      <c r="Q143" s="10" t="str">
        <f>IF(LEN(Table2[[#This Row],[!Length]]) &gt; 0, Table2[[#This Row],[!Length]], "rg:None")</f>
        <v>rg:None</v>
      </c>
      <c r="R143" s="10" t="str">
        <f>IF(LEN(Table2[[#This Row],[!Name]]) &gt; 0, Table2[[#This Row],[!Name]], "rg:None")</f>
        <v>startDate</v>
      </c>
      <c r="S143" s="10" t="str">
        <f>IF(LEN(Table2[[#This Row],[!Description]]) &gt; 0, Table2[[#This Row],[!Description]], "rg:None")</f>
        <v>The effective date of the District ID - NOT CURRENTLY ENFORCED IN SCHOOL BUS</v>
      </c>
      <c r="T143" s="10" t="str">
        <f>IF(LEN(Table2[[#This Row],[!FK]])&gt;0,Table2[[#This Row],[!FK]],"rg:None")</f>
        <v>rg:None</v>
      </c>
      <c r="U143" s="10" t="str">
        <f>IF(LEN(concatif2(A:A,Table2[[#This Row],[!Table]],G:G,"Y",D:D,",")) &gt; 0,"rg:[ { 'req' : '"&amp;concatif2(A:A,Table2[[#This Row],[!Table]],G:G,"Y",D:D,"' }, { 'req': '")&amp;"'} ]","rg:[]")</f>
        <v>rg:[ { 'req' : 'id'} ]</v>
      </c>
    </row>
    <row r="144" spans="1:21" x14ac:dyDescent="0.3">
      <c r="A144" s="3" t="s">
        <v>126</v>
      </c>
      <c r="B144" s="3" t="s">
        <v>36</v>
      </c>
      <c r="C144" s="3"/>
      <c r="D144" s="3" t="s">
        <v>124</v>
      </c>
      <c r="E144" s="29" t="s">
        <v>133</v>
      </c>
      <c r="F144" s="3" t="s">
        <v>7</v>
      </c>
      <c r="G144" s="4"/>
      <c r="H144" s="5" t="str">
        <f t="shared" si="3"/>
        <v>Defs</v>
      </c>
      <c r="I144" t="str">
        <f>IF(Table2[[#This Row],[!Type]]=I$1, I$1,"rg:None")</f>
        <v>rg:None</v>
      </c>
      <c r="J144" t="str">
        <f>IF(Table2[[#This Row],[!Type]]=J$1, J$1,"rg:None")</f>
        <v>datetime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endDate</v>
      </c>
      <c r="S144" s="10" t="str">
        <f>IF(LEN(Table2[[#This Row],[!Description]]) &gt; 0, Table2[[#This Row],[!Description]], "rg:None")</f>
        <v>The end date of the District; null if active - NOT CURRENTLY ENFORCED IN SCHOOL BUS</v>
      </c>
      <c r="T144" s="10" t="str">
        <f>IF(LEN(Table2[[#This Row],[!FK]])&gt;0,Table2[[#This Row],[!FK]],"rg:None")</f>
        <v>rg:None</v>
      </c>
      <c r="U144" s="10" t="str">
        <f>IF(LEN(concatif2(A:A,Table2[[#This Row],[!Table]],G:G,"Y",D:D,",")) &gt; 0,"rg:[ { 'req' : '"&amp;concatif2(A:A,Table2[[#This Row],[!Table]],G:G,"Y",D:D,"' }, { 'req': '")&amp;"'} ]","rg:[]")</f>
        <v>rg:[ { 'req' : 'id'} ]</v>
      </c>
    </row>
    <row r="145" spans="1:21" x14ac:dyDescent="0.3">
      <c r="A145" s="3" t="s">
        <v>23</v>
      </c>
      <c r="B145" s="3" t="s">
        <v>5</v>
      </c>
      <c r="C145" s="3"/>
      <c r="D145" s="3" t="s">
        <v>23</v>
      </c>
      <c r="E145" s="29" t="s">
        <v>7</v>
      </c>
      <c r="F145" s="3" t="s">
        <v>7</v>
      </c>
      <c r="G145" s="4"/>
      <c r="H145" s="5" t="str">
        <f t="shared" si="3"/>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rg:None</v>
      </c>
      <c r="O145" s="5" t="str">
        <f>IF(Table2[[#This Row],[!Type]]=O$1, O$1,"rg:None")</f>
        <v>rg:None</v>
      </c>
      <c r="P145" s="5" t="str">
        <f>IF(Table2[[#This Row],[!Type]]=P$1, P$1,"rg:None")</f>
        <v>table</v>
      </c>
      <c r="Q145" s="10" t="str">
        <f>IF(LEN(Table2[[#This Row],[!Length]]) &gt; 0, Table2[[#This Row],[!Length]], "rg:None")</f>
        <v>rg:None</v>
      </c>
      <c r="R145" s="10" t="str">
        <f>IF(LEN(Table2[[#This Row],[!Name]]) &gt; 0, Table2[[#This Row],[!Name]], "rg:None")</f>
        <v>ServiceArea</v>
      </c>
      <c r="S145" s="10" t="str">
        <f>IF(LEN(Table2[[#This Row],[!Description]]) &gt; 0, Table2[[#This Row],[!Description]], "rg:None")</f>
        <v>rg:None</v>
      </c>
      <c r="T145" s="10" t="str">
        <f>IF(LEN(Table2[[#This Row],[!FK]])&gt;0,Table2[[#This Row],[!FK]],"rg:None")</f>
        <v>rg:None</v>
      </c>
      <c r="U145" s="10" t="str">
        <f>IF(LEN(concatif2(A:A,Table2[[#This Row],[!Table]],G:G,"Y",D:D,",")) &gt; 0,"rg:[ { 'req' : '"&amp;concatif2(A:A,Table2[[#This Row],[!Table]],G:G,"Y",D:D,"' }, { 'req': '")&amp;"'} ]","rg:[]")</f>
        <v>rg:[ { 'req' : 'id'} ]</v>
      </c>
    </row>
    <row r="146" spans="1:21" x14ac:dyDescent="0.3">
      <c r="A146" s="3" t="s">
        <v>23</v>
      </c>
      <c r="B146" s="3" t="s">
        <v>8</v>
      </c>
      <c r="C146" s="3"/>
      <c r="D146" s="3" t="s">
        <v>8</v>
      </c>
      <c r="E146" s="29" t="s">
        <v>9</v>
      </c>
      <c r="F146" s="3" t="s">
        <v>7</v>
      </c>
      <c r="G146" s="4" t="s">
        <v>179</v>
      </c>
      <c r="H146" s="5" t="str">
        <f t="shared" si="3"/>
        <v>Defs</v>
      </c>
      <c r="I146" t="str">
        <f>IF(Table2[[#This Row],[!Type]]=I$1, I$1,"rg:None")</f>
        <v>rg:None</v>
      </c>
      <c r="J146" t="str">
        <f>IF(Table2[[#This Row],[!Type]]=J$1, J$1,"rg:None")</f>
        <v>rg:None</v>
      </c>
      <c r="K146" t="str">
        <f>IF(Table2[[#This Row],[!Type]]=K$1, K$1,"rg:None")</f>
        <v>id</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rg:None</v>
      </c>
      <c r="Q146" s="10" t="str">
        <f>IF(LEN(Table2[[#This Row],[!Length]]) &gt; 0, Table2[[#This Row],[!Length]], "rg:None")</f>
        <v>rg:None</v>
      </c>
      <c r="R146" s="10" t="str">
        <f>IF(LEN(Table2[[#This Row],[!Name]]) &gt; 0, Table2[[#This Row],[!Name]], "rg:None")</f>
        <v>id</v>
      </c>
      <c r="S146" s="10" t="str">
        <f>IF(LEN(Table2[[#This Row],[!Description]]) &gt; 0, Table2[[#This Row],[!Description]], "rg:None")</f>
        <v>Primary Key</v>
      </c>
      <c r="T146" s="10" t="str">
        <f>IF(LEN(Table2[[#This Row],[!FK]])&gt;0,Table2[[#This Row],[!FK]],"rg:None")</f>
        <v>rg:None</v>
      </c>
      <c r="U146" s="10" t="str">
        <f>IF(LEN(concatif2(A:A,Table2[[#This Row],[!Table]],G:G,"Y",D:D,",")) &gt; 0,"rg:[ { 'req' : '"&amp;concatif2(A:A,Table2[[#This Row],[!Table]],G:G,"Y",D:D,"' }, { 'req': '")&amp;"'} ]","rg:[]")</f>
        <v>rg:[ { 'req' : 'id'} ]</v>
      </c>
    </row>
    <row r="147" spans="1:21" x14ac:dyDescent="0.3">
      <c r="A147" s="3" t="s">
        <v>23</v>
      </c>
      <c r="B147" s="3" t="s">
        <v>48</v>
      </c>
      <c r="C147" s="3"/>
      <c r="D147" s="3" t="s">
        <v>134</v>
      </c>
      <c r="E147" s="29" t="s">
        <v>135</v>
      </c>
      <c r="F147" s="3" t="s">
        <v>7</v>
      </c>
      <c r="G147" s="4"/>
      <c r="H147" s="5" t="str">
        <f t="shared" si="3"/>
        <v>Defs</v>
      </c>
      <c r="I147" t="str">
        <f>IF(Table2[[#This Row],[!Type]]=I$1, I$1,"rg:None")</f>
        <v>rg:None</v>
      </c>
      <c r="J147" t="str">
        <f>IF(Table2[[#This Row],[!Type]]=J$1, J$1,"rg:None")</f>
        <v>rg:None</v>
      </c>
      <c r="K147" t="str">
        <f>IF(Table2[[#This Row],[!Type]]=K$1, K$1,"rg:None")</f>
        <v>rg:None</v>
      </c>
      <c r="L147" s="10" t="str">
        <f>IF(Table2[[#This Row],[!Type]]=L$1, L$1,"rg:None")</f>
        <v>integer</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ministryServiceAreaID</v>
      </c>
      <c r="S147" s="10" t="str">
        <f>IF(LEN(Table2[[#This Row],[!Description]]) &gt; 0, Table2[[#This Row],[!Description]], "rg:None")</f>
        <v>The Ministry ID for the Service Area</v>
      </c>
      <c r="T147" s="10" t="str">
        <f>IF(LEN(Table2[[#This Row],[!FK]])&gt;0,Table2[[#This Row],[!FK]],"rg:None")</f>
        <v>rg:None</v>
      </c>
      <c r="U147" s="10" t="str">
        <f>IF(LEN(concatif2(A:A,Table2[[#This Row],[!Table]],G:G,"Y",D:D,",")) &gt; 0,"rg:[ { 'req' : '"&amp;concatif2(A:A,Table2[[#This Row],[!Table]],G:G,"Y",D:D,"' }, { 'req': '")&amp;"'} ]","rg:[]")</f>
        <v>rg:[ { 'req' : 'id'} ]</v>
      </c>
    </row>
    <row r="148" spans="1:21" x14ac:dyDescent="0.3">
      <c r="A148" s="3" t="s">
        <v>23</v>
      </c>
      <c r="B148" s="3" t="s">
        <v>10</v>
      </c>
      <c r="C148" s="3"/>
      <c r="D148" s="3" t="s">
        <v>65</v>
      </c>
      <c r="E148" s="29" t="s">
        <v>136</v>
      </c>
      <c r="F148" s="3" t="s">
        <v>7</v>
      </c>
      <c r="G148" s="4"/>
      <c r="H148" s="5" t="str">
        <f t="shared" si="3"/>
        <v>Defs</v>
      </c>
      <c r="I148" t="str">
        <f>IF(Table2[[#This Row],[!Type]]=I$1, I$1,"rg:None")</f>
        <v>rg:None</v>
      </c>
      <c r="J148" t="str">
        <f>IF(Table2[[#This Row],[!Type]]=J$1, J$1,"rg:None")</f>
        <v>rg:None</v>
      </c>
      <c r="K148" t="str">
        <f>IF(Table2[[#This Row],[!Type]]=K$1, K$1,"rg:None")</f>
        <v>rg:None</v>
      </c>
      <c r="L148" s="10" t="str">
        <f>IF(Table2[[#This Row],[!Type]]=L$1, L$1,"rg:None")</f>
        <v>rg:None</v>
      </c>
      <c r="M148" s="5" t="str">
        <f>IF(Table2[[#This Row],[!Type]]=M$1, M$1,"rg:None")</f>
        <v>rg:None</v>
      </c>
      <c r="N148" s="5" t="str">
        <f>IF(Table2[[#This Row],[!Type]]=N$1, N$1,"rg:None")</f>
        <v>rg:None</v>
      </c>
      <c r="O148" s="5" t="str">
        <f>IF(Table2[[#This Row],[!Type]]=O$1, O$1,"rg:None")</f>
        <v>string</v>
      </c>
      <c r="P148" s="5" t="str">
        <f>IF(Table2[[#This Row],[!Type]]=P$1, P$1,"rg:None")</f>
        <v>rg:None</v>
      </c>
      <c r="Q148" s="10" t="str">
        <f>IF(LEN(Table2[[#This Row],[!Length]]) &gt; 0, Table2[[#This Row],[!Length]], "rg:None")</f>
        <v>rg:None</v>
      </c>
      <c r="R148" s="10" t="str">
        <f>IF(LEN(Table2[[#This Row],[!Name]]) &gt; 0, Table2[[#This Row],[!Name]], "rg:None")</f>
        <v>name</v>
      </c>
      <c r="S148" s="10" t="str">
        <f>IF(LEN(Table2[[#This Row],[!Description]]) &gt; 0, Table2[[#This Row],[!Description]], "rg:None")</f>
        <v>The name of the Service Area</v>
      </c>
      <c r="T148" s="10" t="str">
        <f>IF(LEN(Table2[[#This Row],[!FK]])&gt;0,Table2[[#This Row],[!FK]],"rg:None")</f>
        <v>rg:None</v>
      </c>
      <c r="U148" s="10" t="str">
        <f>IF(LEN(concatif2(A:A,Table2[[#This Row],[!Table]],G:G,"Y",D:D,",")) &gt; 0,"rg:[ { 'req' : '"&amp;concatif2(A:A,Table2[[#This Row],[!Table]],G:G,"Y",D:D,"' }, { 'req': '")&amp;"'} ]","rg:[]")</f>
        <v>rg:[ { 'req' : 'id'} ]</v>
      </c>
    </row>
    <row r="149" spans="1:21" x14ac:dyDescent="0.3">
      <c r="A149" s="3" t="s">
        <v>23</v>
      </c>
      <c r="B149" s="3" t="s">
        <v>14</v>
      </c>
      <c r="C149" s="3"/>
      <c r="D149" s="3" t="s">
        <v>137</v>
      </c>
      <c r="E149" s="29" t="s">
        <v>138</v>
      </c>
      <c r="F149" s="3" t="s">
        <v>126</v>
      </c>
      <c r="G149" s="4"/>
      <c r="H149" s="5" t="str">
        <f t="shared" si="3"/>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ref</v>
      </c>
      <c r="O149" s="5" t="str">
        <f>IF(Table2[[#This Row],[!Type]]=O$1, O$1,"rg:None")</f>
        <v>rg:None</v>
      </c>
      <c r="P149" s="5" t="str">
        <f>IF(Table2[[#This Row],[!Type]]=P$1, P$1,"rg:None")</f>
        <v>rg:None</v>
      </c>
      <c r="Q149" s="10" t="str">
        <f>IF(LEN(Table2[[#This Row],[!Length]]) &gt; 0, Table2[[#This Row],[!Length]], "rg:None")</f>
        <v>rg:None</v>
      </c>
      <c r="R149" s="10" t="str">
        <f>IF(LEN(Table2[[#This Row],[!Name]]) &gt; 0, Table2[[#This Row],[!Name]], "rg:None")</f>
        <v>district</v>
      </c>
      <c r="S149" s="10" t="str">
        <f>IF(LEN(Table2[[#This Row],[!Description]]) &gt; 0, Table2[[#This Row],[!Description]], "rg:None")</f>
        <v>The district in which the Service Area is found.</v>
      </c>
      <c r="T149" s="10" t="str">
        <f>IF(LEN(Table2[[#This Row],[!FK]])&gt;0,Table2[[#This Row],[!FK]],"rg:None")</f>
        <v>District</v>
      </c>
      <c r="U149" s="10" t="str">
        <f>IF(LEN(concatif2(A:A,Table2[[#This Row],[!Table]],G:G,"Y",D:D,",")) &gt; 0,"rg:[ { 'req' : '"&amp;concatif2(A:A,Table2[[#This Row],[!Table]],G:G,"Y",D:D,"' }, { 'req': '")&amp;"'} ]","rg:[]")</f>
        <v>rg:[ { 'req' : 'id'} ]</v>
      </c>
    </row>
    <row r="150" spans="1:21" x14ac:dyDescent="0.3">
      <c r="A150" s="3" t="s">
        <v>23</v>
      </c>
      <c r="B150" s="3" t="s">
        <v>36</v>
      </c>
      <c r="C150" s="3"/>
      <c r="D150" s="3" t="s">
        <v>122</v>
      </c>
      <c r="E150" s="29" t="s">
        <v>139</v>
      </c>
      <c r="F150" s="3" t="s">
        <v>7</v>
      </c>
      <c r="G150" s="4"/>
      <c r="H150" s="5" t="str">
        <f t="shared" si="3"/>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Service Area - NOT CURRENTLY ENFORCED IN SCHOOL BUS</v>
      </c>
      <c r="T150" s="10" t="str">
        <f>IF(LEN(Table2[[#This Row],[!FK]])&gt;0,Table2[[#This Row],[!FK]],"rg:None")</f>
        <v>rg:None</v>
      </c>
      <c r="U150" s="10" t="str">
        <f>IF(LEN(concatif2(A:A,Table2[[#This Row],[!Table]],G:G,"Y",D:D,",")) &gt; 0,"rg:[ { 'req' : '"&amp;concatif2(A:A,Table2[[#This Row],[!Table]],G:G,"Y",D:D,"' }, { 'req': '")&amp;"'} ]","rg:[]")</f>
        <v>rg:[ { 'req' : 'id'} ]</v>
      </c>
    </row>
    <row r="151" spans="1:21" x14ac:dyDescent="0.3">
      <c r="A151" s="3" t="s">
        <v>23</v>
      </c>
      <c r="B151" s="3" t="s">
        <v>36</v>
      </c>
      <c r="C151" s="3"/>
      <c r="D151" s="3" t="s">
        <v>124</v>
      </c>
      <c r="E151" s="29" t="s">
        <v>140</v>
      </c>
      <c r="F151" s="3" t="s">
        <v>7</v>
      </c>
      <c r="G151" s="4"/>
      <c r="H151" s="5" t="str">
        <f t="shared" si="3"/>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Service Area; null if active - NOT CURRENTLY ENFORCED IN SCHOOL BUS</v>
      </c>
      <c r="T151" s="10" t="str">
        <f>IF(LEN(Table2[[#This Row],[!FK]])&gt;0,Table2[[#This Row],[!FK]],"rg:None")</f>
        <v>rg:None</v>
      </c>
      <c r="U151" s="10" t="str">
        <f>IF(LEN(concatif2(A:A,Table2[[#This Row],[!Table]],G:G,"Y",D:D,",")) &gt; 0,"rg:[ { 'req' : '"&amp;concatif2(A:A,Table2[[#This Row],[!Table]],G:G,"Y",D:D,"' }, { 'req': '")&amp;"'} ]","rg:[]")</f>
        <v>rg:[ { 'req' : 'id'} ]</v>
      </c>
    </row>
    <row r="152" spans="1:21" x14ac:dyDescent="0.3">
      <c r="A152" s="3" t="s">
        <v>41</v>
      </c>
      <c r="B152" s="3" t="s">
        <v>5</v>
      </c>
      <c r="C152" s="3"/>
      <c r="D152" s="3" t="s">
        <v>41</v>
      </c>
      <c r="E152" s="31" t="s">
        <v>275</v>
      </c>
      <c r="F152" s="3" t="s">
        <v>7</v>
      </c>
      <c r="G152" s="4"/>
      <c r="H152" s="5" t="str">
        <f t="shared" si="3"/>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SchoolDistrict</v>
      </c>
      <c r="S152" s="10" t="str">
        <f>IF(LEN(Table2[[#This Row],[!Description]]) &gt; 0, Table2[[#This Row],[!Description]], "rg:None")</f>
        <v>A list of School Districts in the Province of BC. Authoritative source to be determined.</v>
      </c>
      <c r="T152" s="10" t="str">
        <f>IF(LEN(Table2[[#This Row],[!FK]])&gt;0,Table2[[#This Row],[!FK]],"rg:None")</f>
        <v>rg:None</v>
      </c>
      <c r="U152" s="10" t="str">
        <f>IF(LEN(concatif2(A:A,Table2[[#This Row],[!Table]],G:G,"Y",D:D,",")) &gt; 0,"rg:[ { 'req' : '"&amp;concatif2(A:A,Table2[[#This Row],[!Table]],G:G,"Y",D:D,"' }, { 'req': '")&amp;"'} ]","rg:[]")</f>
        <v>rg:[ { 'req' : 'id'} ]</v>
      </c>
    </row>
    <row r="153" spans="1:21" x14ac:dyDescent="0.3">
      <c r="A153" s="3" t="s">
        <v>41</v>
      </c>
      <c r="B153" s="3" t="s">
        <v>8</v>
      </c>
      <c r="C153" s="3"/>
      <c r="D153" s="3" t="s">
        <v>8</v>
      </c>
      <c r="E153" s="29" t="s">
        <v>9</v>
      </c>
      <c r="F153" s="3" t="s">
        <v>7</v>
      </c>
      <c r="G153" s="4" t="s">
        <v>179</v>
      </c>
      <c r="H153" s="5" t="str">
        <f t="shared" si="3"/>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row>
    <row r="154" spans="1:21" x14ac:dyDescent="0.3">
      <c r="A154" s="3" t="s">
        <v>41</v>
      </c>
      <c r="B154" s="3" t="s">
        <v>10</v>
      </c>
      <c r="C154" s="3"/>
      <c r="D154" s="3" t="s">
        <v>65</v>
      </c>
      <c r="E154" s="29" t="s">
        <v>141</v>
      </c>
      <c r="F154" s="3" t="s">
        <v>7</v>
      </c>
      <c r="G154" s="4"/>
      <c r="H154" s="5" t="str">
        <f t="shared" si="3"/>
        <v>Defs</v>
      </c>
      <c r="I154" t="str">
        <f>IF(Table2[[#This Row],[!Type]]=I$1, I$1,"rg:None")</f>
        <v>rg:None</v>
      </c>
      <c r="J154" t="str">
        <f>IF(Table2[[#This Row],[!Type]]=J$1, J$1,"rg:None")</f>
        <v>rg:None</v>
      </c>
      <c r="K154" t="str">
        <f>IF(Table2[[#This Row],[!Type]]=K$1, K$1,"rg:None")</f>
        <v>rg:None</v>
      </c>
      <c r="L154" s="10" t="str">
        <f>IF(Table2[[#This Row],[!Type]]=L$1, L$1,"rg:None")</f>
        <v>rg:None</v>
      </c>
      <c r="M154" s="5" t="str">
        <f>IF(Table2[[#This Row],[!Type]]=M$1, M$1,"rg:None")</f>
        <v>rg:None</v>
      </c>
      <c r="N154" s="5" t="str">
        <f>IF(Table2[[#This Row],[!Type]]=N$1, N$1,"rg:None")</f>
        <v>rg:None</v>
      </c>
      <c r="O154" s="5" t="str">
        <f>IF(Table2[[#This Row],[!Type]]=O$1, O$1,"rg:None")</f>
        <v>string</v>
      </c>
      <c r="P154" s="5" t="str">
        <f>IF(Table2[[#This Row],[!Type]]=P$1, P$1,"rg:None")</f>
        <v>rg:None</v>
      </c>
      <c r="Q154" s="10" t="str">
        <f>IF(LEN(Table2[[#This Row],[!Length]]) &gt; 0, Table2[[#This Row],[!Length]], "rg:None")</f>
        <v>rg:None</v>
      </c>
      <c r="R154" s="10" t="str">
        <f>IF(LEN(Table2[[#This Row],[!Name]]) &gt; 0, Table2[[#This Row],[!Name]], "rg:None")</f>
        <v>name</v>
      </c>
      <c r="S154" s="10" t="str">
        <f>IF(LEN(Table2[[#This Row],[!Description]]) &gt; 0, Table2[[#This Row],[!Description]], "rg:None")</f>
        <v>The full name of the School District</v>
      </c>
      <c r="T154" s="10" t="str">
        <f>IF(LEN(Table2[[#This Row],[!FK]])&gt;0,Table2[[#This Row],[!FK]],"rg:None")</f>
        <v>rg:None</v>
      </c>
      <c r="U154" s="10" t="str">
        <f>IF(LEN(concatif2(A:A,Table2[[#This Row],[!Table]],G:G,"Y",D:D,",")) &gt; 0,"rg:[ { 'req' : '"&amp;concatif2(A:A,Table2[[#This Row],[!Table]],G:G,"Y",D:D,"' }, { 'req': '")&amp;"'} ]","rg:[]")</f>
        <v>rg:[ { 'req' : 'id'} ]</v>
      </c>
    </row>
    <row r="155" spans="1:21" x14ac:dyDescent="0.3">
      <c r="A155" s="3" t="s">
        <v>41</v>
      </c>
      <c r="B155" s="3" t="s">
        <v>10</v>
      </c>
      <c r="C155" s="3"/>
      <c r="D155" s="3" t="s">
        <v>142</v>
      </c>
      <c r="E155" s="29" t="s">
        <v>143</v>
      </c>
      <c r="F155" s="3" t="s">
        <v>7</v>
      </c>
      <c r="G155" s="4"/>
      <c r="H155" s="5" t="str">
        <f t="shared" si="3"/>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shortName</v>
      </c>
      <c r="S155" s="10" t="str">
        <f>IF(LEN(Table2[[#This Row],[!Description]]) &gt; 0, Table2[[#This Row],[!Description]], "rg:None")</f>
        <v>A short name for the School District useful in some areas of the UI. Usually with format \&amp;quot;SD 61\&amp;quot;.</v>
      </c>
      <c r="T155" s="10" t="str">
        <f>IF(LEN(Table2[[#This Row],[!FK]])&gt;0,Table2[[#This Row],[!FK]],"rg:None")</f>
        <v>rg:None</v>
      </c>
      <c r="U155" s="10" t="str">
        <f>IF(LEN(concatif2(A:A,Table2[[#This Row],[!Table]],G:G,"Y",D:D,",")) &gt; 0,"rg:[ { 'req' : '"&amp;concatif2(A:A,Table2[[#This Row],[!Table]],G:G,"Y",D:D,"' }, { 'req': '")&amp;"'} ]","rg:[]")</f>
        <v>rg:[ { 'req' : 'id'} ]</v>
      </c>
    </row>
    <row r="156" spans="1:21" x14ac:dyDescent="0.3">
      <c r="A156" s="3" t="s">
        <v>28</v>
      </c>
      <c r="B156" s="3" t="s">
        <v>5</v>
      </c>
      <c r="C156" s="3"/>
      <c r="D156" s="3" t="s">
        <v>28</v>
      </c>
      <c r="E156" s="29" t="s">
        <v>218</v>
      </c>
      <c r="F156" s="3" t="s">
        <v>7</v>
      </c>
      <c r="G156" s="4"/>
      <c r="H156" s="5" t="str">
        <f t="shared" si="3"/>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rg:None</v>
      </c>
      <c r="O156" s="5" t="str">
        <f>IF(Table2[[#This Row],[!Type]]=O$1, O$1,"rg:None")</f>
        <v>rg:None</v>
      </c>
      <c r="P156" s="5" t="str">
        <f>IF(Table2[[#This Row],[!Type]]=P$1, P$1,"rg:None")</f>
        <v>table</v>
      </c>
      <c r="Q156" s="10" t="str">
        <f>IF(LEN(Table2[[#This Row],[!Length]]) &gt; 0, Table2[[#This Row],[!Length]], "rg:None")</f>
        <v>rg:None</v>
      </c>
      <c r="R156" s="10" t="str">
        <f>IF(LEN(Table2[[#This Row],[!Name]]) &gt; 0, Table2[[#This Row],[!Name]], "rg:None")</f>
        <v>City</v>
      </c>
      <c r="S156" s="10" t="str">
        <f>IF(LEN(Table2[[#This Row],[!Description]]) &gt; 0, Table2[[#This Row],[!Description]], "rg:None")</f>
        <v>A list of cities in BC. Authoritative source to be determined.</v>
      </c>
      <c r="T156" s="10" t="str">
        <f>IF(LEN(Table2[[#This Row],[!FK]])&gt;0,Table2[[#This Row],[!FK]],"rg:None")</f>
        <v>rg:None</v>
      </c>
      <c r="U156" s="10" t="str">
        <f>IF(LEN(concatif2(A:A,Table2[[#This Row],[!Table]],G:G,"Y",D:D,",")) &gt; 0,"rg:[ { 'req' : '"&amp;concatif2(A:A,Table2[[#This Row],[!Table]],G:G,"Y",D:D,"' }, { 'req': '")&amp;"'} ]","rg:[]")</f>
        <v>rg:[ { 'req' : 'id'} ]</v>
      </c>
    </row>
    <row r="157" spans="1:21" x14ac:dyDescent="0.3">
      <c r="A157" s="3" t="s">
        <v>28</v>
      </c>
      <c r="B157" s="3" t="s">
        <v>8</v>
      </c>
      <c r="C157" s="3"/>
      <c r="D157" s="3" t="s">
        <v>8</v>
      </c>
      <c r="E157" s="29" t="s">
        <v>9</v>
      </c>
      <c r="F157" s="3" t="s">
        <v>7</v>
      </c>
      <c r="G157" s="4" t="s">
        <v>179</v>
      </c>
      <c r="H157" s="5" t="str">
        <f t="shared" si="3"/>
        <v>Defs</v>
      </c>
      <c r="I157" t="str">
        <f>IF(Table2[[#This Row],[!Type]]=I$1, I$1,"rg:None")</f>
        <v>rg:None</v>
      </c>
      <c r="J157" t="str">
        <f>IF(Table2[[#This Row],[!Type]]=J$1, J$1,"rg:None")</f>
        <v>rg:None</v>
      </c>
      <c r="K157" t="str">
        <f>IF(Table2[[#This Row],[!Type]]=K$1, K$1,"rg:None")</f>
        <v>id</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id</v>
      </c>
      <c r="S157" s="10" t="str">
        <f>IF(LEN(Table2[[#This Row],[!Description]]) &gt; 0, Table2[[#This Row],[!Description]], "rg:None")</f>
        <v>Primary Key</v>
      </c>
      <c r="T157" s="10" t="str">
        <f>IF(LEN(Table2[[#This Row],[!FK]])&gt;0,Table2[[#This Row],[!FK]],"rg:None")</f>
        <v>rg:None</v>
      </c>
      <c r="U157" s="10" t="str">
        <f>IF(LEN(concatif2(A:A,Table2[[#This Row],[!Table]],G:G,"Y",D:D,",")) &gt; 0,"rg:[ { 'req' : '"&amp;concatif2(A:A,Table2[[#This Row],[!Table]],G:G,"Y",D:D,"' }, { 'req': '")&amp;"'} ]","rg:[]")</f>
        <v>rg:[ { 'req' : 'id'} ]</v>
      </c>
    </row>
    <row r="158" spans="1:21" x14ac:dyDescent="0.3">
      <c r="A158" s="3" t="s">
        <v>28</v>
      </c>
      <c r="B158" s="3" t="s">
        <v>10</v>
      </c>
      <c r="C158" s="3"/>
      <c r="D158" s="3" t="s">
        <v>65</v>
      </c>
      <c r="E158" s="29" t="s">
        <v>144</v>
      </c>
      <c r="F158" s="3" t="s">
        <v>7</v>
      </c>
      <c r="G158" s="4"/>
      <c r="H158" s="5" t="str">
        <f t="shared" si="3"/>
        <v>Defs</v>
      </c>
      <c r="I158" t="str">
        <f>IF(Table2[[#This Row],[!Type]]=I$1, I$1,"rg:None")</f>
        <v>rg:None</v>
      </c>
      <c r="J158" t="str">
        <f>IF(Table2[[#This Row],[!Type]]=J$1, J$1,"rg:None")</f>
        <v>rg:None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string</v>
      </c>
      <c r="P158" s="5" t="str">
        <f>IF(Table2[[#This Row],[!Type]]=P$1, P$1,"rg:None")</f>
        <v>rg:None</v>
      </c>
      <c r="Q158" s="10" t="str">
        <f>IF(LEN(Table2[[#This Row],[!Length]]) &gt; 0, Table2[[#This Row],[!Length]], "rg:None")</f>
        <v>rg:None</v>
      </c>
      <c r="R158" s="10" t="str">
        <f>IF(LEN(Table2[[#This Row],[!Name]]) &gt; 0, Table2[[#This Row],[!Name]], "rg:None")</f>
        <v>name</v>
      </c>
      <c r="S158" s="10" t="str">
        <f>IF(LEN(Table2[[#This Row],[!Description]]) &gt; 0, Table2[[#This Row],[!Description]], "rg:None")</f>
        <v>The name of the City</v>
      </c>
      <c r="T158" s="10" t="str">
        <f>IF(LEN(Table2[[#This Row],[!FK]])&gt;0,Table2[[#This Row],[!FK]],"rg:None")</f>
        <v>rg:None</v>
      </c>
      <c r="U158" s="10" t="str">
        <f>IF(LEN(concatif2(A:A,Table2[[#This Row],[!Table]],G:G,"Y",D:D,",")) &gt; 0,"rg:[ { 'req' : '"&amp;concatif2(A:A,Table2[[#This Row],[!Table]],G:G,"Y",D:D,"' }, { 'req': '")&amp;"'} ]","rg:[]")</f>
        <v>rg:[ { 'req' : 'id'} ]</v>
      </c>
    </row>
    <row r="159" spans="1:21" x14ac:dyDescent="0.3">
      <c r="A159" s="3" t="s">
        <v>145</v>
      </c>
      <c r="B159" s="3" t="s">
        <v>5</v>
      </c>
      <c r="C159" s="3"/>
      <c r="D159" s="3" t="s">
        <v>145</v>
      </c>
      <c r="E159" s="29" t="s">
        <v>7</v>
      </c>
      <c r="F159" s="3" t="s">
        <v>7</v>
      </c>
      <c r="G159" s="4"/>
      <c r="H159" s="5" t="str">
        <f t="shared" si="3"/>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Notification</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row>
    <row r="160" spans="1:21" x14ac:dyDescent="0.3">
      <c r="A160" s="3" t="s">
        <v>145</v>
      </c>
      <c r="B160" s="3" t="s">
        <v>8</v>
      </c>
      <c r="C160" s="3"/>
      <c r="D160" s="3" t="s">
        <v>8</v>
      </c>
      <c r="E160" s="29" t="s">
        <v>9</v>
      </c>
      <c r="F160" s="3" t="s">
        <v>7</v>
      </c>
      <c r="G160" s="4" t="s">
        <v>179</v>
      </c>
      <c r="H160" s="5" t="str">
        <f t="shared" si="3"/>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row>
    <row r="161" spans="1:21" x14ac:dyDescent="0.3">
      <c r="A161" s="3" t="s">
        <v>145</v>
      </c>
      <c r="B161" s="3" t="s">
        <v>14</v>
      </c>
      <c r="C161" s="3"/>
      <c r="D161" s="3" t="s">
        <v>146</v>
      </c>
      <c r="E161" s="29" t="s">
        <v>7</v>
      </c>
      <c r="F161" s="3" t="s">
        <v>147</v>
      </c>
      <c r="G161" s="4"/>
      <c r="H161" s="5" t="str">
        <f t="shared" si="3"/>
        <v>Defs</v>
      </c>
      <c r="I161" t="str">
        <f>IF(Table2[[#This Row],[!Type]]=I$1, I$1,"rg:None")</f>
        <v>rg:None</v>
      </c>
      <c r="J161" t="str">
        <f>IF(Table2[[#This Row],[!Type]]=J$1, J$1,"rg:None")</f>
        <v>rg:None</v>
      </c>
      <c r="K161" t="str">
        <f>IF(Table2[[#This Row],[!Type]]=K$1, K$1,"rg:None")</f>
        <v>rg:None</v>
      </c>
      <c r="L161" s="10" t="str">
        <f>IF(Table2[[#This Row],[!Type]]=L$1, L$1,"rg:None")</f>
        <v>rg:None</v>
      </c>
      <c r="M161" s="5" t="str">
        <f>IF(Table2[[#This Row],[!Type]]=M$1, M$1,"rg:None")</f>
        <v>rg:None</v>
      </c>
      <c r="N161" s="5" t="str">
        <f>IF(Table2[[#This Row],[!Type]]=N$1, N$1,"rg:None")</f>
        <v>ref</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event</v>
      </c>
      <c r="S161" s="10" t="str">
        <f>IF(LEN(Table2[[#This Row],[!Description]]) &gt; 0, Table2[[#This Row],[!Description]], "rg:None")</f>
        <v>rg:None</v>
      </c>
      <c r="T161" s="10" t="str">
        <f>IF(LEN(Table2[[#This Row],[!FK]])&gt;0,Table2[[#This Row],[!FK]],"rg:None")</f>
        <v>NotificationEvent</v>
      </c>
      <c r="U161" s="10" t="str">
        <f>IF(LEN(concatif2(A:A,Table2[[#This Row],[!Table]],G:G,"Y",D:D,",")) &gt; 0,"rg:[ { 'req' : '"&amp;concatif2(A:A,Table2[[#This Row],[!Table]],G:G,"Y",D:D,"' }, { 'req': '")&amp;"'} ]","rg:[]")</f>
        <v>rg:[ { 'req' : 'id'} ]</v>
      </c>
    </row>
    <row r="162" spans="1:21" x14ac:dyDescent="0.3">
      <c r="A162" s="3" t="s">
        <v>145</v>
      </c>
      <c r="B162" s="3" t="s">
        <v>14</v>
      </c>
      <c r="C162" s="3"/>
      <c r="D162" s="3" t="s">
        <v>148</v>
      </c>
      <c r="E162" s="29" t="s">
        <v>7</v>
      </c>
      <c r="F162" s="3" t="s">
        <v>147</v>
      </c>
      <c r="G162" s="4"/>
      <c r="H162" s="5" t="str">
        <f t="shared" si="3"/>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ref</v>
      </c>
      <c r="O162" s="5" t="str">
        <f>IF(Table2[[#This Row],[!Type]]=O$1, O$1,"rg:None")</f>
        <v>rg:None</v>
      </c>
      <c r="P162" s="5" t="str">
        <f>IF(Table2[[#This Row],[!Type]]=P$1, P$1,"rg:None")</f>
        <v>rg:None</v>
      </c>
      <c r="Q162" s="10" t="str">
        <f>IF(LEN(Table2[[#This Row],[!Length]]) &gt; 0, Table2[[#This Row],[!Length]], "rg:None")</f>
        <v>rg:None</v>
      </c>
      <c r="R162" s="10" t="str">
        <f>IF(LEN(Table2[[#This Row],[!Name]]) &gt; 0, Table2[[#This Row],[!Name]], "rg:None")</f>
        <v>event2</v>
      </c>
      <c r="S162" s="10" t="str">
        <f>IF(LEN(Table2[[#This Row],[!Description]]) &gt; 0, Table2[[#This Row],[!Description]], "rg:None")</f>
        <v>rg:None</v>
      </c>
      <c r="T162" s="10" t="str">
        <f>IF(LEN(Table2[[#This Row],[!FK]])&gt;0,Table2[[#This Row],[!FK]],"rg:None")</f>
        <v>NotificationEvent</v>
      </c>
      <c r="U162" s="10" t="str">
        <f>IF(LEN(concatif2(A:A,Table2[[#This Row],[!Table]],G:G,"Y",D:D,",")) &gt; 0,"rg:[ { 'req' : '"&amp;concatif2(A:A,Table2[[#This Row],[!Table]],G:G,"Y",D:D,"' }, { 'req': '")&amp;"'} ]","rg:[]")</f>
        <v>rg:[ { 'req' : 'id'} ]</v>
      </c>
    </row>
    <row r="163" spans="1:21" x14ac:dyDescent="0.3">
      <c r="A163" s="3" t="s">
        <v>145</v>
      </c>
      <c r="B163" s="3" t="s">
        <v>21</v>
      </c>
      <c r="C163" s="3"/>
      <c r="D163" s="3" t="s">
        <v>149</v>
      </c>
      <c r="E163" s="29" t="s">
        <v>7</v>
      </c>
      <c r="F163" s="3" t="s">
        <v>7</v>
      </c>
      <c r="G163" s="4"/>
      <c r="H163" s="5" t="str">
        <f t="shared" si="3"/>
        <v>Defs</v>
      </c>
      <c r="I163" t="str">
        <f>IF(Table2[[#This Row],[!Type]]=I$1, I$1,"rg:None")</f>
        <v>boolean</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rg:None</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hasBeenViewed</v>
      </c>
      <c r="S163" s="10" t="str">
        <f>IF(LEN(Table2[[#This Row],[!Description]]) &gt; 0, Table2[[#This Row],[!Description]], "rg:None")</f>
        <v>rg:None</v>
      </c>
      <c r="T163" s="10" t="str">
        <f>IF(LEN(Table2[[#This Row],[!FK]])&gt;0,Table2[[#This Row],[!FK]],"rg:None")</f>
        <v>rg:None</v>
      </c>
      <c r="U163" s="10" t="str">
        <f>IF(LEN(concatif2(A:A,Table2[[#This Row],[!Table]],G:G,"Y",D:D,",")) &gt; 0,"rg:[ { 'req' : '"&amp;concatif2(A:A,Table2[[#This Row],[!Table]],G:G,"Y",D:D,"' }, { 'req': '")&amp;"'} ]","rg:[]")</f>
        <v>rg:[ { 'req' : 'id'} ]</v>
      </c>
    </row>
    <row r="164" spans="1:21" x14ac:dyDescent="0.3">
      <c r="A164" s="3" t="s">
        <v>145</v>
      </c>
      <c r="B164" s="3" t="s">
        <v>21</v>
      </c>
      <c r="C164" s="3"/>
      <c r="D164" s="3" t="s">
        <v>150</v>
      </c>
      <c r="E164" s="29" t="s">
        <v>7</v>
      </c>
      <c r="F164" s="3" t="s">
        <v>7</v>
      </c>
      <c r="G164" s="4"/>
      <c r="H164" s="5" t="str">
        <f t="shared" si="3"/>
        <v>Defs</v>
      </c>
      <c r="I164" t="str">
        <f>IF(Table2[[#This Row],[!Type]]=I$1, I$1,"rg:None")</f>
        <v>boolean</v>
      </c>
      <c r="J164" t="str">
        <f>IF(Table2[[#This Row],[!Type]]=J$1, J$1,"rg:None")</f>
        <v>rg:None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isWatchNotification</v>
      </c>
      <c r="S164" s="10" t="str">
        <f>IF(LEN(Table2[[#This Row],[!Description]]) &gt; 0, Table2[[#This Row],[!Description]], "rg:None")</f>
        <v>rg:None</v>
      </c>
      <c r="T164" s="10" t="str">
        <f>IF(LEN(Table2[[#This Row],[!FK]])&gt;0,Table2[[#This Row],[!FK]],"rg:None")</f>
        <v>rg:None</v>
      </c>
      <c r="U164" s="10" t="str">
        <f>IF(LEN(concatif2(A:A,Table2[[#This Row],[!Table]],G:G,"Y",D:D,",")) &gt; 0,"rg:[ { 'req' : '"&amp;concatif2(A:A,Table2[[#This Row],[!Table]],G:G,"Y",D:D,"' }, { 'req': '")&amp;"'} ]","rg:[]")</f>
        <v>rg:[ { 'req' : 'id'} ]</v>
      </c>
    </row>
    <row r="165" spans="1:21" x14ac:dyDescent="0.3">
      <c r="A165" s="3" t="s">
        <v>145</v>
      </c>
      <c r="B165" s="3" t="s">
        <v>21</v>
      </c>
      <c r="C165" s="3"/>
      <c r="D165" s="3" t="s">
        <v>151</v>
      </c>
      <c r="E165" s="29" t="s">
        <v>7</v>
      </c>
      <c r="F165" s="3" t="s">
        <v>7</v>
      </c>
      <c r="G165" s="4"/>
      <c r="H165" s="5" t="str">
        <f t="shared" si="3"/>
        <v>Defs</v>
      </c>
      <c r="I165" t="str">
        <f>IF(Table2[[#This Row],[!Type]]=I$1, I$1,"rg:None")</f>
        <v>boolean</v>
      </c>
      <c r="J165" t="str">
        <f>IF(Table2[[#This Row],[!Type]]=J$1, J$1,"rg:None")</f>
        <v>rg:None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isExpired</v>
      </c>
      <c r="S165" s="10" t="str">
        <f>IF(LEN(Table2[[#This Row],[!Description]]) &gt; 0, Table2[[#This Row],[!Description]], "rg:None")</f>
        <v>rg:None</v>
      </c>
      <c r="T165" s="10" t="str">
        <f>IF(LEN(Table2[[#This Row],[!FK]])&gt;0,Table2[[#This Row],[!FK]],"rg:None")</f>
        <v>rg:None</v>
      </c>
      <c r="U165" s="10" t="str">
        <f>IF(LEN(concatif2(A:A,Table2[[#This Row],[!Table]],G:G,"Y",D:D,",")) &gt; 0,"rg:[ { 'req' : '"&amp;concatif2(A:A,Table2[[#This Row],[!Table]],G:G,"Y",D:D,"' }, { 'req': '")&amp;"'} ]","rg:[]")</f>
        <v>rg:[ { 'req' : 'id'} ]</v>
      </c>
    </row>
    <row r="166" spans="1:21" x14ac:dyDescent="0.3">
      <c r="A166" s="3" t="s">
        <v>145</v>
      </c>
      <c r="B166" s="3" t="s">
        <v>21</v>
      </c>
      <c r="C166" s="3"/>
      <c r="D166" s="3" t="s">
        <v>152</v>
      </c>
      <c r="E166" s="29" t="s">
        <v>7</v>
      </c>
      <c r="F166" s="3" t="s">
        <v>7</v>
      </c>
      <c r="G166" s="4"/>
      <c r="H166" s="5" t="str">
        <f t="shared" si="3"/>
        <v>Defs</v>
      </c>
      <c r="I166" t="str">
        <f>IF(Table2[[#This Row],[!Type]]=I$1, I$1,"rg:None")</f>
        <v>boolean</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rg:None</v>
      </c>
      <c r="Q166" s="10" t="str">
        <f>IF(LEN(Table2[[#This Row],[!Length]]) &gt; 0, Table2[[#This Row],[!Length]], "rg:None")</f>
        <v>rg:None</v>
      </c>
      <c r="R166" s="10" t="str">
        <f>IF(LEN(Table2[[#This Row],[!Name]]) &gt; 0, Table2[[#This Row],[!Name]], "rg:None")</f>
        <v>isAllDay</v>
      </c>
      <c r="S166" s="10" t="str">
        <f>IF(LEN(Table2[[#This Row],[!Description]]) &gt; 0, Table2[[#This Row],[!Description]], "rg:None")</f>
        <v>rg:None</v>
      </c>
      <c r="T166" s="10" t="str">
        <f>IF(LEN(Table2[[#This Row],[!FK]])&gt;0,Table2[[#This Row],[!FK]],"rg:None")</f>
        <v>rg:None</v>
      </c>
      <c r="U166" s="10" t="str">
        <f>IF(LEN(concatif2(A:A,Table2[[#This Row],[!Table]],G:G,"Y",D:D,",")) &gt; 0,"rg:[ { 'req' : '"&amp;concatif2(A:A,Table2[[#This Row],[!Table]],G:G,"Y",D:D,"' }, { 'req': '")&amp;"'} ]","rg:[]")</f>
        <v>rg:[ { 'req' : 'id'} ]</v>
      </c>
    </row>
    <row r="167" spans="1:21" x14ac:dyDescent="0.3">
      <c r="A167" s="3" t="s">
        <v>145</v>
      </c>
      <c r="B167" s="3" t="s">
        <v>10</v>
      </c>
      <c r="C167" s="3"/>
      <c r="D167" s="3" t="s">
        <v>153</v>
      </c>
      <c r="E167" s="29" t="s">
        <v>7</v>
      </c>
      <c r="F167" s="3" t="s">
        <v>7</v>
      </c>
      <c r="G167" s="4"/>
      <c r="H167" s="5" t="str">
        <f t="shared" si="3"/>
        <v>Defs</v>
      </c>
      <c r="I167" t="str">
        <f>IF(Table2[[#This Row],[!Type]]=I$1, I$1,"rg:None")</f>
        <v>rg:None</v>
      </c>
      <c r="J167" t="str">
        <f>IF(Table2[[#This Row],[!Type]]=J$1, J$1,"rg:None")</f>
        <v>rg:None</v>
      </c>
      <c r="K167" t="str">
        <f>IF(Table2[[#This Row],[!Type]]=K$1, K$1,"rg:None")</f>
        <v>rg:None</v>
      </c>
      <c r="L167" s="10" t="str">
        <f>IF(Table2[[#This Row],[!Type]]=L$1, L$1,"rg:None")</f>
        <v>rg:None</v>
      </c>
      <c r="M167" s="5" t="str">
        <f>IF(Table2[[#This Row],[!Type]]=M$1, M$1,"rg:None")</f>
        <v>rg:None</v>
      </c>
      <c r="N167" s="5" t="str">
        <f>IF(Table2[[#This Row],[!Type]]=N$1, N$1,"rg:None")</f>
        <v>rg:None</v>
      </c>
      <c r="O167" s="5" t="str">
        <f>IF(Table2[[#This Row],[!Type]]=O$1, O$1,"rg:None")</f>
        <v>string</v>
      </c>
      <c r="P167" s="5" t="str">
        <f>IF(Table2[[#This Row],[!Type]]=P$1, P$1,"rg:None")</f>
        <v>rg:None</v>
      </c>
      <c r="Q167" s="10" t="str">
        <f>IF(LEN(Table2[[#This Row],[!Length]]) &gt; 0, Table2[[#This Row],[!Length]], "rg:None")</f>
        <v>rg:None</v>
      </c>
      <c r="R167" s="10" t="str">
        <f>IF(LEN(Table2[[#This Row],[!Name]]) &gt; 0, Table2[[#This Row],[!Name]], "rg:None")</f>
        <v>priorityCode</v>
      </c>
      <c r="S167" s="10" t="str">
        <f>IF(LEN(Table2[[#This Row],[!Description]]) &gt; 0, Table2[[#This Row],[!Description]], "rg:None")</f>
        <v>rg:None</v>
      </c>
      <c r="T167" s="10" t="str">
        <f>IF(LEN(Table2[[#This Row],[!FK]])&gt;0,Table2[[#This Row],[!FK]],"rg:None")</f>
        <v>rg:None</v>
      </c>
      <c r="U167" s="10" t="str">
        <f>IF(LEN(concatif2(A:A,Table2[[#This Row],[!Table]],G:G,"Y",D:D,",")) &gt; 0,"rg:[ { 'req' : '"&amp;concatif2(A:A,Table2[[#This Row],[!Table]],G:G,"Y",D:D,"' }, { 'req': '")&amp;"'} ]","rg:[]")</f>
        <v>rg:[ { 'req' : 'id'} ]</v>
      </c>
    </row>
    <row r="168" spans="1:21" x14ac:dyDescent="0.3">
      <c r="A168" s="3" t="s">
        <v>145</v>
      </c>
      <c r="B168" s="3" t="s">
        <v>14</v>
      </c>
      <c r="C168" s="3"/>
      <c r="D168" s="3" t="s">
        <v>154</v>
      </c>
      <c r="E168" s="29" t="s">
        <v>7</v>
      </c>
      <c r="F168" s="3" t="s">
        <v>0</v>
      </c>
      <c r="G168" s="4"/>
      <c r="H168" s="5" t="str">
        <f t="shared" si="3"/>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ref</v>
      </c>
      <c r="O168" s="5" t="str">
        <f>IF(Table2[[#This Row],[!Type]]=O$1, O$1,"rg:None")</f>
        <v>rg:None</v>
      </c>
      <c r="P168" s="5" t="str">
        <f>IF(Table2[[#This Row],[!Type]]=P$1, P$1,"rg:None")</f>
        <v>rg:None</v>
      </c>
      <c r="Q168" s="10" t="str">
        <f>IF(LEN(Table2[[#This Row],[!Length]]) &gt; 0, Table2[[#This Row],[!Length]], "rg:None")</f>
        <v>rg:None</v>
      </c>
      <c r="R168" s="10" t="str">
        <f>IF(LEN(Table2[[#This Row],[!Name]]) &gt; 0, Table2[[#This Row],[!Name]], "rg:None")</f>
        <v>user</v>
      </c>
      <c r="S168" s="10" t="str">
        <f>IF(LEN(Table2[[#This Row],[!Description]]) &gt; 0, Table2[[#This Row],[!Description]], "rg:None")</f>
        <v>rg:None</v>
      </c>
      <c r="T168" s="10" t="str">
        <f>IF(LEN(Table2[[#This Row],[!FK]])&gt;0,Table2[[#This Row],[!FK]],"rg:None")</f>
        <v>User</v>
      </c>
      <c r="U168" s="10" t="str">
        <f>IF(LEN(concatif2(A:A,Table2[[#This Row],[!Table]],G:G,"Y",D:D,",")) &gt; 0,"rg:[ { 'req' : '"&amp;concatif2(A:A,Table2[[#This Row],[!Table]],G:G,"Y",D:D,"' }, { 'req': '")&amp;"'} ]","rg:[]")</f>
        <v>rg:[ { 'req' : 'id'} ]</v>
      </c>
    </row>
    <row r="169" spans="1:21" x14ac:dyDescent="0.3">
      <c r="A169" s="3" t="s">
        <v>147</v>
      </c>
      <c r="B169" s="3" t="s">
        <v>5</v>
      </c>
      <c r="C169" s="3"/>
      <c r="D169" s="3" t="s">
        <v>147</v>
      </c>
      <c r="E169" s="29" t="s">
        <v>7</v>
      </c>
      <c r="F169" s="3" t="s">
        <v>7</v>
      </c>
      <c r="G169" s="4"/>
      <c r="H169" s="5" t="str">
        <f t="shared" si="3"/>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rg:None</v>
      </c>
      <c r="P169" s="5" t="str">
        <f>IF(Table2[[#This Row],[!Type]]=P$1, P$1,"rg:None")</f>
        <v>table</v>
      </c>
      <c r="Q169" s="10" t="str">
        <f>IF(LEN(Table2[[#This Row],[!Length]]) &gt; 0, Table2[[#This Row],[!Length]], "rg:None")</f>
        <v>rg:None</v>
      </c>
      <c r="R169" s="10" t="str">
        <f>IF(LEN(Table2[[#This Row],[!Name]]) &gt; 0, Table2[[#This Row],[!Name]], "rg:None")</f>
        <v>NotificationEvent</v>
      </c>
      <c r="S169" s="10" t="str">
        <f>IF(LEN(Table2[[#This Row],[!Description]]) &gt; 0, Table2[[#This Row],[!Description]], "rg:None")</f>
        <v>rg:None</v>
      </c>
      <c r="T169" s="10" t="str">
        <f>IF(LEN(Table2[[#This Row],[!FK]])&gt;0,Table2[[#This Row],[!FK]],"rg:None")</f>
        <v>rg:None</v>
      </c>
      <c r="U169" s="10" t="str">
        <f>IF(LEN(concatif2(A:A,Table2[[#This Row],[!Table]],G:G,"Y",D:D,",")) &gt; 0,"rg:[ { 'req' : '"&amp;concatif2(A:A,Table2[[#This Row],[!Table]],G:G,"Y",D:D,"' }, { 'req': '")&amp;"'} ]","rg:[]")</f>
        <v>rg:[ { 'req' : 'id'} ]</v>
      </c>
    </row>
    <row r="170" spans="1:21" x14ac:dyDescent="0.3">
      <c r="A170" s="3" t="s">
        <v>147</v>
      </c>
      <c r="B170" s="3" t="s">
        <v>8</v>
      </c>
      <c r="C170" s="3"/>
      <c r="D170" s="3" t="s">
        <v>8</v>
      </c>
      <c r="E170" s="29" t="s">
        <v>9</v>
      </c>
      <c r="F170" s="3" t="s">
        <v>7</v>
      </c>
      <c r="G170" s="4" t="s">
        <v>179</v>
      </c>
      <c r="H170" s="5" t="str">
        <f t="shared" si="3"/>
        <v>Defs</v>
      </c>
      <c r="I170" t="str">
        <f>IF(Table2[[#This Row],[!Type]]=I$1, I$1,"rg:None")</f>
        <v>rg:None</v>
      </c>
      <c r="J170" t="str">
        <f>IF(Table2[[#This Row],[!Type]]=J$1, J$1,"rg:None")</f>
        <v>rg:None</v>
      </c>
      <c r="K170" t="str">
        <f>IF(Table2[[#This Row],[!Type]]=K$1, K$1,"rg:None")</f>
        <v>id</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rg:None</v>
      </c>
      <c r="Q170" s="10" t="str">
        <f>IF(LEN(Table2[[#This Row],[!Length]]) &gt; 0, Table2[[#This Row],[!Length]], "rg:None")</f>
        <v>rg:None</v>
      </c>
      <c r="R170" s="10" t="str">
        <f>IF(LEN(Table2[[#This Row],[!Name]]) &gt; 0, Table2[[#This Row],[!Name]], "rg:None")</f>
        <v>id</v>
      </c>
      <c r="S170" s="10" t="str">
        <f>IF(LEN(Table2[[#This Row],[!Description]]) &gt; 0, Table2[[#This Row],[!Description]], "rg:None")</f>
        <v>Primary Key</v>
      </c>
      <c r="T170" s="10" t="str">
        <f>IF(LEN(Table2[[#This Row],[!FK]])&gt;0,Table2[[#This Row],[!FK]],"rg:None")</f>
        <v>rg:None</v>
      </c>
      <c r="U170" s="10" t="str">
        <f>IF(LEN(concatif2(A:A,Table2[[#This Row],[!Table]],G:G,"Y",D:D,",")) &gt; 0,"rg:[ { 'req' : '"&amp;concatif2(A:A,Table2[[#This Row],[!Table]],G:G,"Y",D:D,"' }, { 'req': '")&amp;"'} ]","rg:[]")</f>
        <v>rg:[ { 'req' : 'id'} ]</v>
      </c>
    </row>
    <row r="171" spans="1:21" x14ac:dyDescent="0.3">
      <c r="A171" s="3" t="s">
        <v>147</v>
      </c>
      <c r="B171" s="8" t="s">
        <v>36</v>
      </c>
      <c r="C171" s="3"/>
      <c r="D171" s="3" t="s">
        <v>155</v>
      </c>
      <c r="E171" s="29" t="s">
        <v>7</v>
      </c>
      <c r="F171" s="3" t="s">
        <v>7</v>
      </c>
      <c r="G171" s="4"/>
      <c r="H171" s="5" t="str">
        <f t="shared" si="3"/>
        <v>Defs</v>
      </c>
      <c r="I171" t="str">
        <f>IF(Table2[[#This Row],[!Type]]=I$1, I$1,"rg:None")</f>
        <v>rg:None</v>
      </c>
      <c r="J171" t="str">
        <f>IF(Table2[[#This Row],[!Type]]=J$1, J$1,"rg:None")</f>
        <v>datetime</v>
      </c>
      <c r="K171" t="str">
        <f>IF(Table2[[#This Row],[!Type]]=K$1, K$1,"rg:None")</f>
        <v>rg:None</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eventTime</v>
      </c>
      <c r="S171" s="10" t="str">
        <f>IF(LEN(Table2[[#This Row],[!Description]]) &gt; 0, Table2[[#This Row],[!Description]], "rg:None")</f>
        <v>rg:None</v>
      </c>
      <c r="T171" s="10" t="str">
        <f>IF(LEN(Table2[[#This Row],[!FK]])&gt;0,Table2[[#This Row],[!FK]],"rg:None")</f>
        <v>rg:None</v>
      </c>
      <c r="U171" s="10" t="str">
        <f>IF(LEN(concatif2(A:A,Table2[[#This Row],[!Table]],G:G,"Y",D:D,",")) &gt; 0,"rg:[ { 'req' : '"&amp;concatif2(A:A,Table2[[#This Row],[!Table]],G:G,"Y",D:D,"' }, { 'req': '")&amp;"'} ]","rg:[]")</f>
        <v>rg:[ { 'req' : 'id'} ]</v>
      </c>
    </row>
    <row r="172" spans="1:21" x14ac:dyDescent="0.3">
      <c r="A172" s="3" t="s">
        <v>147</v>
      </c>
      <c r="B172" s="3" t="s">
        <v>10</v>
      </c>
      <c r="C172" s="3"/>
      <c r="D172" s="3" t="s">
        <v>156</v>
      </c>
      <c r="E172" s="29" t="s">
        <v>7</v>
      </c>
      <c r="F172" s="3" t="s">
        <v>7</v>
      </c>
      <c r="G172" s="4"/>
      <c r="H172" s="5" t="str">
        <f t="shared" si="3"/>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eventTypeCode</v>
      </c>
      <c r="S172" s="10" t="str">
        <f>IF(LEN(Table2[[#This Row],[!Description]]) &gt; 0, Table2[[#This Row],[!Description]], "rg:None")</f>
        <v>rg:None</v>
      </c>
      <c r="T172" s="10" t="str">
        <f>IF(LEN(Table2[[#This Row],[!FK]])&gt;0,Table2[[#This Row],[!FK]],"rg:None")</f>
        <v>rg:None</v>
      </c>
      <c r="U172" s="10" t="str">
        <f>IF(LEN(concatif2(A:A,Table2[[#This Row],[!Table]],G:G,"Y",D:D,",")) &gt; 0,"rg:[ { 'req' : '"&amp;concatif2(A:A,Table2[[#This Row],[!Table]],G:G,"Y",D:D,"' }, { 'req': '")&amp;"'} ]","rg:[]")</f>
        <v>rg:[ { 'req' : 'id'} ]</v>
      </c>
    </row>
    <row r="173" spans="1:21" x14ac:dyDescent="0.3">
      <c r="A173" s="3" t="s">
        <v>147</v>
      </c>
      <c r="B173" s="3" t="s">
        <v>10</v>
      </c>
      <c r="C173" s="3"/>
      <c r="D173" s="3" t="s">
        <v>157</v>
      </c>
      <c r="E173" s="29" t="s">
        <v>7</v>
      </c>
      <c r="F173" s="3" t="s">
        <v>7</v>
      </c>
      <c r="G173" s="4"/>
      <c r="H173" s="5" t="str">
        <f t="shared" si="3"/>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string</v>
      </c>
      <c r="P173" s="5" t="str">
        <f>IF(Table2[[#This Row],[!Type]]=P$1, P$1,"rg:None")</f>
        <v>rg:None</v>
      </c>
      <c r="Q173" s="10" t="str">
        <f>IF(LEN(Table2[[#This Row],[!Length]]) &gt; 0, Table2[[#This Row],[!Length]], "rg:None")</f>
        <v>rg:None</v>
      </c>
      <c r="R173" s="10" t="str">
        <f>IF(LEN(Table2[[#This Row],[!Name]]) &gt; 0, Table2[[#This Row],[!Name]], "rg:None")</f>
        <v>eventSubTypeCode</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row>
    <row r="174" spans="1:21" x14ac:dyDescent="0.3">
      <c r="A174" s="3" t="s">
        <v>147</v>
      </c>
      <c r="B174" s="3" t="s">
        <v>10</v>
      </c>
      <c r="C174" s="3"/>
      <c r="D174" s="3" t="s">
        <v>83</v>
      </c>
      <c r="E174" s="29" t="s">
        <v>7</v>
      </c>
      <c r="F174" s="3" t="s">
        <v>7</v>
      </c>
      <c r="G174" s="4"/>
      <c r="H174" s="5" t="str">
        <f t="shared" si="3"/>
        <v>Defs</v>
      </c>
      <c r="I174" t="str">
        <f>IF(Table2[[#This Row],[!Type]]=I$1, I$1,"rg:None")</f>
        <v>rg:None</v>
      </c>
      <c r="J174" t="str">
        <f>IF(Table2[[#This Row],[!Type]]=J$1, J$1,"rg:None")</f>
        <v>rg:None</v>
      </c>
      <c r="K174" t="str">
        <f>IF(Table2[[#This Row],[!Type]]=K$1, K$1,"rg:None")</f>
        <v>rg:None</v>
      </c>
      <c r="L174" s="10" t="str">
        <f>IF(Table2[[#This Row],[!Type]]=L$1, L$1,"rg:None")</f>
        <v>rg:None</v>
      </c>
      <c r="M174" s="5" t="str">
        <f>IF(Table2[[#This Row],[!Type]]=M$1, M$1,"rg:None")</f>
        <v>rg:None</v>
      </c>
      <c r="N174" s="5" t="str">
        <f>IF(Table2[[#This Row],[!Type]]=N$1, N$1,"rg:None")</f>
        <v>rg:None</v>
      </c>
      <c r="O174" s="5" t="str">
        <f>IF(Table2[[#This Row],[!Type]]=O$1, O$1,"rg:None")</f>
        <v>string</v>
      </c>
      <c r="P174" s="5" t="str">
        <f>IF(Table2[[#This Row],[!Type]]=P$1, P$1,"rg:None")</f>
        <v>rg:None</v>
      </c>
      <c r="Q174" s="10" t="str">
        <f>IF(LEN(Table2[[#This Row],[!Length]]) &gt; 0, Table2[[#This Row],[!Length]], "rg:None")</f>
        <v>rg:None</v>
      </c>
      <c r="R174" s="10" t="str">
        <f>IF(LEN(Table2[[#This Row],[!Name]]) &gt; 0, Table2[[#This Row],[!Name]], "rg:None")</f>
        <v>notes</v>
      </c>
      <c r="S174" s="10" t="str">
        <f>IF(LEN(Table2[[#This Row],[!Description]]) &gt; 0, Table2[[#This Row],[!Description]], "rg:None")</f>
        <v>rg:None</v>
      </c>
      <c r="T174" s="10" t="str">
        <f>IF(LEN(Table2[[#This Row],[!FK]])&gt;0,Table2[[#This Row],[!FK]],"rg:None")</f>
        <v>rg:None</v>
      </c>
      <c r="U174" s="10" t="str">
        <f>IF(LEN(concatif2(A:A,Table2[[#This Row],[!Table]],G:G,"Y",D:D,",")) &gt; 0,"rg:[ { 'req' : '"&amp;concatif2(A:A,Table2[[#This Row],[!Table]],G:G,"Y",D:D,"' }, { 'req': '")&amp;"'} ]","rg:[]")</f>
        <v>rg:[ { 'req' : 'id'} ]</v>
      </c>
    </row>
    <row r="175" spans="1:21" x14ac:dyDescent="0.3">
      <c r="A175" s="3" t="s">
        <v>147</v>
      </c>
      <c r="B175" s="3" t="s">
        <v>21</v>
      </c>
      <c r="C175" s="3"/>
      <c r="D175" s="3" t="s">
        <v>158</v>
      </c>
      <c r="E175" s="29" t="s">
        <v>7</v>
      </c>
      <c r="F175" s="3" t="s">
        <v>7</v>
      </c>
      <c r="G175" s="4"/>
      <c r="H175" s="5" t="str">
        <f t="shared" si="3"/>
        <v>Defs</v>
      </c>
      <c r="I175" t="str">
        <f>IF(Table2[[#This Row],[!Type]]=I$1, I$1,"rg:None")</f>
        <v>boolean</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rg:None</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notificationGenerated</v>
      </c>
      <c r="S175" s="10" t="str">
        <f>IF(LEN(Table2[[#This Row],[!Description]]) &gt; 0, Table2[[#This Row],[!Description]], "rg:None")</f>
        <v>rg:None</v>
      </c>
      <c r="T175" s="10" t="str">
        <f>IF(LEN(Table2[[#This Row],[!FK]])&gt;0,Table2[[#This Row],[!FK]],"rg:None")</f>
        <v>rg:None</v>
      </c>
      <c r="U175" s="10" t="str">
        <f>IF(LEN(concatif2(A:A,Table2[[#This Row],[!Table]],G:G,"Y",D:D,",")) &gt; 0,"rg:[ { 'req' : '"&amp;concatif2(A:A,Table2[[#This Row],[!Table]],G:G,"Y",D:D,"' }, { 'req': '")&amp;"'} ]","rg:[]")</f>
        <v>rg:[ { 'req' : 'id'} ]</v>
      </c>
    </row>
    <row r="176" spans="1:21" x14ac:dyDescent="0.3">
      <c r="A176" s="3" t="s">
        <v>147</v>
      </c>
      <c r="B176" s="3" t="s">
        <v>14</v>
      </c>
      <c r="C176" s="3"/>
      <c r="D176" s="3" t="s">
        <v>56</v>
      </c>
      <c r="E176" s="29" t="s">
        <v>7</v>
      </c>
      <c r="F176" s="3" t="s">
        <v>4</v>
      </c>
      <c r="G176" s="4"/>
      <c r="H176" s="5" t="str">
        <f t="shared" si="3"/>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schoolBus</v>
      </c>
      <c r="S176" s="10" t="str">
        <f>IF(LEN(Table2[[#This Row],[!Description]]) &gt; 0, Table2[[#This Row],[!Description]], "rg:None")</f>
        <v>rg:None</v>
      </c>
      <c r="T176" s="10" t="str">
        <f>IF(LEN(Table2[[#This Row],[!FK]])&gt;0,Table2[[#This Row],[!FK]],"rg:None")</f>
        <v>SchoolBus</v>
      </c>
      <c r="U176" s="10" t="str">
        <f>IF(LEN(concatif2(A:A,Table2[[#This Row],[!Table]],G:G,"Y",D:D,",")) &gt; 0,"rg:[ { 'req' : '"&amp;concatif2(A:A,Table2[[#This Row],[!Table]],G:G,"Y",D:D,"' }, { 'req': '")&amp;"'} ]","rg:[]")</f>
        <v>rg:[ { 'req' : 'id'} ]</v>
      </c>
    </row>
    <row r="177" spans="1:21" x14ac:dyDescent="0.3">
      <c r="A177" s="3" t="s">
        <v>0</v>
      </c>
      <c r="B177" s="3" t="s">
        <v>5</v>
      </c>
      <c r="C177" s="3"/>
      <c r="D177" s="3" t="s">
        <v>0</v>
      </c>
      <c r="E177" s="29" t="s">
        <v>219</v>
      </c>
      <c r="F177" s="3" t="s">
        <v>7</v>
      </c>
      <c r="G177" s="4"/>
      <c r="H177" s="5" t="str">
        <f t="shared" si="3"/>
        <v>Defs</v>
      </c>
      <c r="I177" t="str">
        <f>IF(Table2[[#This Row],[!Type]]=I$1, I$1,"rg:None")</f>
        <v>rg:None</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table</v>
      </c>
      <c r="Q177" s="10" t="str">
        <f>IF(LEN(Table2[[#This Row],[!Length]]) &gt; 0, Table2[[#This Row],[!Length]], "rg:None")</f>
        <v>rg:None</v>
      </c>
      <c r="R177" s="10" t="str">
        <f>IF(LEN(Table2[[#This Row],[!Name]]) &gt; 0, Table2[[#This Row],[!Name]], "rg:None")</f>
        <v>User</v>
      </c>
      <c r="S177" s="10" t="str">
        <f>IF(LEN(Table2[[#This Row],[!Description]]) &gt; 0, Table2[[#This Row],[!Description]], "rg:None")</f>
        <v>Information about the users of the system.</v>
      </c>
      <c r="T177" s="10" t="str">
        <f>IF(LEN(Table2[[#This Row],[!FK]])&gt;0,Table2[[#This Row],[!FK]],"rg:None")</f>
        <v>rg:None</v>
      </c>
      <c r="U177" s="10" t="str">
        <f>IF(LEN(concatif2(A:A,Table2[[#This Row],[!Table]],G:G,"Y",D:D,",")) &gt; 0,"rg:[ { 'req' : '"&amp;concatif2(A:A,Table2[[#This Row],[!Table]],G:G,"Y",D:D,"' }, { 'req': '")&amp;"'} ]","rg:[]")</f>
        <v>rg:[ { 'req' : 'id' }, { 'req': 'active'} ]</v>
      </c>
    </row>
    <row r="178" spans="1:21" x14ac:dyDescent="0.3">
      <c r="A178" s="3" t="s">
        <v>0</v>
      </c>
      <c r="B178" s="3" t="s">
        <v>8</v>
      </c>
      <c r="C178" s="3"/>
      <c r="D178" s="3" t="s">
        <v>8</v>
      </c>
      <c r="E178" s="29" t="s">
        <v>9</v>
      </c>
      <c r="F178" s="3" t="s">
        <v>7</v>
      </c>
      <c r="G178" s="4" t="s">
        <v>179</v>
      </c>
      <c r="H178" s="5" t="str">
        <f t="shared" si="3"/>
        <v>Defs</v>
      </c>
      <c r="I178" t="str">
        <f>IF(Table2[[#This Row],[!Type]]=I$1, I$1,"rg:None")</f>
        <v>rg:None</v>
      </c>
      <c r="J178" t="str">
        <f>IF(Table2[[#This Row],[!Type]]=J$1, J$1,"rg:None")</f>
        <v>rg:None</v>
      </c>
      <c r="K178" t="str">
        <f>IF(Table2[[#This Row],[!Type]]=K$1, K$1,"rg:None")</f>
        <v>id</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id</v>
      </c>
      <c r="S178" s="10" t="str">
        <f>IF(LEN(Table2[[#This Row],[!Description]]) &gt; 0, Table2[[#This Row],[!Description]], "rg:None")</f>
        <v>Primary Key</v>
      </c>
      <c r="T178" s="10" t="str">
        <f>IF(LEN(Table2[[#This Row],[!FK]])&gt;0,Table2[[#This Row],[!FK]],"rg:None")</f>
        <v>rg:None</v>
      </c>
      <c r="U178" s="10" t="str">
        <f>IF(LEN(concatif2(A:A,Table2[[#This Row],[!Table]],G:G,"Y",D:D,",")) &gt; 0,"rg:[ { 'req' : '"&amp;concatif2(A:A,Table2[[#This Row],[!Table]],G:G,"Y",D:D,"' }, { 'req': '")&amp;"'} ]","rg:[]")</f>
        <v>rg:[ { 'req' : 'id' }, { 'req': 'active'} ]</v>
      </c>
    </row>
    <row r="179" spans="1:21" x14ac:dyDescent="0.3">
      <c r="A179" s="3" t="s">
        <v>0</v>
      </c>
      <c r="B179" s="3" t="s">
        <v>10</v>
      </c>
      <c r="C179" s="3"/>
      <c r="D179" s="3" t="s">
        <v>77</v>
      </c>
      <c r="E179" s="29" t="s">
        <v>7</v>
      </c>
      <c r="F179" s="3" t="s">
        <v>7</v>
      </c>
      <c r="G179" s="4"/>
      <c r="H179" s="5" t="str">
        <f t="shared" si="3"/>
        <v>Defs</v>
      </c>
      <c r="I179" t="str">
        <f>IF(Table2[[#This Row],[!Type]]=I$1, I$1,"rg:None")</f>
        <v>rg:None</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string</v>
      </c>
      <c r="P179" s="5" t="str">
        <f>IF(Table2[[#This Row],[!Type]]=P$1, P$1,"rg:None")</f>
        <v>rg:None</v>
      </c>
      <c r="Q179" s="10" t="str">
        <f>IF(LEN(Table2[[#This Row],[!Length]]) &gt; 0, Table2[[#This Row],[!Length]], "rg:None")</f>
        <v>rg:None</v>
      </c>
      <c r="R179" s="10" t="str">
        <f>IF(LEN(Table2[[#This Row],[!Name]]) &gt; 0, Table2[[#This Row],[!Name]], "rg:None")</f>
        <v>givenName</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 { 'req': 'active'} ]</v>
      </c>
    </row>
    <row r="180" spans="1:21" x14ac:dyDescent="0.3">
      <c r="A180" s="3" t="s">
        <v>0</v>
      </c>
      <c r="B180" s="3" t="s">
        <v>10</v>
      </c>
      <c r="C180" s="3"/>
      <c r="D180" s="3" t="s">
        <v>79</v>
      </c>
      <c r="E180" s="29" t="s">
        <v>7</v>
      </c>
      <c r="F180" s="3" t="s">
        <v>7</v>
      </c>
      <c r="G180" s="4"/>
      <c r="H180" s="5" t="str">
        <f t="shared" ref="H180:H216" si="4">IF(LEN(A180) &gt; 0,"Defs","-")</f>
        <v>Defs</v>
      </c>
      <c r="I180" t="str">
        <f>IF(Table2[[#This Row],[!Type]]=I$1, I$1,"rg:None")</f>
        <v>rg:None</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string</v>
      </c>
      <c r="P180" s="5" t="str">
        <f>IF(Table2[[#This Row],[!Type]]=P$1, P$1,"rg:None")</f>
        <v>rg:None</v>
      </c>
      <c r="Q180" s="10" t="str">
        <f>IF(LEN(Table2[[#This Row],[!Length]]) &gt; 0, Table2[[#This Row],[!Length]], "rg:None")</f>
        <v>rg:None</v>
      </c>
      <c r="R180" s="10" t="str">
        <f>IF(LEN(Table2[[#This Row],[!Name]]) &gt; 0, Table2[[#This Row],[!Name]], "rg:None")</f>
        <v>surname</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 { 'req': 'active'} ]</v>
      </c>
    </row>
    <row r="181" spans="1:21" x14ac:dyDescent="0.3">
      <c r="A181" s="3" t="s">
        <v>0</v>
      </c>
      <c r="B181" s="3" t="s">
        <v>10</v>
      </c>
      <c r="C181" s="3"/>
      <c r="D181" s="3" t="s">
        <v>160</v>
      </c>
      <c r="E181" s="29" t="s">
        <v>7</v>
      </c>
      <c r="F181" s="3" t="s">
        <v>7</v>
      </c>
      <c r="G181" s="4"/>
      <c r="H181" s="5" t="str">
        <f t="shared" si="4"/>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initials</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 { 'req': 'active'} ]</v>
      </c>
    </row>
    <row r="182" spans="1:21" x14ac:dyDescent="0.3">
      <c r="A182" s="3" t="s">
        <v>0</v>
      </c>
      <c r="B182" s="3" t="s">
        <v>10</v>
      </c>
      <c r="C182" s="3"/>
      <c r="D182" s="3" t="s">
        <v>161</v>
      </c>
      <c r="E182" s="29" t="s">
        <v>7</v>
      </c>
      <c r="F182" s="3" t="s">
        <v>7</v>
      </c>
      <c r="G182" s="4"/>
      <c r="H182" s="5" t="str">
        <f t="shared" si="4"/>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rg:None</v>
      </c>
      <c r="O182" s="5" t="str">
        <f>IF(Table2[[#This Row],[!Type]]=O$1, O$1,"rg:None")</f>
        <v>string</v>
      </c>
      <c r="P182" s="5" t="str">
        <f>IF(Table2[[#This Row],[!Type]]=P$1, P$1,"rg:None")</f>
        <v>rg:None</v>
      </c>
      <c r="Q182" s="10" t="str">
        <f>IF(LEN(Table2[[#This Row],[!Length]]) &gt; 0, Table2[[#This Row],[!Length]], "rg:None")</f>
        <v>rg:None</v>
      </c>
      <c r="R182" s="10" t="str">
        <f>IF(LEN(Table2[[#This Row],[!Name]]) &gt; 0, Table2[[#This Row],[!Name]], "rg:None")</f>
        <v>email</v>
      </c>
      <c r="S182" s="10" t="str">
        <f>IF(LEN(Table2[[#This Row],[!Description]]) &gt; 0, Table2[[#This Row],[!Description]], "rg:None")</f>
        <v>rg:None</v>
      </c>
      <c r="T182" s="10" t="str">
        <f>IF(LEN(Table2[[#This Row],[!FK]])&gt;0,Table2[[#This Row],[!FK]],"rg:None")</f>
        <v>rg:None</v>
      </c>
      <c r="U182" s="10" t="str">
        <f>IF(LEN(concatif2(A:A,Table2[[#This Row],[!Table]],G:G,"Y",D:D,",")) &gt; 0,"rg:[ { 'req' : '"&amp;concatif2(A:A,Table2[[#This Row],[!Table]],G:G,"Y",D:D,"' }, { 'req': '")&amp;"'} ]","rg:[]")</f>
        <v>rg:[ { 'req' : 'id' }, { 'req': 'active'} ]</v>
      </c>
    </row>
    <row r="183" spans="1:21" x14ac:dyDescent="0.3">
      <c r="A183" s="3" t="s">
        <v>0</v>
      </c>
      <c r="B183" s="3" t="s">
        <v>21</v>
      </c>
      <c r="C183" s="3"/>
      <c r="D183" s="3" t="s">
        <v>159</v>
      </c>
      <c r="E183" s="29" t="s">
        <v>7</v>
      </c>
      <c r="F183" s="3" t="s">
        <v>7</v>
      </c>
      <c r="G183" s="4" t="s">
        <v>179</v>
      </c>
      <c r="H183" s="5" t="str">
        <f t="shared" si="4"/>
        <v>Defs</v>
      </c>
      <c r="I183" t="str">
        <f>IF(Table2[[#This Row],[!Type]]=I$1, I$1,"rg:None")</f>
        <v>boolean</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rg:None</v>
      </c>
      <c r="Q183" s="10" t="str">
        <f>IF(LEN(Table2[[#This Row],[!Length]]) &gt; 0, Table2[[#This Row],[!Length]], "rg:None")</f>
        <v>rg:None</v>
      </c>
      <c r="R183" s="10" t="str">
        <f>IF(LEN(Table2[[#This Row],[!Name]]) &gt; 0, Table2[[#This Row],[!Name]], "rg:None")</f>
        <v>active</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 { 'req': 'active'} ]</v>
      </c>
    </row>
    <row r="184" spans="1:21" x14ac:dyDescent="0.3">
      <c r="A184" s="3" t="s">
        <v>0</v>
      </c>
      <c r="B184" s="3" t="s">
        <v>10</v>
      </c>
      <c r="C184" s="3"/>
      <c r="D184" s="3" t="s">
        <v>162</v>
      </c>
      <c r="E184" s="29" t="s">
        <v>163</v>
      </c>
      <c r="F184" s="3" t="s">
        <v>7</v>
      </c>
      <c r="G184" s="4"/>
      <c r="H184" s="5" t="str">
        <f t="shared" si="4"/>
        <v>Defs</v>
      </c>
      <c r="I184" t="str">
        <f>IF(Table2[[#This Row],[!Type]]=I$1, I$1,"rg:None")</f>
        <v>rg:None</v>
      </c>
      <c r="J184" t="str">
        <f>IF(Table2[[#This Row],[!Type]]=J$1, J$1,"rg:None")</f>
        <v>rg:None</v>
      </c>
      <c r="K184" t="str">
        <f>IF(Table2[[#This Row],[!Type]]=K$1, K$1,"rg:None")</f>
        <v>rg:None</v>
      </c>
      <c r="L184" s="10" t="str">
        <f>IF(Table2[[#This Row],[!Type]]=L$1, L$1,"rg:None")</f>
        <v>rg:None</v>
      </c>
      <c r="M184" s="5" t="str">
        <f>IF(Table2[[#This Row],[!Type]]=M$1, M$1,"rg:None")</f>
        <v>rg:None</v>
      </c>
      <c r="N184" s="5" t="str">
        <f>IF(Table2[[#This Row],[!Type]]=N$1, N$1,"rg:None")</f>
        <v>rg:None</v>
      </c>
      <c r="O184" s="5" t="str">
        <f>IF(Table2[[#This Row],[!Type]]=O$1, O$1,"rg:None")</f>
        <v>string</v>
      </c>
      <c r="P184" s="5" t="str">
        <f>IF(Table2[[#This Row],[!Type]]=P$1, P$1,"rg:None")</f>
        <v>rg:None</v>
      </c>
      <c r="Q184" s="10" t="str">
        <f>IF(LEN(Table2[[#This Row],[!Length]]) &gt; 0, Table2[[#This Row],[!Length]], "rg:None")</f>
        <v>rg:None</v>
      </c>
      <c r="R184" s="10" t="str">
        <f>IF(LEN(Table2[[#This Row],[!Name]]) &gt; 0, Table2[[#This Row],[!Name]], "rg:None")</f>
        <v>smUserId</v>
      </c>
      <c r="S184" s="10" t="str">
        <f>IF(LEN(Table2[[#This Row],[!Description]]) &gt; 0, Table2[[#This Row],[!Description]], "rg:None")</f>
        <v>Security Manager User ID</v>
      </c>
      <c r="T184" s="10" t="str">
        <f>IF(LEN(Table2[[#This Row],[!FK]])&gt;0,Table2[[#This Row],[!FK]],"rg:None")</f>
        <v>rg:None</v>
      </c>
      <c r="U184" s="10" t="str">
        <f>IF(LEN(concatif2(A:A,Table2[[#This Row],[!Table]],G:G,"Y",D:D,",")) &gt; 0,"rg:[ { 'req' : '"&amp;concatif2(A:A,Table2[[#This Row],[!Table]],G:G,"Y",D:D,"' }, { 'req': '")&amp;"'} ]","rg:[]")</f>
        <v>rg:[ { 'req' : 'id' }, { 'req': 'active'} ]</v>
      </c>
    </row>
    <row r="185" spans="1:21" x14ac:dyDescent="0.3">
      <c r="A185" s="3" t="s">
        <v>0</v>
      </c>
      <c r="B185" s="3" t="s">
        <v>10</v>
      </c>
      <c r="C185" s="3"/>
      <c r="D185" s="3" t="s">
        <v>164</v>
      </c>
      <c r="E185" s="29" t="s">
        <v>7</v>
      </c>
      <c r="F185" s="3" t="s">
        <v>7</v>
      </c>
      <c r="G185" s="4"/>
      <c r="H185" s="5" t="str">
        <f t="shared" si="4"/>
        <v>Defs</v>
      </c>
      <c r="I185" t="str">
        <f>IF(Table2[[#This Row],[!Type]]=I$1, I$1,"rg:None")</f>
        <v>rg:None</v>
      </c>
      <c r="J185" t="str">
        <f>IF(Table2[[#This Row],[!Type]]=J$1, J$1,"rg:None")</f>
        <v>rg:None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string</v>
      </c>
      <c r="P185" s="5" t="str">
        <f>IF(Table2[[#This Row],[!Type]]=P$1, P$1,"rg:None")</f>
        <v>rg:None</v>
      </c>
      <c r="Q185" s="10" t="str">
        <f>IF(LEN(Table2[[#This Row],[!Length]]) &gt; 0, Table2[[#This Row],[!Length]], "rg:None")</f>
        <v>rg:None</v>
      </c>
      <c r="R185" s="10" t="str">
        <f>IF(LEN(Table2[[#This Row],[!Name]]) &gt; 0, Table2[[#This Row],[!Name]], "rg:None")</f>
        <v>guid</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 { 'req': 'active'} ]</v>
      </c>
    </row>
    <row r="186" spans="1:21" x14ac:dyDescent="0.3">
      <c r="A186" s="3" t="s">
        <v>0</v>
      </c>
      <c r="B186" s="3" t="s">
        <v>10</v>
      </c>
      <c r="C186" s="3"/>
      <c r="D186" s="3" t="s">
        <v>165</v>
      </c>
      <c r="E186" s="29" t="s">
        <v>7</v>
      </c>
      <c r="F186" s="3" t="s">
        <v>7</v>
      </c>
      <c r="G186" s="4"/>
      <c r="H186" s="5" t="str">
        <f t="shared" si="4"/>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smAuthorizationDirectory</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 { 'req': 'active'} ]</v>
      </c>
    </row>
    <row r="187" spans="1:21" x14ac:dyDescent="0.3">
      <c r="A187" s="3" t="s">
        <v>167</v>
      </c>
      <c r="B187" s="3" t="s">
        <v>5</v>
      </c>
      <c r="C187" s="3"/>
      <c r="D187" s="3" t="s">
        <v>167</v>
      </c>
      <c r="E187" s="29" t="s">
        <v>7</v>
      </c>
      <c r="F187" s="3" t="s">
        <v>7</v>
      </c>
      <c r="G187" s="4"/>
      <c r="H187" s="5" t="str">
        <f t="shared" si="4"/>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rg:None</v>
      </c>
      <c r="P187" s="5" t="str">
        <f>IF(Table2[[#This Row],[!Type]]=P$1, P$1,"rg:None")</f>
        <v>table</v>
      </c>
      <c r="Q187" s="10" t="str">
        <f>IF(LEN(Table2[[#This Row],[!Length]]) &gt; 0, Table2[[#This Row],[!Length]], "rg:None")</f>
        <v>rg:None</v>
      </c>
      <c r="R187" s="10" t="str">
        <f>IF(LEN(Table2[[#This Row],[!Name]]) &gt; 0, Table2[[#This Row],[!Name]], "rg:None")</f>
        <v>UserRole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 { 'req': 'effectiveDate'} ]</v>
      </c>
    </row>
    <row r="188" spans="1:21" x14ac:dyDescent="0.3">
      <c r="A188" s="3" t="s">
        <v>167</v>
      </c>
      <c r="B188" s="3" t="s">
        <v>8</v>
      </c>
      <c r="C188" s="3"/>
      <c r="D188" s="3" t="s">
        <v>8</v>
      </c>
      <c r="E188" s="29" t="s">
        <v>9</v>
      </c>
      <c r="F188" s="3" t="s">
        <v>7</v>
      </c>
      <c r="G188" s="4" t="s">
        <v>179</v>
      </c>
      <c r="H188" s="5" t="str">
        <f t="shared" si="4"/>
        <v>Defs</v>
      </c>
      <c r="I188" t="str">
        <f>IF(Table2[[#This Row],[!Type]]=I$1, I$1,"rg:None")</f>
        <v>rg:None</v>
      </c>
      <c r="J188" t="str">
        <f>IF(Table2[[#This Row],[!Type]]=J$1, J$1,"rg:None")</f>
        <v>rg:None</v>
      </c>
      <c r="K188" t="str">
        <f>IF(Table2[[#This Row],[!Type]]=K$1, K$1,"rg:None")</f>
        <v>id</v>
      </c>
      <c r="L188" s="10" t="str">
        <f>IF(Table2[[#This Row],[!Type]]=L$1, L$1,"rg:None")</f>
        <v>rg:None</v>
      </c>
      <c r="M188" s="5" t="str">
        <f>IF(Table2[[#This Row],[!Type]]=M$1, M$1,"rg:None")</f>
        <v>rg:None</v>
      </c>
      <c r="N188" s="5" t="str">
        <f>IF(Table2[[#This Row],[!Type]]=N$1, N$1,"rg:None")</f>
        <v>rg:None</v>
      </c>
      <c r="O188" s="5" t="str">
        <f>IF(Table2[[#This Row],[!Type]]=O$1, O$1,"rg:None")</f>
        <v>rg:None</v>
      </c>
      <c r="P188" s="5" t="str">
        <f>IF(Table2[[#This Row],[!Type]]=P$1, P$1,"rg:None")</f>
        <v>rg:None</v>
      </c>
      <c r="Q188" s="10" t="str">
        <f>IF(LEN(Table2[[#This Row],[!Length]]) &gt; 0, Table2[[#This Row],[!Length]], "rg:None")</f>
        <v>rg:None</v>
      </c>
      <c r="R188" s="10" t="str">
        <f>IF(LEN(Table2[[#This Row],[!Name]]) &gt; 0, Table2[[#This Row],[!Name]], "rg:None")</f>
        <v>id</v>
      </c>
      <c r="S188" s="10" t="str">
        <f>IF(LEN(Table2[[#This Row],[!Description]]) &gt; 0, Table2[[#This Row],[!Description]], "rg:None")</f>
        <v>Primary Key</v>
      </c>
      <c r="T188" s="10" t="str">
        <f>IF(LEN(Table2[[#This Row],[!FK]])&gt;0,Table2[[#This Row],[!FK]],"rg:None")</f>
        <v>rg:None</v>
      </c>
      <c r="U188" s="10" t="str">
        <f>IF(LEN(concatif2(A:A,Table2[[#This Row],[!Table]],G:G,"Y",D:D,",")) &gt; 0,"rg:[ { 'req' : '"&amp;concatif2(A:A,Table2[[#This Row],[!Table]],G:G,"Y",D:D,"' }, { 'req': '")&amp;"'} ]","rg:[]")</f>
        <v>rg:[ { 'req' : 'id' }, { 'req': 'effectiveDate'} ]</v>
      </c>
    </row>
    <row r="189" spans="1:21" x14ac:dyDescent="0.3">
      <c r="A189" s="3" t="s">
        <v>167</v>
      </c>
      <c r="B189" s="3" t="s">
        <v>36</v>
      </c>
      <c r="C189" s="3"/>
      <c r="D189" s="3" t="s">
        <v>168</v>
      </c>
      <c r="E189" s="29" t="s">
        <v>7</v>
      </c>
      <c r="F189" s="3" t="s">
        <v>7</v>
      </c>
      <c r="G189" s="4" t="s">
        <v>179</v>
      </c>
      <c r="H189" s="5" t="str">
        <f t="shared" si="4"/>
        <v>Defs</v>
      </c>
      <c r="I189" t="str">
        <f>IF(Table2[[#This Row],[!Type]]=I$1, I$1,"rg:None")</f>
        <v>rg:None</v>
      </c>
      <c r="J189" t="str">
        <f>IF(Table2[[#This Row],[!Type]]=J$1, J$1,"rg:None")</f>
        <v>datetime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effectiveDate</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 { 'req': 'effectiveDate'} ]</v>
      </c>
    </row>
    <row r="190" spans="1:21" x14ac:dyDescent="0.3">
      <c r="A190" s="3" t="s">
        <v>167</v>
      </c>
      <c r="B190" s="3" t="s">
        <v>36</v>
      </c>
      <c r="C190" s="3"/>
      <c r="D190" s="3" t="s">
        <v>169</v>
      </c>
      <c r="E190" s="29" t="s">
        <v>7</v>
      </c>
      <c r="F190" s="3" t="s">
        <v>7</v>
      </c>
      <c r="G190" s="4"/>
      <c r="H190" s="5" t="str">
        <f t="shared" si="4"/>
        <v>Defs</v>
      </c>
      <c r="I190" t="str">
        <f>IF(Table2[[#This Row],[!Type]]=I$1, I$1,"rg:None")</f>
        <v>rg:None</v>
      </c>
      <c r="J190" t="str">
        <f>IF(Table2[[#This Row],[!Type]]=J$1, J$1,"rg:None")</f>
        <v>datetime</v>
      </c>
      <c r="K190" t="str">
        <f>IF(Table2[[#This Row],[!Type]]=K$1, K$1,"rg:None")</f>
        <v>rg:None</v>
      </c>
      <c r="L190" s="10" t="str">
        <f>IF(Table2[[#This Row],[!Type]]=L$1, L$1,"rg:None")</f>
        <v>rg:None</v>
      </c>
      <c r="M190" s="5" t="str">
        <f>IF(Table2[[#This Row],[!Type]]=M$1, M$1,"rg:None")</f>
        <v>rg:None</v>
      </c>
      <c r="N190" s="5" t="str">
        <f>IF(Table2[[#This Row],[!Type]]=N$1, N$1,"rg:None")</f>
        <v>rg:None</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expiryDate</v>
      </c>
      <c r="S190" s="10" t="str">
        <f>IF(LEN(Table2[[#This Row],[!Description]]) &gt; 0, Table2[[#This Row],[!Description]], "rg:None")</f>
        <v>rg:None</v>
      </c>
      <c r="T190" s="10" t="str">
        <f>IF(LEN(Table2[[#This Row],[!FK]])&gt;0,Table2[[#This Row],[!FK]],"rg:None")</f>
        <v>rg:None</v>
      </c>
      <c r="U190" s="10" t="str">
        <f>IF(LEN(concatif2(A:A,Table2[[#This Row],[!Table]],G:G,"Y",D:D,",")) &gt; 0,"rg:[ { 'req' : '"&amp;concatif2(A:A,Table2[[#This Row],[!Table]],G:G,"Y",D:D,"' }, { 'req': '")&amp;"'} ]","rg:[]")</f>
        <v>rg:[ { 'req' : 'id' }, { 'req': 'effectiveDate'} ]</v>
      </c>
    </row>
    <row r="191" spans="1:21" x14ac:dyDescent="0.3">
      <c r="A191" s="3" t="s">
        <v>167</v>
      </c>
      <c r="B191" s="3" t="s">
        <v>14</v>
      </c>
      <c r="C191" s="3"/>
      <c r="D191" s="3" t="s">
        <v>154</v>
      </c>
      <c r="E191" s="29" t="s">
        <v>7</v>
      </c>
      <c r="F191" s="3" t="s">
        <v>0</v>
      </c>
      <c r="G191" s="4"/>
      <c r="H191" s="5" t="str">
        <f t="shared" si="4"/>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ref</v>
      </c>
      <c r="O191" s="5" t="str">
        <f>IF(Table2[[#This Row],[!Type]]=O$1, O$1,"rg:None")</f>
        <v>rg:None</v>
      </c>
      <c r="P191" s="5" t="str">
        <f>IF(Table2[[#This Row],[!Type]]=P$1, P$1,"rg:None")</f>
        <v>rg:None</v>
      </c>
      <c r="Q191" s="10" t="str">
        <f>IF(LEN(Table2[[#This Row],[!Length]]) &gt; 0, Table2[[#This Row],[!Length]], "rg:None")</f>
        <v>rg:None</v>
      </c>
      <c r="R191" s="10" t="str">
        <f>IF(LEN(Table2[[#This Row],[!Name]]) &gt; 0, Table2[[#This Row],[!Name]], "rg:None")</f>
        <v>user</v>
      </c>
      <c r="S191" s="10" t="str">
        <f>IF(LEN(Table2[[#This Row],[!Description]]) &gt; 0, Table2[[#This Row],[!Description]], "rg:None")</f>
        <v>rg:None</v>
      </c>
      <c r="T191" s="10" t="str">
        <f>IF(LEN(Table2[[#This Row],[!FK]])&gt;0,Table2[[#This Row],[!FK]],"rg:None")</f>
        <v>User</v>
      </c>
      <c r="U191" s="10" t="str">
        <f>IF(LEN(concatif2(A:A,Table2[[#This Row],[!Table]],G:G,"Y",D:D,",")) &gt; 0,"rg:[ { 'req' : '"&amp;concatif2(A:A,Table2[[#This Row],[!Table]],G:G,"Y",D:D,"' }, { 'req': '")&amp;"'} ]","rg:[]")</f>
        <v>rg:[ { 'req' : 'id' }, { 'req': 'effectiveDate'} ]</v>
      </c>
    </row>
    <row r="192" spans="1:21" x14ac:dyDescent="0.3">
      <c r="A192" s="3" t="s">
        <v>167</v>
      </c>
      <c r="B192" s="3" t="s">
        <v>14</v>
      </c>
      <c r="C192" s="3"/>
      <c r="D192" s="3" t="s">
        <v>81</v>
      </c>
      <c r="E192" s="29" t="s">
        <v>7</v>
      </c>
      <c r="F192" s="3" t="s">
        <v>170</v>
      </c>
      <c r="G192" s="4"/>
      <c r="H192" s="5" t="str">
        <f t="shared" si="4"/>
        <v>Defs</v>
      </c>
      <c r="I192" t="str">
        <f>IF(Table2[[#This Row],[!Type]]=I$1, I$1,"rg:None")</f>
        <v>rg:None</v>
      </c>
      <c r="J192" t="str">
        <f>IF(Table2[[#This Row],[!Type]]=J$1, J$1,"rg:None")</f>
        <v>rg:None</v>
      </c>
      <c r="K192" t="str">
        <f>IF(Table2[[#This Row],[!Type]]=K$1, K$1,"rg:None")</f>
        <v>rg:None</v>
      </c>
      <c r="L192" s="10" t="str">
        <f>IF(Table2[[#This Row],[!Type]]=L$1, L$1,"rg:None")</f>
        <v>rg:None</v>
      </c>
      <c r="M192" s="5" t="str">
        <f>IF(Table2[[#This Row],[!Type]]=M$1, M$1,"rg:None")</f>
        <v>rg:None</v>
      </c>
      <c r="N192" s="5" t="str">
        <f>IF(Table2[[#This Row],[!Type]]=N$1, N$1,"rg:None")</f>
        <v>ref</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role</v>
      </c>
      <c r="S192" s="10" t="str">
        <f>IF(LEN(Table2[[#This Row],[!Description]]) &gt; 0, Table2[[#This Row],[!Description]], "rg:None")</f>
        <v>rg:None</v>
      </c>
      <c r="T192" s="10" t="str">
        <f>IF(LEN(Table2[[#This Row],[!FK]])&gt;0,Table2[[#This Row],[!FK]],"rg:None")</f>
        <v>Role</v>
      </c>
      <c r="U192" s="10" t="str">
        <f>IF(LEN(concatif2(A:A,Table2[[#This Row],[!Table]],G:G,"Y",D:D,",")) &gt; 0,"rg:[ { 'req' : '"&amp;concatif2(A:A,Table2[[#This Row],[!Table]],G:G,"Y",D:D,"' }, { 'req': '")&amp;"'} ]","rg:[]")</f>
        <v>rg:[ { 'req' : 'id' }, { 'req': 'effectiveDate'} ]</v>
      </c>
    </row>
    <row r="193" spans="1:21" x14ac:dyDescent="0.3">
      <c r="A193" s="3" t="s">
        <v>170</v>
      </c>
      <c r="B193" s="3" t="s">
        <v>5</v>
      </c>
      <c r="C193" s="3"/>
      <c r="D193" s="3" t="s">
        <v>170</v>
      </c>
      <c r="E193" s="29" t="s">
        <v>7</v>
      </c>
      <c r="F193" s="3" t="s">
        <v>7</v>
      </c>
      <c r="G193" s="4"/>
      <c r="H193" s="5" t="str">
        <f t="shared" si="4"/>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rg:None</v>
      </c>
      <c r="P193" s="5" t="str">
        <f>IF(Table2[[#This Row],[!Type]]=P$1, P$1,"rg:None")</f>
        <v>table</v>
      </c>
      <c r="Q193" s="10" t="str">
        <f>IF(LEN(Table2[[#This Row],[!Length]]) &gt; 0, Table2[[#This Row],[!Length]], "rg:None")</f>
        <v>rg:None</v>
      </c>
      <c r="R193" s="10" t="str">
        <f>IF(LEN(Table2[[#This Row],[!Name]]) &gt; 0, Table2[[#This Row],[!Name]], "rg:None")</f>
        <v>Role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'name' }, { 'req': 'description'} ]</v>
      </c>
    </row>
    <row r="194" spans="1:21" x14ac:dyDescent="0.3">
      <c r="A194" s="3" t="s">
        <v>170</v>
      </c>
      <c r="B194" s="3" t="s">
        <v>8</v>
      </c>
      <c r="C194" s="3"/>
      <c r="D194" s="3" t="s">
        <v>8</v>
      </c>
      <c r="E194" s="29" t="s">
        <v>9</v>
      </c>
      <c r="F194" s="3" t="s">
        <v>7</v>
      </c>
      <c r="G194" s="4" t="s">
        <v>179</v>
      </c>
      <c r="H194" s="5" t="str">
        <f t="shared" si="4"/>
        <v>Defs</v>
      </c>
      <c r="I194" t="str">
        <f>IF(Table2[[#This Row],[!Type]]=I$1, I$1,"rg:None")</f>
        <v>rg:None</v>
      </c>
      <c r="J194" t="str">
        <f>IF(Table2[[#This Row],[!Type]]=J$1, J$1,"rg:None")</f>
        <v>rg:None</v>
      </c>
      <c r="K194" t="str">
        <f>IF(Table2[[#This Row],[!Type]]=K$1, K$1,"rg:None")</f>
        <v>id</v>
      </c>
      <c r="L194" s="10" t="str">
        <f>IF(Table2[[#This Row],[!Type]]=L$1, L$1,"rg:None")</f>
        <v>rg:None</v>
      </c>
      <c r="M194" s="5" t="str">
        <f>IF(Table2[[#This Row],[!Type]]=M$1, M$1,"rg:None")</f>
        <v>rg:None</v>
      </c>
      <c r="N194" s="5" t="str">
        <f>IF(Table2[[#This Row],[!Type]]=N$1, N$1,"rg:None")</f>
        <v>rg:None</v>
      </c>
      <c r="O194" s="5" t="str">
        <f>IF(Table2[[#This Row],[!Type]]=O$1, O$1,"rg:None")</f>
        <v>rg:None</v>
      </c>
      <c r="P194" s="5" t="str">
        <f>IF(Table2[[#This Row],[!Type]]=P$1, P$1,"rg:None")</f>
        <v>rg:None</v>
      </c>
      <c r="Q194" s="10" t="str">
        <f>IF(LEN(Table2[[#This Row],[!Length]]) &gt; 0, Table2[[#This Row],[!Length]], "rg:None")</f>
        <v>rg:None</v>
      </c>
      <c r="R194" s="10" t="str">
        <f>IF(LEN(Table2[[#This Row],[!Name]]) &gt; 0, Table2[[#This Row],[!Name]], "rg:None")</f>
        <v>id</v>
      </c>
      <c r="S194" s="10" t="str">
        <f>IF(LEN(Table2[[#This Row],[!Description]]) &gt; 0, Table2[[#This Row],[!Description]], "rg:None")</f>
        <v>Primary Key</v>
      </c>
      <c r="T194" s="10" t="str">
        <f>IF(LEN(Table2[[#This Row],[!FK]])&gt;0,Table2[[#This Row],[!FK]],"rg:None")</f>
        <v>rg:None</v>
      </c>
      <c r="U194" s="10" t="str">
        <f>IF(LEN(concatif2(A:A,Table2[[#This Row],[!Table]],G:G,"Y",D:D,",")) &gt; 0,"rg:[ { 'req' : '"&amp;concatif2(A:A,Table2[[#This Row],[!Table]],G:G,"Y",D:D,"' }, { 'req': '")&amp;"'} ]","rg:[]")</f>
        <v>rg:[ { 'req' : 'id' }, { 'req': 'name' }, { 'req': 'description'} ]</v>
      </c>
    </row>
    <row r="195" spans="1:21" x14ac:dyDescent="0.3">
      <c r="A195" s="3" t="s">
        <v>170</v>
      </c>
      <c r="B195" s="3" t="s">
        <v>10</v>
      </c>
      <c r="C195" s="3"/>
      <c r="D195" s="3" t="s">
        <v>65</v>
      </c>
      <c r="E195" s="29" t="s">
        <v>7</v>
      </c>
      <c r="F195" s="3" t="s">
        <v>7</v>
      </c>
      <c r="G195" s="4" t="s">
        <v>179</v>
      </c>
      <c r="H195" s="5" t="str">
        <f t="shared" si="4"/>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name</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'name' }, { 'req': 'description'} ]</v>
      </c>
    </row>
    <row r="196" spans="1:21" x14ac:dyDescent="0.3">
      <c r="A196" s="3" t="s">
        <v>170</v>
      </c>
      <c r="B196" s="3" t="s">
        <v>10</v>
      </c>
      <c r="C196" s="3"/>
      <c r="D196" s="3" t="s">
        <v>62</v>
      </c>
      <c r="E196" s="29" t="s">
        <v>7</v>
      </c>
      <c r="F196" s="3" t="s">
        <v>7</v>
      </c>
      <c r="G196" s="4" t="s">
        <v>179</v>
      </c>
      <c r="H196" s="5" t="str">
        <f t="shared" si="4"/>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description</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'name' }, { 'req': 'description'} ]</v>
      </c>
    </row>
    <row r="197" spans="1:21" x14ac:dyDescent="0.3">
      <c r="A197" s="3" t="s">
        <v>170</v>
      </c>
      <c r="B197" s="3" t="s">
        <v>84</v>
      </c>
      <c r="C197" s="3"/>
      <c r="D197" s="3" t="s">
        <v>171</v>
      </c>
      <c r="E197" s="29" t="s">
        <v>7</v>
      </c>
      <c r="F197" s="3" t="s">
        <v>172</v>
      </c>
      <c r="G197" s="4"/>
      <c r="H197" s="5" t="str">
        <f t="shared" si="4"/>
        <v>Defs</v>
      </c>
      <c r="I197" t="str">
        <f>IF(Table2[[#This Row],[!Type]]=I$1, I$1,"rg:None")</f>
        <v>rg:None</v>
      </c>
      <c r="J197" t="str">
        <f>IF(Table2[[#This Row],[!Type]]=J$1, J$1,"rg:None")</f>
        <v>rg:None</v>
      </c>
      <c r="K197" t="str">
        <f>IF(Table2[[#This Row],[!Type]]=K$1, K$1,"rg:None")</f>
        <v>rg:None</v>
      </c>
      <c r="L197" s="10" t="str">
        <f>IF(Table2[[#This Row],[!Type]]=L$1, L$1,"rg:None")</f>
        <v>rg:None</v>
      </c>
      <c r="M197" s="5" t="str">
        <f>IF(Table2[[#This Row],[!Type]]=M$1, M$1,"rg:None")</f>
        <v>links</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rolePermissions</v>
      </c>
      <c r="S197" s="10" t="str">
        <f>IF(LEN(Table2[[#This Row],[!Description]]) &gt; 0, Table2[[#This Row],[!Description]], "rg:None")</f>
        <v>rg:None</v>
      </c>
      <c r="T197" s="10" t="str">
        <f>IF(LEN(Table2[[#This Row],[!FK]])&gt;0,Table2[[#This Row],[!FK]],"rg:None")</f>
        <v>RolePermission</v>
      </c>
      <c r="U197" s="10" t="str">
        <f>IF(LEN(concatif2(A:A,Table2[[#This Row],[!Table]],G:G,"Y",D:D,",")) &gt; 0,"rg:[ { 'req' : '"&amp;concatif2(A:A,Table2[[#This Row],[!Table]],G:G,"Y",D:D,"' }, { 'req': '")&amp;"'} ]","rg:[]")</f>
        <v>rg:[ { 'req' : 'id' }, { 'req': 'name' }, { 'req': 'description'} ]</v>
      </c>
    </row>
    <row r="198" spans="1:21" x14ac:dyDescent="0.3">
      <c r="A198" s="3" t="s">
        <v>170</v>
      </c>
      <c r="B198" s="3" t="s">
        <v>84</v>
      </c>
      <c r="C198" s="3"/>
      <c r="D198" s="3" t="s">
        <v>166</v>
      </c>
      <c r="E198" s="29" t="s">
        <v>7</v>
      </c>
      <c r="F198" s="3" t="s">
        <v>167</v>
      </c>
      <c r="G198" s="4"/>
      <c r="H198" s="5" t="str">
        <f t="shared" si="4"/>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links</v>
      </c>
      <c r="N198" s="5" t="str">
        <f>IF(Table2[[#This Row],[!Type]]=N$1, N$1,"rg:None")</f>
        <v>rg:None</v>
      </c>
      <c r="O198" s="5" t="str">
        <f>IF(Table2[[#This Row],[!Type]]=O$1, O$1,"rg:None")</f>
        <v>rg:None</v>
      </c>
      <c r="P198" s="5" t="str">
        <f>IF(Table2[[#This Row],[!Type]]=P$1, P$1,"rg:None")</f>
        <v>rg:None</v>
      </c>
      <c r="Q198" s="10" t="str">
        <f>IF(LEN(Table2[[#This Row],[!Length]]) &gt; 0, Table2[[#This Row],[!Length]], "rg:None")</f>
        <v>rg:None</v>
      </c>
      <c r="R198" s="10" t="str">
        <f>IF(LEN(Table2[[#This Row],[!Name]]) &gt; 0, Table2[[#This Row],[!Name]], "rg:None")</f>
        <v>userRoles</v>
      </c>
      <c r="S198" s="10" t="str">
        <f>IF(LEN(Table2[[#This Row],[!Description]]) &gt; 0, Table2[[#This Row],[!Description]], "rg:None")</f>
        <v>rg:None</v>
      </c>
      <c r="T198" s="10" t="str">
        <f>IF(LEN(Table2[[#This Row],[!FK]])&gt;0,Table2[[#This Row],[!FK]],"rg:None")</f>
        <v>UserRole</v>
      </c>
      <c r="U198" s="10" t="str">
        <f>IF(LEN(concatif2(A:A,Table2[[#This Row],[!Table]],G:G,"Y",D:D,",")) &gt; 0,"rg:[ { 'req' : '"&amp;concatif2(A:A,Table2[[#This Row],[!Table]],G:G,"Y",D:D,"' }, { 'req': '")&amp;"'} ]","rg:[]")</f>
        <v>rg:[ { 'req' : 'id' }, { 'req': 'name' }, { 'req': 'description'} ]</v>
      </c>
    </row>
    <row r="199" spans="1:21" x14ac:dyDescent="0.3">
      <c r="A199" s="3" t="s">
        <v>172</v>
      </c>
      <c r="B199" s="3" t="s">
        <v>5</v>
      </c>
      <c r="C199" s="3"/>
      <c r="D199" s="3" t="s">
        <v>172</v>
      </c>
      <c r="E199" s="29" t="s">
        <v>7</v>
      </c>
      <c r="F199" s="3" t="s">
        <v>7</v>
      </c>
      <c r="G199" s="4"/>
      <c r="H199" s="5" t="str">
        <f t="shared" si="4"/>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rg:None</v>
      </c>
      <c r="P199" s="5" t="str">
        <f>IF(Table2[[#This Row],[!Type]]=P$1, P$1,"rg:None")</f>
        <v>table</v>
      </c>
      <c r="Q199" s="10" t="str">
        <f>IF(LEN(Table2[[#This Row],[!Length]]) &gt; 0, Table2[[#This Row],[!Length]], "rg:None")</f>
        <v>rg:None</v>
      </c>
      <c r="R199" s="10" t="str">
        <f>IF(LEN(Table2[[#This Row],[!Name]]) &gt; 0, Table2[[#This Row],[!Name]], "rg:None")</f>
        <v>RolePermission</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v>
      </c>
    </row>
    <row r="200" spans="1:21" x14ac:dyDescent="0.3">
      <c r="A200" s="3" t="s">
        <v>172</v>
      </c>
      <c r="B200" s="3" t="s">
        <v>8</v>
      </c>
      <c r="C200" s="3"/>
      <c r="D200" s="3" t="s">
        <v>8</v>
      </c>
      <c r="E200" s="29" t="s">
        <v>9</v>
      </c>
      <c r="F200" s="3" t="s">
        <v>7</v>
      </c>
      <c r="G200" s="4" t="s">
        <v>179</v>
      </c>
      <c r="H200" s="5" t="str">
        <f t="shared" si="4"/>
        <v>Defs</v>
      </c>
      <c r="I200" t="str">
        <f>IF(Table2[[#This Row],[!Type]]=I$1, I$1,"rg:None")</f>
        <v>rg:None</v>
      </c>
      <c r="J200" t="str">
        <f>IF(Table2[[#This Row],[!Type]]=J$1, J$1,"rg:None")</f>
        <v>rg:None</v>
      </c>
      <c r="K200" t="str">
        <f>IF(Table2[[#This Row],[!Type]]=K$1, K$1,"rg:None")</f>
        <v>id</v>
      </c>
      <c r="L200" s="10" t="str">
        <f>IF(Table2[[#This Row],[!Type]]=L$1, L$1,"rg:None")</f>
        <v>rg:None</v>
      </c>
      <c r="M200" s="5" t="str">
        <f>IF(Table2[[#This Row],[!Type]]=M$1, M$1,"rg:None")</f>
        <v>rg:None</v>
      </c>
      <c r="N200" s="5" t="str">
        <f>IF(Table2[[#This Row],[!Type]]=N$1, N$1,"rg:None")</f>
        <v>rg:None</v>
      </c>
      <c r="O200" s="5" t="str">
        <f>IF(Table2[[#This Row],[!Type]]=O$1, O$1,"rg:None")</f>
        <v>rg:None</v>
      </c>
      <c r="P200" s="5" t="str">
        <f>IF(Table2[[#This Row],[!Type]]=P$1, P$1,"rg:None")</f>
        <v>rg:None</v>
      </c>
      <c r="Q200" s="10" t="str">
        <f>IF(LEN(Table2[[#This Row],[!Length]]) &gt; 0, Table2[[#This Row],[!Length]], "rg:None")</f>
        <v>rg:None</v>
      </c>
      <c r="R200" s="10" t="str">
        <f>IF(LEN(Table2[[#This Row],[!Name]]) &gt; 0, Table2[[#This Row],[!Name]], "rg:None")</f>
        <v>id</v>
      </c>
      <c r="S200" s="10" t="str">
        <f>IF(LEN(Table2[[#This Row],[!Description]]) &gt; 0, Table2[[#This Row],[!Description]], "rg:None")</f>
        <v>Primary Key</v>
      </c>
      <c r="T200" s="10" t="str">
        <f>IF(LEN(Table2[[#This Row],[!FK]])&gt;0,Table2[[#This Row],[!FK]],"rg:None")</f>
        <v>rg:None</v>
      </c>
      <c r="U200" s="10" t="str">
        <f>IF(LEN(concatif2(A:A,Table2[[#This Row],[!Table]],G:G,"Y",D:D,",")) &gt; 0,"rg:[ { 'req' : '"&amp;concatif2(A:A,Table2[[#This Row],[!Table]],G:G,"Y",D:D,"' }, { 'req': '")&amp;"'} ]","rg:[]")</f>
        <v>rg:[ { 'req' : 'id'} ]</v>
      </c>
    </row>
    <row r="201" spans="1:21" x14ac:dyDescent="0.3">
      <c r="A201" s="3" t="s">
        <v>172</v>
      </c>
      <c r="B201" s="3" t="s">
        <v>14</v>
      </c>
      <c r="C201" s="3"/>
      <c r="D201" s="3" t="s">
        <v>81</v>
      </c>
      <c r="E201" s="29" t="s">
        <v>7</v>
      </c>
      <c r="F201" s="3" t="s">
        <v>170</v>
      </c>
      <c r="G201" s="4"/>
      <c r="H201" s="5" t="str">
        <f t="shared" si="4"/>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rg:None</v>
      </c>
      <c r="N201" s="5" t="str">
        <f>IF(Table2[[#This Row],[!Type]]=N$1, N$1,"rg:None")</f>
        <v>ref</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role</v>
      </c>
      <c r="S201" s="10" t="str">
        <f>IF(LEN(Table2[[#This Row],[!Description]]) &gt; 0, Table2[[#This Row],[!Description]], "rg:None")</f>
        <v>rg:None</v>
      </c>
      <c r="T201" s="10" t="str">
        <f>IF(LEN(Table2[[#This Row],[!FK]])&gt;0,Table2[[#This Row],[!FK]],"rg:None")</f>
        <v>Role</v>
      </c>
      <c r="U201" s="10" t="str">
        <f>IF(LEN(concatif2(A:A,Table2[[#This Row],[!Table]],G:G,"Y",D:D,",")) &gt; 0,"rg:[ { 'req' : '"&amp;concatif2(A:A,Table2[[#This Row],[!Table]],G:G,"Y",D:D,"' }, { 'req': '")&amp;"'} ]","rg:[]")</f>
        <v>rg:[ { 'req' : 'id'} ]</v>
      </c>
    </row>
    <row r="202" spans="1:21" x14ac:dyDescent="0.3">
      <c r="A202" s="3" t="s">
        <v>172</v>
      </c>
      <c r="B202" s="3" t="s">
        <v>14</v>
      </c>
      <c r="C202" s="3"/>
      <c r="D202" s="3" t="s">
        <v>173</v>
      </c>
      <c r="E202" s="29" t="s">
        <v>7</v>
      </c>
      <c r="F202" s="3" t="s">
        <v>174</v>
      </c>
      <c r="G202" s="4"/>
      <c r="H202" s="5" t="str">
        <f t="shared" si="4"/>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rg:None</v>
      </c>
      <c r="N202" s="5" t="str">
        <f>IF(Table2[[#This Row],[!Type]]=N$1, N$1,"rg:None")</f>
        <v>ref</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permission</v>
      </c>
      <c r="S202" s="10" t="str">
        <f>IF(LEN(Table2[[#This Row],[!Description]]) &gt; 0, Table2[[#This Row],[!Description]], "rg:None")</f>
        <v>rg:None</v>
      </c>
      <c r="T202" s="10" t="str">
        <f>IF(LEN(Table2[[#This Row],[!FK]])&gt;0,Table2[[#This Row],[!FK]],"rg:None")</f>
        <v>Permission</v>
      </c>
      <c r="U202" s="10" t="str">
        <f>IF(LEN(concatif2(A:A,Table2[[#This Row],[!Table]],G:G,"Y",D:D,",")) &gt; 0,"rg:[ { 'req' : '"&amp;concatif2(A:A,Table2[[#This Row],[!Table]],G:G,"Y",D:D,"' }, { 'req': '")&amp;"'} ]","rg:[]")</f>
        <v>rg:[ { 'req' : 'id'} ]</v>
      </c>
    </row>
    <row r="203" spans="1:21" x14ac:dyDescent="0.3">
      <c r="A203" s="3" t="s">
        <v>174</v>
      </c>
      <c r="B203" s="3" t="s">
        <v>5</v>
      </c>
      <c r="C203" s="3"/>
      <c r="D203" s="3" t="s">
        <v>174</v>
      </c>
      <c r="E203" s="29" t="s">
        <v>7</v>
      </c>
      <c r="F203" s="3" t="s">
        <v>7</v>
      </c>
      <c r="G203" s="4"/>
      <c r="H203" s="5" t="str">
        <f t="shared" si="4"/>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table</v>
      </c>
      <c r="Q203" s="10" t="str">
        <f>IF(LEN(Table2[[#This Row],[!Length]]) &gt; 0, Table2[[#This Row],[!Length]], "rg:None")</f>
        <v>rg:None</v>
      </c>
      <c r="R203" s="10" t="str">
        <f>IF(LEN(Table2[[#This Row],[!Name]]) &gt; 0, Table2[[#This Row],[!Name]], "rg:None")</f>
        <v>Permission</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'code' }, { 'req': 'name' }, { 'req': 'description'} ]</v>
      </c>
    </row>
    <row r="204" spans="1:21" x14ac:dyDescent="0.3">
      <c r="A204" s="3" t="s">
        <v>174</v>
      </c>
      <c r="B204" s="3" t="s">
        <v>8</v>
      </c>
      <c r="C204" s="3"/>
      <c r="D204" s="3" t="s">
        <v>8</v>
      </c>
      <c r="E204" s="29" t="s">
        <v>9</v>
      </c>
      <c r="F204" s="3" t="s">
        <v>7</v>
      </c>
      <c r="G204" s="4" t="s">
        <v>179</v>
      </c>
      <c r="H204" s="5" t="str">
        <f t="shared" si="4"/>
        <v>Defs</v>
      </c>
      <c r="I204" t="str">
        <f>IF(Table2[[#This Row],[!Type]]=I$1, I$1,"rg:None")</f>
        <v>rg:None</v>
      </c>
      <c r="J204" t="str">
        <f>IF(Table2[[#This Row],[!Type]]=J$1, J$1,"rg:None")</f>
        <v>rg:None</v>
      </c>
      <c r="K204" t="str">
        <f>IF(Table2[[#This Row],[!Type]]=K$1, K$1,"rg:None")</f>
        <v>id</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id</v>
      </c>
      <c r="S204" s="10" t="str">
        <f>IF(LEN(Table2[[#This Row],[!Description]]) &gt; 0, Table2[[#This Row],[!Description]], "rg:None")</f>
        <v>Primary Key</v>
      </c>
      <c r="T204" s="10" t="str">
        <f>IF(LEN(Table2[[#This Row],[!FK]])&gt;0,Table2[[#This Row],[!FK]],"rg:None")</f>
        <v>rg:None</v>
      </c>
      <c r="U204" s="10" t="str">
        <f>IF(LEN(concatif2(A:A,Table2[[#This Row],[!Table]],G:G,"Y",D:D,",")) &gt; 0,"rg:[ { 'req' : '"&amp;concatif2(A:A,Table2[[#This Row],[!Table]],G:G,"Y",D:D,"' }, { 'req': '")&amp;"'} ]","rg:[]")</f>
        <v>rg:[ { 'req' : 'id' }, { 'req': 'code' }, { 'req': 'name' }, { 'req': 'description'} ]</v>
      </c>
    </row>
    <row r="205" spans="1:21" x14ac:dyDescent="0.3">
      <c r="A205" s="3" t="s">
        <v>174</v>
      </c>
      <c r="B205" s="3" t="s">
        <v>10</v>
      </c>
      <c r="C205" s="3"/>
      <c r="D205" s="3" t="s">
        <v>175</v>
      </c>
      <c r="E205" s="29" t="s">
        <v>7</v>
      </c>
      <c r="F205" s="3" t="s">
        <v>7</v>
      </c>
      <c r="G205" s="4" t="s">
        <v>179</v>
      </c>
      <c r="H205" s="5" t="str">
        <f t="shared" si="4"/>
        <v>Defs</v>
      </c>
      <c r="I205" t="str">
        <f>IF(Table2[[#This Row],[!Type]]=I$1, I$1,"rg:None")</f>
        <v>rg:None</v>
      </c>
      <c r="J205" t="str">
        <f>IF(Table2[[#This Row],[!Type]]=J$1, J$1,"rg:None")</f>
        <v>rg:None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string</v>
      </c>
      <c r="P205" s="5" t="str">
        <f>IF(Table2[[#This Row],[!Type]]=P$1, P$1,"rg:None")</f>
        <v>rg:None</v>
      </c>
      <c r="Q205" s="10" t="str">
        <f>IF(LEN(Table2[[#This Row],[!Length]]) &gt; 0, Table2[[#This Row],[!Length]], "rg:None")</f>
        <v>rg:None</v>
      </c>
      <c r="R205" s="10" t="str">
        <f>IF(LEN(Table2[[#This Row],[!Name]]) &gt; 0, Table2[[#This Row],[!Name]], "rg:None")</f>
        <v>code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'code' }, { 'req': 'name' }, { 'req': 'description'} ]</v>
      </c>
    </row>
    <row r="206" spans="1:21" x14ac:dyDescent="0.3">
      <c r="A206" s="3" t="s">
        <v>174</v>
      </c>
      <c r="B206" s="3" t="s">
        <v>10</v>
      </c>
      <c r="C206" s="3"/>
      <c r="D206" s="3" t="s">
        <v>65</v>
      </c>
      <c r="E206" s="29" t="s">
        <v>7</v>
      </c>
      <c r="F206" s="3" t="s">
        <v>7</v>
      </c>
      <c r="G206" s="4" t="s">
        <v>179</v>
      </c>
      <c r="H206" s="5" t="str">
        <f t="shared" si="4"/>
        <v>Defs</v>
      </c>
      <c r="I206" t="str">
        <f>IF(Table2[[#This Row],[!Type]]=I$1, I$1,"rg:None")</f>
        <v>rg:None</v>
      </c>
      <c r="J206" t="str">
        <f>IF(Table2[[#This Row],[!Type]]=J$1, J$1,"rg:None")</f>
        <v>rg:None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string</v>
      </c>
      <c r="P206" s="5" t="str">
        <f>IF(Table2[[#This Row],[!Type]]=P$1, P$1,"rg:None")</f>
        <v>rg:None</v>
      </c>
      <c r="Q206" s="10" t="str">
        <f>IF(LEN(Table2[[#This Row],[!Length]]) &gt; 0, Table2[[#This Row],[!Length]], "rg:None")</f>
        <v>rg:None</v>
      </c>
      <c r="R206" s="10" t="str">
        <f>IF(LEN(Table2[[#This Row],[!Name]]) &gt; 0, Table2[[#This Row],[!Name]], "rg:None")</f>
        <v>name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'code' }, { 'req': 'name' }, { 'req': 'description'} ]</v>
      </c>
    </row>
    <row r="207" spans="1:21" x14ac:dyDescent="0.3">
      <c r="A207" s="3" t="s">
        <v>174</v>
      </c>
      <c r="B207" s="3" t="s">
        <v>10</v>
      </c>
      <c r="C207" s="3"/>
      <c r="D207" s="3" t="s">
        <v>62</v>
      </c>
      <c r="E207" s="29" t="s">
        <v>7</v>
      </c>
      <c r="F207" s="3" t="s">
        <v>7</v>
      </c>
      <c r="G207" s="4" t="s">
        <v>179</v>
      </c>
      <c r="H207" s="5" t="str">
        <f t="shared" si="4"/>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rg:None</v>
      </c>
      <c r="O207" s="5" t="str">
        <f>IF(Table2[[#This Row],[!Type]]=O$1, O$1,"rg:None")</f>
        <v>string</v>
      </c>
      <c r="P207" s="5" t="str">
        <f>IF(Table2[[#This Row],[!Type]]=P$1, P$1,"rg:None")</f>
        <v>rg:None</v>
      </c>
      <c r="Q207" s="10" t="str">
        <f>IF(LEN(Table2[[#This Row],[!Length]]) &gt; 0, Table2[[#This Row],[!Length]], "rg:None")</f>
        <v>rg:None</v>
      </c>
      <c r="R207" s="10" t="str">
        <f>IF(LEN(Table2[[#This Row],[!Name]]) &gt; 0, Table2[[#This Row],[!Name]], "rg:None")</f>
        <v>description</v>
      </c>
      <c r="S207" s="10" t="str">
        <f>IF(LEN(Table2[[#This Row],[!Description]]) &gt; 0, Table2[[#This Row],[!Description]], "rg:None")</f>
        <v>rg:None</v>
      </c>
      <c r="T207" s="10" t="str">
        <f>IF(LEN(Table2[[#This Row],[!FK]])&gt;0,Table2[[#This Row],[!FK]],"rg:None")</f>
        <v>rg:None</v>
      </c>
      <c r="U207" s="10" t="str">
        <f>IF(LEN(concatif2(A:A,Table2[[#This Row],[!Table]],G:G,"Y",D:D,",")) &gt; 0,"rg:[ { 'req' : '"&amp;concatif2(A:A,Table2[[#This Row],[!Table]],G:G,"Y",D:D,"' }, { 'req': '")&amp;"'} ]","rg:[]")</f>
        <v>rg:[ { 'req' : 'id' }, { 'req': 'code' }, { 'req': 'name' }, { 'req': 'description'} ]</v>
      </c>
    </row>
    <row r="208" spans="1:21" x14ac:dyDescent="0.3">
      <c r="A208" s="3" t="s">
        <v>176</v>
      </c>
      <c r="B208" s="3" t="s">
        <v>5</v>
      </c>
      <c r="C208" s="3"/>
      <c r="D208" s="3" t="s">
        <v>176</v>
      </c>
      <c r="E208" s="29" t="s">
        <v>7</v>
      </c>
      <c r="F208" s="3" t="s">
        <v>7</v>
      </c>
      <c r="G208" s="4"/>
      <c r="H208" s="5" t="str">
        <f t="shared" si="4"/>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rg:None</v>
      </c>
      <c r="O208" s="5" t="str">
        <f>IF(Table2[[#This Row],[!Type]]=O$1, O$1,"rg:None")</f>
        <v>rg:None</v>
      </c>
      <c r="P208" s="5" t="str">
        <f>IF(Table2[[#This Row],[!Type]]=P$1, P$1,"rg:None")</f>
        <v>table</v>
      </c>
      <c r="Q208" s="10" t="str">
        <f>IF(LEN(Table2[[#This Row],[!Length]]) &gt; 0, Table2[[#This Row],[!Length]], "rg:None")</f>
        <v>rg:None</v>
      </c>
      <c r="R208" s="10" t="str">
        <f>IF(LEN(Table2[[#This Row],[!Name]]) &gt; 0, Table2[[#This Row],[!Name]], "rg:None")</f>
        <v>GroupMembership</v>
      </c>
      <c r="S208" s="10" t="str">
        <f>IF(LEN(Table2[[#This Row],[!Description]]) &gt; 0, Table2[[#This Row],[!Description]], "rg:None")</f>
        <v>rg:None</v>
      </c>
      <c r="T208" s="10" t="str">
        <f>IF(LEN(Table2[[#This Row],[!FK]])&gt;0,Table2[[#This Row],[!FK]],"rg:None")</f>
        <v>rg:None</v>
      </c>
      <c r="U208" s="10" t="str">
        <f>IF(LEN(concatif2(A:A,Table2[[#This Row],[!Table]],G:G,"Y",D:D,",")) &gt; 0,"rg:[ { 'req' : '"&amp;concatif2(A:A,Table2[[#This Row],[!Table]],G:G,"Y",D:D,"' }, { 'req': '")&amp;"'} ]","rg:[]")</f>
        <v>rg:[ { 'req' : 'id' }, { 'req': 'active'} ]</v>
      </c>
    </row>
    <row r="209" spans="1:21" x14ac:dyDescent="0.3">
      <c r="A209" s="3" t="s">
        <v>176</v>
      </c>
      <c r="B209" s="3" t="s">
        <v>8</v>
      </c>
      <c r="C209" s="3"/>
      <c r="D209" s="3" t="s">
        <v>8</v>
      </c>
      <c r="E209" s="29" t="s">
        <v>9</v>
      </c>
      <c r="F209" s="3" t="s">
        <v>7</v>
      </c>
      <c r="G209" s="4" t="s">
        <v>179</v>
      </c>
      <c r="H209" s="5" t="str">
        <f t="shared" si="4"/>
        <v>Defs</v>
      </c>
      <c r="I209" t="str">
        <f>IF(Table2[[#This Row],[!Type]]=I$1, I$1,"rg:None")</f>
        <v>rg:None</v>
      </c>
      <c r="J209" t="str">
        <f>IF(Table2[[#This Row],[!Type]]=J$1, J$1,"rg:None")</f>
        <v>rg:None</v>
      </c>
      <c r="K209" t="str">
        <f>IF(Table2[[#This Row],[!Type]]=K$1, K$1,"rg:None")</f>
        <v>id</v>
      </c>
      <c r="L209" s="10" t="str">
        <f>IF(Table2[[#This Row],[!Type]]=L$1, L$1,"rg:None")</f>
        <v>rg:None</v>
      </c>
      <c r="M209" s="5" t="str">
        <f>IF(Table2[[#This Row],[!Type]]=M$1, M$1,"rg:None")</f>
        <v>rg:None</v>
      </c>
      <c r="N209" s="5" t="str">
        <f>IF(Table2[[#This Row],[!Type]]=N$1, N$1,"rg:None")</f>
        <v>rg:None</v>
      </c>
      <c r="O209" s="5" t="str">
        <f>IF(Table2[[#This Row],[!Type]]=O$1, O$1,"rg:None")</f>
        <v>rg:None</v>
      </c>
      <c r="P209" s="5" t="str">
        <f>IF(Table2[[#This Row],[!Type]]=P$1, P$1,"rg:None")</f>
        <v>rg:None</v>
      </c>
      <c r="Q209" s="10" t="str">
        <f>IF(LEN(Table2[[#This Row],[!Length]]) &gt; 0, Table2[[#This Row],[!Length]], "rg:None")</f>
        <v>rg:None</v>
      </c>
      <c r="R209" s="10" t="str">
        <f>IF(LEN(Table2[[#This Row],[!Name]]) &gt; 0, Table2[[#This Row],[!Name]], "rg:None")</f>
        <v>id</v>
      </c>
      <c r="S209" s="10" t="str">
        <f>IF(LEN(Table2[[#This Row],[!Description]]) &gt; 0, Table2[[#This Row],[!Description]], "rg:None")</f>
        <v>Primary Key</v>
      </c>
      <c r="T209" s="10" t="str">
        <f>IF(LEN(Table2[[#This Row],[!FK]])&gt;0,Table2[[#This Row],[!FK]],"rg:None")</f>
        <v>rg:None</v>
      </c>
      <c r="U209" s="10" t="str">
        <f>IF(LEN(concatif2(A:A,Table2[[#This Row],[!Table]],G:G,"Y",D:D,",")) &gt; 0,"rg:[ { 'req' : '"&amp;concatif2(A:A,Table2[[#This Row],[!Table]],G:G,"Y",D:D,"' }, { 'req': '")&amp;"'} ]","rg:[]")</f>
        <v>rg:[ { 'req' : 'id' }, { 'req': 'active'} ]</v>
      </c>
    </row>
    <row r="210" spans="1:21" x14ac:dyDescent="0.3">
      <c r="A210" s="3" t="s">
        <v>176</v>
      </c>
      <c r="B210" s="3" t="s">
        <v>21</v>
      </c>
      <c r="C210" s="3"/>
      <c r="D210" s="3" t="s">
        <v>159</v>
      </c>
      <c r="E210" s="29" t="s">
        <v>7</v>
      </c>
      <c r="F210" s="3" t="s">
        <v>7</v>
      </c>
      <c r="G210" s="4" t="s">
        <v>179</v>
      </c>
      <c r="H210" s="5" t="str">
        <f t="shared" si="4"/>
        <v>Defs</v>
      </c>
      <c r="I210" t="str">
        <f>IF(Table2[[#This Row],[!Type]]=I$1, I$1,"rg:None")</f>
        <v>boolean</v>
      </c>
      <c r="J210" t="str">
        <f>IF(Table2[[#This Row],[!Type]]=J$1, J$1,"rg:None")</f>
        <v>rg:None</v>
      </c>
      <c r="K210" t="str">
        <f>IF(Table2[[#This Row],[!Type]]=K$1, K$1,"rg:None")</f>
        <v>rg:None</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active</v>
      </c>
      <c r="S210" s="10" t="str">
        <f>IF(LEN(Table2[[#This Row],[!Description]]) &gt; 0, Table2[[#This Row],[!Description]], "rg:None")</f>
        <v>rg:None</v>
      </c>
      <c r="T210" s="10" t="str">
        <f>IF(LEN(Table2[[#This Row],[!FK]])&gt;0,Table2[[#This Row],[!FK]],"rg:None")</f>
        <v>rg:None</v>
      </c>
      <c r="U210" s="10" t="str">
        <f>IF(LEN(concatif2(A:A,Table2[[#This Row],[!Table]],G:G,"Y",D:D,",")) &gt; 0,"rg:[ { 'req' : '"&amp;concatif2(A:A,Table2[[#This Row],[!Table]],G:G,"Y",D:D,"' }, { 'req': '")&amp;"'} ]","rg:[]")</f>
        <v>rg:[ { 'req' : 'id' }, { 'req': 'active'} ]</v>
      </c>
    </row>
    <row r="211" spans="1:21" x14ac:dyDescent="0.3">
      <c r="A211" s="3" t="s">
        <v>176</v>
      </c>
      <c r="B211" s="3" t="s">
        <v>14</v>
      </c>
      <c r="C211" s="3"/>
      <c r="D211" s="3" t="s">
        <v>177</v>
      </c>
      <c r="E211" s="29" t="s">
        <v>7</v>
      </c>
      <c r="F211" s="3" t="s">
        <v>178</v>
      </c>
      <c r="G211" s="4"/>
      <c r="H211" s="5" t="str">
        <f t="shared" si="4"/>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ref</v>
      </c>
      <c r="O211" s="5" t="str">
        <f>IF(Table2[[#This Row],[!Type]]=O$1, O$1,"rg:None")</f>
        <v>rg:None</v>
      </c>
      <c r="P211" s="5" t="str">
        <f>IF(Table2[[#This Row],[!Type]]=P$1, P$1,"rg:None")</f>
        <v>rg:None</v>
      </c>
      <c r="Q211" s="10" t="str">
        <f>IF(LEN(Table2[[#This Row],[!Length]]) &gt; 0, Table2[[#This Row],[!Length]], "rg:None")</f>
        <v>rg:None</v>
      </c>
      <c r="R211" s="10" t="str">
        <f>IF(LEN(Table2[[#This Row],[!Name]]) &gt; 0, Table2[[#This Row],[!Name]], "rg:None")</f>
        <v>group</v>
      </c>
      <c r="S211" s="10" t="str">
        <f>IF(LEN(Table2[[#This Row],[!Description]]) &gt; 0, Table2[[#This Row],[!Description]], "rg:None")</f>
        <v>rg:None</v>
      </c>
      <c r="T211" s="10" t="str">
        <f>IF(LEN(Table2[[#This Row],[!FK]])&gt;0,Table2[[#This Row],[!FK]],"rg:None")</f>
        <v>Group</v>
      </c>
      <c r="U211" s="10" t="str">
        <f>IF(LEN(concatif2(A:A,Table2[[#This Row],[!Table]],G:G,"Y",D:D,",")) &gt; 0,"rg:[ { 'req' : '"&amp;concatif2(A:A,Table2[[#This Row],[!Table]],G:G,"Y",D:D,"' }, { 'req': '")&amp;"'} ]","rg:[]")</f>
        <v>rg:[ { 'req' : 'id' }, { 'req': 'active'} ]</v>
      </c>
    </row>
    <row r="212" spans="1:21" x14ac:dyDescent="0.3">
      <c r="A212" s="3" t="s">
        <v>176</v>
      </c>
      <c r="B212" s="3" t="s">
        <v>14</v>
      </c>
      <c r="C212" s="3"/>
      <c r="D212" s="3" t="s">
        <v>154</v>
      </c>
      <c r="E212" s="29" t="s">
        <v>7</v>
      </c>
      <c r="F212" s="3" t="s">
        <v>0</v>
      </c>
      <c r="G212" s="4"/>
      <c r="H212" s="5" t="str">
        <f t="shared" si="4"/>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ref</v>
      </c>
      <c r="O212" s="5" t="str">
        <f>IF(Table2[[#This Row],[!Type]]=O$1, O$1,"rg:None")</f>
        <v>rg:None</v>
      </c>
      <c r="P212" s="5" t="str">
        <f>IF(Table2[[#This Row],[!Type]]=P$1, P$1,"rg:None")</f>
        <v>rg:None</v>
      </c>
      <c r="Q212" s="10" t="str">
        <f>IF(LEN(Table2[[#This Row],[!Length]]) &gt; 0, Table2[[#This Row],[!Length]], "rg:None")</f>
        <v>rg:None</v>
      </c>
      <c r="R212" s="10" t="str">
        <f>IF(LEN(Table2[[#This Row],[!Name]]) &gt; 0, Table2[[#This Row],[!Name]], "rg:None")</f>
        <v>user</v>
      </c>
      <c r="S212" s="10" t="str">
        <f>IF(LEN(Table2[[#This Row],[!Description]]) &gt; 0, Table2[[#This Row],[!Description]], "rg:None")</f>
        <v>rg:None</v>
      </c>
      <c r="T212" s="10" t="str">
        <f>IF(LEN(Table2[[#This Row],[!FK]])&gt;0,Table2[[#This Row],[!FK]],"rg:None")</f>
        <v>User</v>
      </c>
      <c r="U212" s="10" t="str">
        <f>IF(LEN(concatif2(A:A,Table2[[#This Row],[!Table]],G:G,"Y",D:D,",")) &gt; 0,"rg:[ { 'req' : '"&amp;concatif2(A:A,Table2[[#This Row],[!Table]],G:G,"Y",D:D,"' }, { 'req': '")&amp;"'} ]","rg:[]")</f>
        <v>rg:[ { 'req' : 'id' }, { 'req': 'active'} ]</v>
      </c>
    </row>
    <row r="213" spans="1:21" x14ac:dyDescent="0.3">
      <c r="A213" s="3" t="s">
        <v>178</v>
      </c>
      <c r="B213" s="3" t="s">
        <v>5</v>
      </c>
      <c r="C213" s="3"/>
      <c r="D213" s="3" t="s">
        <v>178</v>
      </c>
      <c r="E213" s="29" t="s">
        <v>7</v>
      </c>
      <c r="F213" s="3" t="s">
        <v>7</v>
      </c>
      <c r="G213" s="4"/>
      <c r="H213" s="5" t="str">
        <f t="shared" si="4"/>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rg:None</v>
      </c>
      <c r="N213" s="5" t="str">
        <f>IF(Table2[[#This Row],[!Type]]=N$1, N$1,"rg:None")</f>
        <v>rg:None</v>
      </c>
      <c r="O213" s="5" t="str">
        <f>IF(Table2[[#This Row],[!Type]]=O$1, O$1,"rg:None")</f>
        <v>rg:None</v>
      </c>
      <c r="P213" s="5" t="str">
        <f>IF(Table2[[#This Row],[!Type]]=P$1, P$1,"rg:None")</f>
        <v>table</v>
      </c>
      <c r="Q213" s="10" t="str">
        <f>IF(LEN(Table2[[#This Row],[!Length]]) &gt; 0, Table2[[#This Row],[!Length]], "rg:None")</f>
        <v>rg:None</v>
      </c>
      <c r="R213" s="10" t="str">
        <f>IF(LEN(Table2[[#This Row],[!Name]]) &gt; 0, Table2[[#This Row],[!Name]], "rg:None")</f>
        <v>Group</v>
      </c>
      <c r="S213" s="10" t="str">
        <f>IF(LEN(Table2[[#This Row],[!Description]]) &gt; 0, Table2[[#This Row],[!Description]], "rg:None")</f>
        <v>rg:None</v>
      </c>
      <c r="T213" s="10" t="str">
        <f>IF(LEN(Table2[[#This Row],[!FK]])&gt;0,Table2[[#This Row],[!FK]],"rg:None")</f>
        <v>rg:None</v>
      </c>
      <c r="U213" s="10" t="str">
        <f>IF(LEN(concatif2(A:A,Table2[[#This Row],[!Table]],G:G,"Y",D:D,",")) &gt; 0,"rg:[ { 'req' : '"&amp;concatif2(A:A,Table2[[#This Row],[!Table]],G:G,"Y",D:D,"' }, { 'req': '")&amp;"'} ]","rg:[]")</f>
        <v>rg:[ { 'req' : 'id' }, { 'req': 'name' }, { 'req': 'description'} ]</v>
      </c>
    </row>
    <row r="214" spans="1:21" x14ac:dyDescent="0.3">
      <c r="A214" s="3" t="s">
        <v>178</v>
      </c>
      <c r="B214" s="3" t="s">
        <v>8</v>
      </c>
      <c r="C214" s="3"/>
      <c r="D214" s="3" t="s">
        <v>8</v>
      </c>
      <c r="E214" s="29" t="s">
        <v>9</v>
      </c>
      <c r="F214" s="3" t="s">
        <v>7</v>
      </c>
      <c r="G214" s="4" t="s">
        <v>179</v>
      </c>
      <c r="H214" s="5" t="str">
        <f t="shared" si="4"/>
        <v>Defs</v>
      </c>
      <c r="I214" t="str">
        <f>IF(Table2[[#This Row],[!Type]]=I$1, I$1,"rg:None")</f>
        <v>rg:None</v>
      </c>
      <c r="J214" t="str">
        <f>IF(Table2[[#This Row],[!Type]]=J$1, J$1,"rg:None")</f>
        <v>rg:None</v>
      </c>
      <c r="K214" t="str">
        <f>IF(Table2[[#This Row],[!Type]]=K$1, K$1,"rg:None")</f>
        <v>id</v>
      </c>
      <c r="L214" s="10" t="str">
        <f>IF(Table2[[#This Row],[!Type]]=L$1, L$1,"rg:None")</f>
        <v>rg:None</v>
      </c>
      <c r="M214" s="5" t="str">
        <f>IF(Table2[[#This Row],[!Type]]=M$1, M$1,"rg:None")</f>
        <v>rg:None</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id</v>
      </c>
      <c r="S214" s="10" t="str">
        <f>IF(LEN(Table2[[#This Row],[!Description]]) &gt; 0, Table2[[#This Row],[!Description]], "rg:None")</f>
        <v>Primary Key</v>
      </c>
      <c r="T214" s="10" t="str">
        <f>IF(LEN(Table2[[#This Row],[!FK]])&gt;0,Table2[[#This Row],[!FK]],"rg:None")</f>
        <v>rg:None</v>
      </c>
      <c r="U214" s="10" t="str">
        <f>IF(LEN(concatif2(A:A,Table2[[#This Row],[!Table]],G:G,"Y",D:D,",")) &gt; 0,"rg:[ { 'req' : '"&amp;concatif2(A:A,Table2[[#This Row],[!Table]],G:G,"Y",D:D,"' }, { 'req': '")&amp;"'} ]","rg:[]")</f>
        <v>rg:[ { 'req' : 'id' }, { 'req': 'name' }, { 'req': 'description'} ]</v>
      </c>
    </row>
    <row r="215" spans="1:21" x14ac:dyDescent="0.3">
      <c r="A215" s="3" t="s">
        <v>178</v>
      </c>
      <c r="B215" s="3" t="s">
        <v>10</v>
      </c>
      <c r="C215" s="3"/>
      <c r="D215" s="3" t="s">
        <v>65</v>
      </c>
      <c r="E215" s="29" t="s">
        <v>7</v>
      </c>
      <c r="F215" s="3" t="s">
        <v>7</v>
      </c>
      <c r="G215" s="4" t="s">
        <v>179</v>
      </c>
      <c r="H215" s="5" t="str">
        <f t="shared" si="4"/>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string</v>
      </c>
      <c r="P215" s="5" t="str">
        <f>IF(Table2[[#This Row],[!Type]]=P$1, P$1,"rg:None")</f>
        <v>rg:None</v>
      </c>
      <c r="Q215" s="10" t="str">
        <f>IF(LEN(Table2[[#This Row],[!Length]]) &gt; 0, Table2[[#This Row],[!Length]], "rg:None")</f>
        <v>rg:None</v>
      </c>
      <c r="R215" s="10" t="str">
        <f>IF(LEN(Table2[[#This Row],[!Name]]) &gt; 0, Table2[[#This Row],[!Name]], "rg:None")</f>
        <v>name</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 { 'req': 'name' }, { 'req': 'description'} ]</v>
      </c>
    </row>
    <row r="216" spans="1:21" x14ac:dyDescent="0.3">
      <c r="A216" s="3" t="s">
        <v>178</v>
      </c>
      <c r="B216" s="3" t="s">
        <v>10</v>
      </c>
      <c r="C216" s="3"/>
      <c r="D216" s="3" t="s">
        <v>62</v>
      </c>
      <c r="E216" s="29" t="s">
        <v>7</v>
      </c>
      <c r="F216" s="3" t="s">
        <v>7</v>
      </c>
      <c r="G216" s="4" t="s">
        <v>179</v>
      </c>
      <c r="H216" s="5" t="str">
        <f t="shared" si="4"/>
        <v>Defs</v>
      </c>
      <c r="I216" t="str">
        <f>IF(Table2[[#This Row],[!Type]]=I$1, I$1,"rg:None")</f>
        <v>rg:None</v>
      </c>
      <c r="J216" t="str">
        <f>IF(Table2[[#This Row],[!Type]]=J$1, J$1,"rg:None")</f>
        <v>rg:None</v>
      </c>
      <c r="K216" t="str">
        <f>IF(Table2[[#This Row],[!Type]]=K$1, K$1,"rg:None")</f>
        <v>rg:None</v>
      </c>
      <c r="L216" s="10" t="str">
        <f>IF(Table2[[#This Row],[!Type]]=L$1, L$1,"rg:None")</f>
        <v>rg:None</v>
      </c>
      <c r="M216" s="5" t="str">
        <f>IF(Table2[[#This Row],[!Type]]=M$1, M$1,"rg:None")</f>
        <v>rg:None</v>
      </c>
      <c r="N216" s="5" t="str">
        <f>IF(Table2[[#This Row],[!Type]]=N$1, N$1,"rg:None")</f>
        <v>rg:None</v>
      </c>
      <c r="O216" s="5" t="str">
        <f>IF(Table2[[#This Row],[!Type]]=O$1, O$1,"rg:None")</f>
        <v>string</v>
      </c>
      <c r="P216" s="5" t="str">
        <f>IF(Table2[[#This Row],[!Type]]=P$1, P$1,"rg:None")</f>
        <v>rg:None</v>
      </c>
      <c r="Q216" s="10" t="str">
        <f>IF(LEN(Table2[[#This Row],[!Length]]) &gt; 0, Table2[[#This Row],[!Length]], "rg:None")</f>
        <v>rg:None</v>
      </c>
      <c r="R216" s="10" t="str">
        <f>IF(LEN(Table2[[#This Row],[!Name]]) &gt; 0, Table2[[#This Row],[!Name]], "rg:None")</f>
        <v>description</v>
      </c>
      <c r="S216" s="10" t="str">
        <f>IF(LEN(Table2[[#This Row],[!Description]]) &gt; 0, Table2[[#This Row],[!Description]], "rg:None")</f>
        <v>rg:None</v>
      </c>
      <c r="T216" s="10" t="str">
        <f>IF(LEN(Table2[[#This Row],[!FK]])&gt;0,Table2[[#This Row],[!FK]],"rg:None")</f>
        <v>rg:None</v>
      </c>
      <c r="U216"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240</v>
      </c>
      <c r="B1" s="1" t="s">
        <v>241</v>
      </c>
      <c r="C1" s="1" t="s">
        <v>242</v>
      </c>
      <c r="D1" s="1" t="s">
        <v>243</v>
      </c>
      <c r="E1" s="2" t="s">
        <v>244</v>
      </c>
      <c r="F1" s="1" t="s">
        <v>245</v>
      </c>
      <c r="G1" s="11" t="s">
        <v>221</v>
      </c>
      <c r="H1" s="11" t="s">
        <v>231</v>
      </c>
      <c r="I1" s="11" t="s">
        <v>232</v>
      </c>
      <c r="J1" s="11" t="s">
        <v>233</v>
      </c>
      <c r="K1" s="11" t="s">
        <v>234</v>
      </c>
      <c r="L1" s="11" t="s">
        <v>235</v>
      </c>
      <c r="M1" s="11" t="s">
        <v>236</v>
      </c>
      <c r="N1" s="11" t="s">
        <v>237</v>
      </c>
      <c r="O1" s="11" t="s">
        <v>238</v>
      </c>
      <c r="P1" s="11" t="s">
        <v>227</v>
      </c>
      <c r="Q1" s="11" t="s">
        <v>228</v>
      </c>
      <c r="R1" s="11" t="s">
        <v>229</v>
      </c>
      <c r="S1" s="11" t="s">
        <v>230</v>
      </c>
      <c r="T1" s="11" t="s">
        <v>1</v>
      </c>
    </row>
    <row r="2" spans="1:20" x14ac:dyDescent="0.3">
      <c r="A2" s="9" t="s">
        <v>231</v>
      </c>
      <c r="B2" s="9" t="s">
        <v>239</v>
      </c>
      <c r="C2" s="3" t="s">
        <v>99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231</v>
      </c>
      <c r="B3" s="12" t="s">
        <v>252</v>
      </c>
      <c r="C3" s="3" t="s">
        <v>102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231</v>
      </c>
      <c r="B4" s="12" t="s">
        <v>253</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231</v>
      </c>
      <c r="B5" s="12" t="s">
        <v>254</v>
      </c>
      <c r="C5" s="3" t="s">
        <v>53</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231</v>
      </c>
      <c r="B6" s="12" t="s">
        <v>255</v>
      </c>
      <c r="C6" s="3" t="s">
        <v>57</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231</v>
      </c>
      <c r="B7" s="12" t="s">
        <v>256</v>
      </c>
      <c r="C7" s="3" t="s">
        <v>64</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231</v>
      </c>
      <c r="B8" s="12" t="s">
        <v>258</v>
      </c>
      <c r="C8" s="3" t="s">
        <v>145</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231</v>
      </c>
      <c r="B9" s="12" t="s">
        <v>257</v>
      </c>
      <c r="C9" s="3" t="s">
        <v>147</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231</v>
      </c>
      <c r="B10" s="12" t="s">
        <v>259</v>
      </c>
      <c r="C10" s="3" t="s">
        <v>16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231</v>
      </c>
      <c r="B11" s="3" t="s">
        <v>260</v>
      </c>
      <c r="C11" s="3" t="s">
        <v>76</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231</v>
      </c>
      <c r="B12" s="3" t="s">
        <v>261</v>
      </c>
      <c r="C12" s="3" t="s">
        <v>75</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231</v>
      </c>
      <c r="B13" s="3" t="s">
        <v>262</v>
      </c>
      <c r="C13" s="3" t="s">
        <v>72</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231</v>
      </c>
      <c r="B14" s="12" t="s">
        <v>263</v>
      </c>
      <c r="C14" s="3" t="s">
        <v>98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231</v>
      </c>
      <c r="B15" s="12" t="s">
        <v>264</v>
      </c>
      <c r="C15" s="3" t="s">
        <v>178</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231</v>
      </c>
      <c r="B16" s="12" t="s">
        <v>265</v>
      </c>
      <c r="C16" s="3" t="s">
        <v>174</v>
      </c>
      <c r="D16" s="17" t="s">
        <v>276</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233</v>
      </c>
      <c r="B17" s="20" t="s">
        <v>265</v>
      </c>
      <c r="C17" s="22" t="s">
        <v>174</v>
      </c>
      <c r="D17" s="23" t="s">
        <v>174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231</v>
      </c>
      <c r="B18" s="12" t="s">
        <v>266</v>
      </c>
      <c r="C18" s="3" t="s">
        <v>170</v>
      </c>
      <c r="D18" s="17" t="s">
        <v>277</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233</v>
      </c>
      <c r="B19" s="20" t="s">
        <v>266</v>
      </c>
      <c r="C19" s="22" t="s">
        <v>170</v>
      </c>
      <c r="D19" s="23" t="s">
        <v>170</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233</v>
      </c>
      <c r="B20" s="12" t="s">
        <v>273</v>
      </c>
      <c r="C20" s="17" t="s">
        <v>170</v>
      </c>
      <c r="D20" s="17" t="s">
        <v>172</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233</v>
      </c>
      <c r="B21" s="13" t="s">
        <v>274</v>
      </c>
      <c r="C21" s="18" t="s">
        <v>0</v>
      </c>
      <c r="D21" s="17" t="s">
        <v>176</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233</v>
      </c>
      <c r="B22" s="12" t="s">
        <v>267</v>
      </c>
      <c r="C22" s="17" t="s">
        <v>0</v>
      </c>
      <c r="D22" s="17" t="s">
        <v>167</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231</v>
      </c>
      <c r="B23" s="12" t="s">
        <v>268</v>
      </c>
      <c r="C23" s="3" t="s">
        <v>118</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231</v>
      </c>
      <c r="B24" s="12" t="s">
        <v>269</v>
      </c>
      <c r="C24" s="3" t="s">
        <v>126</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231</v>
      </c>
      <c r="B25" s="12" t="s">
        <v>270</v>
      </c>
      <c r="C25" s="3" t="s">
        <v>23</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231</v>
      </c>
      <c r="B26" s="12" t="s">
        <v>271</v>
      </c>
      <c r="C26" s="3" t="s">
        <v>28</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231</v>
      </c>
      <c r="B27" s="12" t="s">
        <v>272</v>
      </c>
      <c r="C27" s="3" t="s">
        <v>41</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221</v>
      </c>
      <c r="B1" t="s">
        <v>224</v>
      </c>
    </row>
    <row r="2" spans="1:2" x14ac:dyDescent="0.3">
      <c r="A2" t="s">
        <v>226</v>
      </c>
      <c r="B2" t="s">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221</v>
      </c>
      <c r="B1" s="7" t="s">
        <v>224</v>
      </c>
    </row>
    <row r="2" spans="1:2" x14ac:dyDescent="0.3">
      <c r="A2" t="s">
        <v>226</v>
      </c>
      <c r="B2" t="s">
        <v>278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2017-01-20T23:25:35Z</dcterms:modified>
</cp:coreProperties>
</file>