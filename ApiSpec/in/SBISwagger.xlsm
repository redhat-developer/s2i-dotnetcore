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2" i="27"/>
  <c r="J12" i="27"/>
  <c r="K12" i="27"/>
  <c r="L12" i="27"/>
  <c r="M12" i="27"/>
  <c r="N12" i="27"/>
  <c r="O12" i="27"/>
  <c r="P12" i="27"/>
  <c r="Q12" i="27"/>
  <c r="R12" i="27"/>
  <c r="S12" i="27"/>
  <c r="T12" i="27"/>
  <c r="U12" i="27"/>
  <c r="V12" i="27"/>
  <c r="W12" i="27"/>
  <c r="Y12" i="27"/>
  <c r="I171" i="27"/>
  <c r="I172" i="27"/>
  <c r="J171" i="27"/>
  <c r="J172" i="27"/>
  <c r="K171" i="27"/>
  <c r="K172" i="27"/>
  <c r="L171" i="27"/>
  <c r="L172" i="27"/>
  <c r="M171" i="27"/>
  <c r="M172" i="27"/>
  <c r="N171" i="27"/>
  <c r="N172" i="27"/>
  <c r="O171" i="27"/>
  <c r="O172" i="27"/>
  <c r="P171" i="27"/>
  <c r="P172" i="27"/>
  <c r="Q171" i="27"/>
  <c r="Q172" i="27"/>
  <c r="R171" i="27"/>
  <c r="R172" i="27"/>
  <c r="S171" i="27"/>
  <c r="S172" i="27"/>
  <c r="T171" i="27"/>
  <c r="T172" i="27"/>
  <c r="U171" i="27"/>
  <c r="U172" i="27"/>
  <c r="V171" i="27"/>
  <c r="V172" i="27"/>
  <c r="W171" i="27"/>
  <c r="W172" i="27"/>
  <c r="Y171" i="27"/>
  <c r="Y172" i="27"/>
  <c r="I165" i="27"/>
  <c r="I166" i="27"/>
  <c r="I167" i="27"/>
  <c r="I168" i="27"/>
  <c r="I169" i="27"/>
  <c r="I170" i="27"/>
  <c r="J165" i="27"/>
  <c r="J166" i="27"/>
  <c r="J167" i="27"/>
  <c r="J168" i="27"/>
  <c r="J169" i="27"/>
  <c r="J170" i="27"/>
  <c r="K165" i="27"/>
  <c r="K166" i="27"/>
  <c r="K167" i="27"/>
  <c r="K168" i="27"/>
  <c r="K169" i="27"/>
  <c r="K170" i="27"/>
  <c r="L165" i="27"/>
  <c r="L166" i="27"/>
  <c r="L167" i="27"/>
  <c r="L168" i="27"/>
  <c r="L169" i="27"/>
  <c r="L170" i="27"/>
  <c r="M165" i="27"/>
  <c r="M166" i="27"/>
  <c r="M167" i="27"/>
  <c r="M168" i="27"/>
  <c r="M169" i="27"/>
  <c r="M170" i="27"/>
  <c r="N165" i="27"/>
  <c r="N166" i="27"/>
  <c r="N167" i="27"/>
  <c r="N168" i="27"/>
  <c r="N169" i="27"/>
  <c r="N170" i="27"/>
  <c r="O165" i="27"/>
  <c r="O166" i="27"/>
  <c r="O167" i="27"/>
  <c r="O168" i="27"/>
  <c r="O169" i="27"/>
  <c r="O170" i="27"/>
  <c r="P165" i="27"/>
  <c r="P166" i="27"/>
  <c r="P167" i="27"/>
  <c r="P168" i="27"/>
  <c r="P169" i="27"/>
  <c r="P170" i="27"/>
  <c r="Q165" i="27"/>
  <c r="Q166" i="27"/>
  <c r="Q167" i="27"/>
  <c r="Q168" i="27"/>
  <c r="Q169" i="27"/>
  <c r="Q170" i="27"/>
  <c r="R165" i="27"/>
  <c r="R166" i="27"/>
  <c r="R167" i="27"/>
  <c r="R168" i="27"/>
  <c r="R169" i="27"/>
  <c r="R170" i="27"/>
  <c r="S165" i="27"/>
  <c r="S166" i="27"/>
  <c r="S167" i="27"/>
  <c r="S168" i="27"/>
  <c r="S169" i="27"/>
  <c r="S170" i="27"/>
  <c r="T165" i="27"/>
  <c r="T166" i="27"/>
  <c r="T167" i="27"/>
  <c r="T168" i="27"/>
  <c r="T169" i="27"/>
  <c r="T170" i="27"/>
  <c r="U165" i="27"/>
  <c r="U166" i="27"/>
  <c r="U167" i="27"/>
  <c r="U168" i="27"/>
  <c r="U169" i="27"/>
  <c r="U170" i="27"/>
  <c r="V165" i="27"/>
  <c r="V166" i="27"/>
  <c r="V167" i="27"/>
  <c r="V168" i="27"/>
  <c r="V169" i="27"/>
  <c r="V170" i="27"/>
  <c r="W165" i="27"/>
  <c r="W166" i="27"/>
  <c r="W167" i="27"/>
  <c r="W168" i="27"/>
  <c r="W169" i="27"/>
  <c r="W170" i="27"/>
  <c r="Y165" i="27"/>
  <c r="Y166" i="27"/>
  <c r="Y167" i="27"/>
  <c r="Y168" i="27"/>
  <c r="Y169" i="27"/>
  <c r="Y170" i="27"/>
  <c r="X12" i="27"/>
  <c r="X168" i="27"/>
  <c r="X165" i="27"/>
  <c r="X170" i="27"/>
  <c r="X169" i="27"/>
  <c r="X166" i="27"/>
  <c r="X171" i="27"/>
  <c r="X167" i="27"/>
  <c r="X172" i="27"/>
  <c r="I203" i="27" l="1"/>
  <c r="J203" i="27"/>
  <c r="K203" i="27"/>
  <c r="L203" i="27"/>
  <c r="M203" i="27"/>
  <c r="N203" i="27"/>
  <c r="O203" i="27"/>
  <c r="P203" i="27"/>
  <c r="Q203" i="27"/>
  <c r="R203" i="27"/>
  <c r="S203" i="27"/>
  <c r="T203" i="27"/>
  <c r="U203" i="27"/>
  <c r="V203" i="27"/>
  <c r="W203" i="27"/>
  <c r="Y203"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3"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1" i="27"/>
  <c r="X15" i="27"/>
  <c r="X4" i="27"/>
  <c r="X10" i="27"/>
  <c r="X6" i="27"/>
  <c r="X16" i="27"/>
  <c r="X18" i="27"/>
  <c r="X7" i="27"/>
  <c r="X5" i="27"/>
  <c r="X2" i="27"/>
  <c r="X13" i="27"/>
  <c r="X14" i="27"/>
  <c r="X19" i="27"/>
  <c r="X3" i="27"/>
  <c r="X8" i="27"/>
  <c r="X17"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7" i="27"/>
  <c r="X23" i="27"/>
  <c r="X21" i="27"/>
  <c r="X26" i="27"/>
  <c r="X22" i="27"/>
  <c r="X24" i="27"/>
  <c r="X25" i="27"/>
  <c r="X28"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0" i="27"/>
  <c r="X33" i="27"/>
  <c r="X34" i="27"/>
  <c r="X36" i="27"/>
  <c r="X37" i="27"/>
  <c r="X32" i="27"/>
  <c r="X38" i="27"/>
  <c r="X31" i="27"/>
  <c r="X39"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47" i="27"/>
  <c r="X44" i="27"/>
  <c r="X50" i="27"/>
  <c r="X45" i="27"/>
  <c r="X49" i="27"/>
  <c r="X43" i="27"/>
  <c r="X46" i="27"/>
  <c r="X41" i="27"/>
  <c r="X42" i="27"/>
  <c r="X48"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5" i="27"/>
  <c r="X56"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2" i="27"/>
  <c r="X59" i="27"/>
  <c r="X61" i="27"/>
  <c r="X60"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X63" i="27"/>
  <c r="X84" i="27"/>
  <c r="X81" i="27"/>
  <c r="X74" i="27"/>
  <c r="X75" i="27"/>
  <c r="X83" i="27"/>
  <c r="X73" i="27"/>
  <c r="X88" i="27"/>
  <c r="X71" i="27"/>
  <c r="X69" i="27"/>
  <c r="X79" i="27"/>
  <c r="X70" i="27"/>
  <c r="X90" i="27"/>
  <c r="X72" i="27"/>
  <c r="X68" i="27"/>
  <c r="X65" i="27"/>
  <c r="X78" i="27"/>
  <c r="X93" i="27"/>
  <c r="X85" i="27"/>
  <c r="X66" i="27"/>
  <c r="X67" i="27"/>
  <c r="X89" i="27"/>
  <c r="X94" i="27"/>
  <c r="X91" i="27"/>
  <c r="X86" i="27"/>
  <c r="X92" i="27"/>
  <c r="X80" i="27"/>
  <c r="X82" i="27"/>
  <c r="X87" i="27"/>
  <c r="X64" i="27"/>
  <c r="Y94" i="27" l="1"/>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X95" i="27"/>
  <c r="X101" i="27"/>
  <c r="X103" i="27"/>
  <c r="X99" i="27"/>
  <c r="X104" i="27"/>
  <c r="X100" i="27"/>
  <c r="X98" i="27"/>
  <c r="X96" i="27"/>
  <c r="X105" i="27"/>
  <c r="X102" i="27"/>
  <c r="X97" i="27"/>
  <c r="Y105" i="27" l="1"/>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X106" i="27"/>
  <c r="X107" i="27"/>
  <c r="Y107" i="27" l="1"/>
  <c r="I108" i="27"/>
  <c r="J108" i="27"/>
  <c r="K108" i="27"/>
  <c r="L108" i="27"/>
  <c r="M108" i="27"/>
  <c r="N108" i="27"/>
  <c r="O108" i="27"/>
  <c r="P108" i="27"/>
  <c r="Q108" i="27"/>
  <c r="R108" i="27"/>
  <c r="S108" i="27"/>
  <c r="T108" i="27"/>
  <c r="U108" i="27"/>
  <c r="V108" i="27"/>
  <c r="W108" i="27"/>
  <c r="Y108" i="27"/>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X108" i="27"/>
  <c r="X120" i="27"/>
  <c r="X115" i="27"/>
  <c r="X112" i="27"/>
  <c r="X114" i="27"/>
  <c r="X118" i="27"/>
  <c r="X117" i="27"/>
  <c r="X113" i="27"/>
  <c r="X119" i="27"/>
  <c r="X109" i="27"/>
  <c r="X122" i="27"/>
  <c r="X121" i="27"/>
  <c r="X110" i="27"/>
  <c r="X111" i="27"/>
  <c r="X116" i="27"/>
  <c r="Y122" i="27" l="1"/>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X123" i="27"/>
  <c r="X126" i="27"/>
  <c r="X125" i="27"/>
  <c r="X124" i="27"/>
  <c r="X127" i="27"/>
  <c r="X128" i="27"/>
  <c r="Y128" i="27" l="1"/>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I232" i="27"/>
  <c r="J232" i="27"/>
  <c r="K232" i="27"/>
  <c r="L232" i="27"/>
  <c r="M232" i="27"/>
  <c r="N232" i="27"/>
  <c r="O232" i="27"/>
  <c r="P232" i="27"/>
  <c r="Q232" i="27"/>
  <c r="R232" i="27"/>
  <c r="S232" i="27"/>
  <c r="T232" i="27"/>
  <c r="U232" i="27"/>
  <c r="V232" i="27"/>
  <c r="W232" i="27"/>
  <c r="Y232" i="27"/>
  <c r="X162" i="27"/>
  <c r="X187" i="27"/>
  <c r="X176" i="27"/>
  <c r="X157" i="27"/>
  <c r="X190" i="27"/>
  <c r="X209" i="27"/>
  <c r="X201" i="27"/>
  <c r="X227" i="27"/>
  <c r="X160" i="27"/>
  <c r="X226" i="27"/>
  <c r="X149" i="27"/>
  <c r="X211" i="27"/>
  <c r="X140" i="27"/>
  <c r="X135" i="27"/>
  <c r="X144" i="27"/>
  <c r="X210" i="27"/>
  <c r="X178" i="27"/>
  <c r="X158" i="27"/>
  <c r="X146" i="27"/>
  <c r="X231" i="27"/>
  <c r="X133" i="27"/>
  <c r="X185" i="27"/>
  <c r="X206" i="27"/>
  <c r="X223" i="27"/>
  <c r="X141" i="27"/>
  <c r="X208" i="27"/>
  <c r="X184" i="27"/>
  <c r="X130" i="27"/>
  <c r="X134" i="27"/>
  <c r="X136" i="27"/>
  <c r="X129" i="27"/>
  <c r="X193" i="27"/>
  <c r="X175" i="27"/>
  <c r="X195" i="27"/>
  <c r="X163" i="27"/>
  <c r="X152" i="27"/>
  <c r="X142" i="27"/>
  <c r="X131" i="27"/>
  <c r="X182" i="27"/>
  <c r="X214" i="27"/>
  <c r="X174" i="27"/>
  <c r="X194" i="27"/>
  <c r="X153" i="27"/>
  <c r="X192" i="27"/>
  <c r="X224" i="27"/>
  <c r="X196" i="27"/>
  <c r="X177" i="27"/>
  <c r="X225" i="27"/>
  <c r="X138" i="27"/>
  <c r="X147" i="27"/>
  <c r="X217" i="27"/>
  <c r="X189" i="27"/>
  <c r="X220" i="27"/>
  <c r="X216" i="27"/>
  <c r="X179" i="27"/>
  <c r="X204" i="27"/>
  <c r="X212" i="27"/>
  <c r="X150" i="27"/>
  <c r="X180" i="27"/>
  <c r="X143" i="27"/>
  <c r="X232" i="27"/>
  <c r="X154" i="27"/>
  <c r="X145" i="27"/>
  <c r="X181" i="27"/>
  <c r="X159" i="27"/>
  <c r="X202" i="27"/>
  <c r="X198" i="27"/>
  <c r="X191" i="27"/>
  <c r="X188" i="27"/>
  <c r="X132" i="27"/>
  <c r="X218" i="27"/>
  <c r="X221" i="27"/>
  <c r="X215" i="27"/>
  <c r="X229" i="27"/>
  <c r="X200" i="27"/>
  <c r="X205" i="27"/>
  <c r="X164" i="27"/>
  <c r="X197" i="27"/>
  <c r="X213" i="27"/>
  <c r="X219" i="27"/>
  <c r="X151" i="27"/>
  <c r="X137" i="27"/>
  <c r="X230" i="27"/>
  <c r="X207" i="27"/>
  <c r="X155" i="27"/>
  <c r="X156" i="27"/>
  <c r="X228" i="27"/>
  <c r="X199" i="27"/>
  <c r="X183" i="27"/>
  <c r="X161" i="27"/>
  <c r="X139" i="27"/>
  <c r="X186" i="27"/>
  <c r="X148" i="27"/>
  <c r="X222" i="27"/>
  <c r="X173"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<sst xmlns="http://schemas.openxmlformats.org/spreadsheetml/2006/main" count="1416" uniqueCount="435">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</sst>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1" fillId="0" borderId="0"/>
    <xf numFmtId="0" fontId="8" fillId="0" borderId="0"/>
    <xf numFmtId="0" fontId="3" fillId="0" borderId="0"/>
  </cellStyleXfs>
  <cellXfs count="65">
    <xf numFmtId="0" fontId="0" fillId="0" borderId="0" xfId="0"/>
    <xf numFmtId="0" fontId="25" fillId="0" borderId="0" xfId="719" applyFont="1" applyAlignment="1">
      <alignment vertical="top"/>
    </xf>
    <xf numFmtId="0" fontId="25" fillId="0" borderId="0" xfId="719" applyFont="1" applyAlignment="1">
      <alignment vertical="top" wrapText="1"/>
    </xf>
    <xf numFmtId="0" fontId="21" fillId="0" borderId="0" xfId="719"/>
    <xf numFmtId="0" fontId="21" fillId="0" borderId="0" xfId="719" applyNumberFormat="1" applyAlignment="1">
      <alignment vertical="top"/>
    </xf>
    <xf numFmtId="0" fontId="21" fillId="0" borderId="0" xfId="719" applyAlignment="1">
      <alignment vertical="top"/>
    </xf>
    <xf numFmtId="0" fontId="21" fillId="0" borderId="0" xfId="719" applyAlignment="1">
      <alignment vertical="top" wrapText="1"/>
    </xf>
    <xf numFmtId="0" fontId="24" fillId="0" borderId="0" xfId="0" applyFont="1"/>
    <xf numFmtId="0" fontId="20" fillId="0" borderId="0" xfId="719" applyFont="1"/>
    <xf numFmtId="0" fontId="19" fillId="0" borderId="0" xfId="719" applyFont="1"/>
    <xf numFmtId="0" fontId="0" fillId="0" borderId="0" xfId="0" applyAlignment="1">
      <alignment vertical="top"/>
    </xf>
    <xf numFmtId="0" fontId="25" fillId="0" borderId="0" xfId="0" applyFont="1" applyAlignment="1">
      <alignment vertical="top"/>
    </xf>
    <xf numFmtId="0" fontId="18" fillId="0" borderId="0" xfId="719" applyFont="1"/>
    <xf numFmtId="0" fontId="18" fillId="0" borderId="0" xfId="719" applyFont="1" applyAlignment="1">
      <alignment vertical="top"/>
    </xf>
    <xf numFmtId="0" fontId="21" fillId="0" borderId="0" xfId="719" applyFill="1" applyAlignment="1">
      <alignment vertical="top" wrapText="1"/>
    </xf>
    <xf numFmtId="0" fontId="21" fillId="0" borderId="0" xfId="719" applyNumberFormat="1" applyFill="1"/>
    <xf numFmtId="0" fontId="0" fillId="0" borderId="0" xfId="0" applyNumberFormat="1" applyAlignment="1">
      <alignment vertical="top"/>
    </xf>
    <xf numFmtId="0" fontId="17" fillId="0" borderId="0" xfId="719" applyFont="1"/>
    <xf numFmtId="0" fontId="17" fillId="0" borderId="0" xfId="719" applyFont="1" applyFill="1"/>
    <xf numFmtId="0" fontId="21" fillId="0" borderId="0" xfId="719" applyNumberFormat="1" applyFill="1" applyAlignment="1">
      <alignment vertical="top"/>
    </xf>
    <xf numFmtId="0" fontId="16" fillId="0" borderId="0" xfId="719" applyFont="1" applyAlignment="1">
      <alignment vertical="top"/>
    </xf>
    <xf numFmtId="0" fontId="16" fillId="0" borderId="0" xfId="719" applyFont="1" applyAlignment="1">
      <alignment vertical="top" wrapText="1"/>
    </xf>
    <xf numFmtId="0" fontId="15" fillId="0" borderId="0" xfId="719" applyFont="1" applyAlignment="1">
      <alignment vertical="top"/>
    </xf>
    <xf numFmtId="0" fontId="15" fillId="0" borderId="0" xfId="719" applyFont="1" applyAlignment="1">
      <alignment vertical="top" wrapText="1"/>
    </xf>
    <xf numFmtId="0" fontId="14" fillId="0" borderId="0" xfId="719" applyFont="1"/>
    <xf numFmtId="0" fontId="14" fillId="0" borderId="0" xfId="719" applyFont="1" applyAlignment="1">
      <alignment vertical="top"/>
    </xf>
    <xf numFmtId="0" fontId="14" fillId="0" borderId="0" xfId="719" applyFont="1" applyAlignment="1">
      <alignment vertical="top" wrapText="1"/>
    </xf>
    <xf numFmtId="0" fontId="21" fillId="0" borderId="0" xfId="719" applyAlignment="1"/>
    <xf numFmtId="0" fontId="14" fillId="0" borderId="0" xfId="719" applyFont="1" applyAlignment="1"/>
    <xf numFmtId="0" fontId="17" fillId="0" borderId="0" xfId="719" applyFont="1" applyAlignment="1"/>
    <xf numFmtId="0" fontId="13" fillId="0" borderId="0" xfId="719" applyNumberFormat="1" applyFont="1" applyAlignment="1">
      <alignment vertical="top"/>
    </xf>
    <xf numFmtId="0" fontId="13" fillId="0" borderId="0" xfId="719" applyFont="1"/>
    <xf numFmtId="0" fontId="12" fillId="0" borderId="0" xfId="719" applyFont="1"/>
    <xf numFmtId="0" fontId="0" fillId="0" borderId="0" xfId="0" applyNumberFormat="1"/>
    <xf numFmtId="0" fontId="11" fillId="0" borderId="0" xfId="719" applyFont="1" applyAlignment="1">
      <alignment vertical="top"/>
    </xf>
    <xf numFmtId="0" fontId="11" fillId="0" borderId="0" xfId="719" applyFont="1"/>
    <xf numFmtId="0" fontId="11" fillId="0" borderId="0" xfId="719" applyFont="1" applyAlignment="1">
      <alignment vertical="top" wrapText="1"/>
    </xf>
    <xf numFmtId="0" fontId="25" fillId="0" borderId="0" xfId="0" applyFont="1"/>
    <xf numFmtId="0" fontId="10" fillId="0" borderId="0" xfId="719" applyFont="1" applyAlignment="1">
      <alignment vertical="top"/>
    </xf>
    <xf numFmtId="0" fontId="9" fillId="0" borderId="0" xfId="719" applyFont="1" applyAlignment="1">
      <alignment vertical="top"/>
    </xf>
    <xf numFmtId="0" fontId="9" fillId="0" borderId="0" xfId="719" applyFont="1" applyFill="1"/>
    <xf numFmtId="0" fontId="9" fillId="0" borderId="0" xfId="719" applyNumberFormat="1" applyFont="1" applyAlignment="1">
      <alignment vertical="top"/>
    </xf>
    <xf numFmtId="0" fontId="8" fillId="0" borderId="0" xfId="719" applyFont="1" applyAlignment="1"/>
    <xf numFmtId="0" fontId="7" fillId="0" borderId="0" xfId="719" applyFont="1" applyAlignment="1"/>
    <xf numFmtId="0" fontId="7" fillId="0" borderId="0" xfId="719" applyFont="1" applyAlignment="1">
      <alignment vertical="top"/>
    </xf>
    <xf numFmtId="0" fontId="7" fillId="0" borderId="0" xfId="719" applyNumberFormat="1" applyFont="1" applyAlignment="1">
      <alignment vertical="top"/>
    </xf>
    <xf numFmtId="0" fontId="7" fillId="0" borderId="0" xfId="719" applyNumberFormat="1" applyFont="1" applyFill="1" applyAlignment="1">
      <alignment vertical="top"/>
    </xf>
    <xf numFmtId="0" fontId="6" fillId="0" borderId="0" xfId="719" applyFont="1" applyAlignment="1"/>
    <xf numFmtId="0" fontId="5" fillId="0" borderId="0" xfId="719" applyFont="1" applyAlignment="1">
      <alignment vertical="top"/>
    </xf>
    <xf numFmtId="0" fontId="5" fillId="0" borderId="0" xfId="719" applyFont="1"/>
    <xf numFmtId="0" fontId="5" fillId="0" borderId="0" xfId="719" applyFont="1" applyFill="1"/>
    <xf numFmtId="0" fontId="5" fillId="0" borderId="0" xfId="719" applyNumberFormat="1" applyFont="1" applyAlignment="1">
      <alignment vertical="top"/>
    </xf>
    <xf numFmtId="0" fontId="5" fillId="0" borderId="0" xfId="719" applyFont="1" applyAlignment="1"/>
    <xf numFmtId="0" fontId="4" fillId="0" borderId="0" xfId="719" applyFont="1"/>
    <xf numFmtId="0" fontId="4" fillId="0" borderId="0" xfId="719" applyFont="1" applyAlignment="1">
      <alignment vertical="top"/>
    </xf>
    <xf numFmtId="0" fontId="4" fillId="0" borderId="0" xfId="719" applyFont="1" applyAlignment="1">
      <alignment vertical="top" wrapText="1"/>
    </xf>
    <xf numFmtId="0" fontId="3" fillId="0" borderId="0" xfId="719" applyFont="1" applyAlignment="1">
      <alignment vertical="top"/>
    </xf>
    <xf numFmtId="0" fontId="3" fillId="0" borderId="0" xfId="719" applyFont="1" applyAlignment="1"/>
    <xf numFmtId="0" fontId="3" fillId="0" borderId="0" xfId="719" applyFont="1" applyAlignment="1">
      <alignment vertical="top" wrapText="1"/>
    </xf>
    <xf numFmtId="0" fontId="3" fillId="0" borderId="0" xfId="719" applyFont="1" applyFill="1"/>
    <xf numFmtId="0" fontId="3" fillId="0" borderId="0" xfId="719" applyNumberFormat="1" applyFont="1" applyFill="1" applyAlignment="1">
      <alignment vertical="top"/>
    </xf>
    <xf numFmtId="0" fontId="2" fillId="0" borderId="0" xfId="719" applyFont="1" applyAlignment="1">
      <alignment vertical="top"/>
    </xf>
    <xf numFmtId="0" fontId="2" fillId="0" borderId="0" xfId="719" applyFont="1" applyAlignment="1">
      <alignment vertical="top" wrapText="1"/>
    </xf>
    <xf numFmtId="0" fontId="1" fillId="0" borderId="0" xfId="719" applyFont="1" applyAlignment="1">
      <alignment vertical="top"/>
    </xf>
    <xf numFmtId="0" fontId="1" fillId="0" borderId="0" xfId="719" applyFont="1" applyAlignme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32" totalsRowShown="0" headerRowDxfId="46" dataDxfId="45">
  <autoFilter ref="A1:Y232"/>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32"/>
  <sheetViews>
    <sheetView tabSelected="1" zoomScale="110" zoomScaleNormal="110" workbookViewId="0">
      <pane ySplit="1" topLeftCell="A2" activePane="bottomLeft" state="frozen"/>
      <selection pane="bottomLeft" activeCell="E11" sqref="E11"/>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207</v>
      </c>
      <c r="B1" s="1" t="s">
        <v>208</v>
      </c>
      <c r="C1" s="1" t="s">
        <v>209</v>
      </c>
      <c r="D1" s="1" t="s">
        <v>210</v>
      </c>
      <c r="E1" s="1" t="s">
        <v>206</v>
      </c>
      <c r="F1" s="2" t="s">
        <v>211</v>
      </c>
      <c r="G1" s="1" t="s">
        <v>184</v>
      </c>
      <c r="H1" s="1" t="s">
        <v>278</v>
      </c>
      <c r="I1" s="7" t="s">
        <v>182</v>
      </c>
      <c r="J1" s="37" t="s">
        <v>14</v>
      </c>
      <c r="K1" s="37" t="s">
        <v>280</v>
      </c>
      <c r="L1" s="11" t="s">
        <v>25</v>
      </c>
      <c r="M1" s="11" t="s">
        <v>7</v>
      </c>
      <c r="N1" s="11" t="s">
        <v>33</v>
      </c>
      <c r="O1" s="11" t="s">
        <v>283</v>
      </c>
      <c r="P1" s="11" t="s">
        <v>59</v>
      </c>
      <c r="Q1" s="11" t="s">
        <v>9</v>
      </c>
      <c r="R1" s="11" t="s">
        <v>8</v>
      </c>
      <c r="S1" s="11" t="s">
        <v>5</v>
      </c>
      <c r="T1" s="11" t="s">
        <v>2</v>
      </c>
      <c r="U1" s="11" t="s">
        <v>3</v>
      </c>
      <c r="V1" s="11" t="s">
        <v>1</v>
      </c>
      <c r="W1" s="11" t="s">
        <v>212</v>
      </c>
      <c r="X1" s="11" t="s">
        <v>183</v>
      </c>
      <c r="Y1" s="11" t="s">
        <v>279</v>
      </c>
    </row>
    <row r="2" spans="1:25" x14ac:dyDescent="0.3">
      <c r="A2" s="3" t="s">
        <v>4</v>
      </c>
      <c r="B2" s="3" t="s">
        <v>5</v>
      </c>
      <c r="C2" s="3"/>
      <c r="D2" s="3" t="s">
        <v>4</v>
      </c>
      <c r="E2" s="27" t="s">
        <v>284</v>
      </c>
      <c r="F2" s="3" t="s">
        <v>6</v>
      </c>
      <c r="G2" s="4"/>
      <c r="H2" s="4"/>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285</v>
      </c>
      <c r="F3" s="3" t="s">
        <v>6</v>
      </c>
      <c r="G3" s="4" t="s">
        <v>142</v>
      </c>
      <c r="H3" s="45" t="s">
        <v>142</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263</v>
      </c>
      <c r="E4" s="43" t="s">
        <v>311</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264</v>
      </c>
      <c r="E5" s="27" t="s">
        <v>312</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239</v>
      </c>
      <c r="E6" s="43" t="s">
        <v>354</v>
      </c>
      <c r="F6" s="3" t="s">
        <v>6</v>
      </c>
      <c r="G6" s="4"/>
      <c r="H6" s="30" t="s">
        <v>142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3" t="s">
        <v>8</v>
      </c>
      <c r="C8" s="3">
        <v>20</v>
      </c>
      <c r="D8" s="3" t="s">
        <v>12</v>
      </c>
      <c r="E8" s="64" t="s">
        <v>433</v>
      </c>
      <c r="F8" s="3" t="s">
        <v>6</v>
      </c>
      <c r="G8" s="4"/>
      <c r="H8" s="45" t="s">
        <v>142</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20</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63" t="s">
        <v>4</v>
      </c>
      <c r="B9" s="63" t="s">
        <v>25</v>
      </c>
      <c r="C9" s="3"/>
      <c r="D9" s="63" t="s">
        <v>431</v>
      </c>
      <c r="E9" s="63" t="s">
        <v>432</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25" x14ac:dyDescent="0.3">
      <c r="A10" s="3" t="s">
        <v>4</v>
      </c>
      <c r="B10" s="3" t="s">
        <v>8</v>
      </c>
      <c r="C10" s="3">
        <v>20</v>
      </c>
      <c r="D10" s="3" t="s">
        <v>13</v>
      </c>
      <c r="E10" s="27" t="s">
        <v>313</v>
      </c>
      <c r="F10" s="3" t="s">
        <v>6</v>
      </c>
      <c r="G10" s="45" t="s">
        <v>142</v>
      </c>
      <c r="H10" s="4"/>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1" t="s">
        <v>14</v>
      </c>
      <c r="C11" s="3"/>
      <c r="D11" s="3" t="s">
        <v>15</v>
      </c>
      <c r="E11" s="64" t="s">
        <v>434</v>
      </c>
      <c r="F11" s="3" t="s">
        <v>6</v>
      </c>
      <c r="G11" s="4"/>
      <c r="H11" s="4"/>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56" t="s">
        <v>4</v>
      </c>
      <c r="B12" s="56" t="s">
        <v>9</v>
      </c>
      <c r="C12" s="3"/>
      <c r="D12" s="56" t="s">
        <v>417</v>
      </c>
      <c r="E12" s="56" t="s">
        <v>428</v>
      </c>
      <c r="F12" s="58" t="s">
        <v>417</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25" x14ac:dyDescent="0.3">
      <c r="A13" s="3" t="s">
        <v>4</v>
      </c>
      <c r="B13" s="3" t="s">
        <v>9</v>
      </c>
      <c r="C13" s="3"/>
      <c r="D13" s="24" t="s">
        <v>93</v>
      </c>
      <c r="E13" s="27"/>
      <c r="F13" s="24" t="s">
        <v>93</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rg:None</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8</v>
      </c>
      <c r="C14" s="3">
        <v>80</v>
      </c>
      <c r="D14" s="24" t="s">
        <v>237</v>
      </c>
      <c r="E14" s="43" t="s">
        <v>314</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80</v>
      </c>
      <c r="D15" s="24" t="s">
        <v>238</v>
      </c>
      <c r="E15" s="43" t="s">
        <v>315</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9</v>
      </c>
      <c r="C16" s="3"/>
      <c r="D16" s="3" t="s">
        <v>17</v>
      </c>
      <c r="E16" s="27" t="s">
        <v>18</v>
      </c>
      <c r="F16" s="3" t="s">
        <v>19</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40</v>
      </c>
      <c r="D17" s="3" t="s">
        <v>20</v>
      </c>
      <c r="E17" s="27" t="s">
        <v>21</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15</v>
      </c>
      <c r="D18" s="3" t="s">
        <v>22</v>
      </c>
      <c r="E18" s="27" t="s">
        <v>23</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8</v>
      </c>
      <c r="C19" s="3">
        <v>2048</v>
      </c>
      <c r="D19" s="3" t="s">
        <v>24</v>
      </c>
      <c r="E19" s="27" t="s">
        <v>316</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2048</v>
      </c>
      <c r="D20" s="24" t="s">
        <v>266</v>
      </c>
      <c r="E20" s="27" t="s">
        <v>317</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25</v>
      </c>
      <c r="C21" s="3"/>
      <c r="D21" s="3" t="s">
        <v>26</v>
      </c>
      <c r="E21" s="27" t="s">
        <v>318</v>
      </c>
      <c r="F21" s="3" t="s">
        <v>6</v>
      </c>
      <c r="G21" s="4"/>
      <c r="H21" s="4"/>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8</v>
      </c>
      <c r="C22" s="3">
        <v>30</v>
      </c>
      <c r="D22" s="24" t="s">
        <v>270</v>
      </c>
      <c r="E22" s="27" t="s">
        <v>319</v>
      </c>
      <c r="F22" s="3" t="s">
        <v>6</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9</v>
      </c>
      <c r="C23" s="3"/>
      <c r="D23" s="24" t="s">
        <v>267</v>
      </c>
      <c r="E23" s="27" t="s">
        <v>27</v>
      </c>
      <c r="F23" s="3" t="s">
        <v>28</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14</v>
      </c>
      <c r="C24" s="3"/>
      <c r="D24" s="3" t="s">
        <v>29</v>
      </c>
      <c r="E24" s="27" t="s">
        <v>30</v>
      </c>
      <c r="F24" s="3" t="s">
        <v>6</v>
      </c>
      <c r="G24" s="4"/>
      <c r="H24" s="4"/>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120</v>
      </c>
      <c r="D25" s="24" t="s">
        <v>265</v>
      </c>
      <c r="E25" s="27" t="s">
        <v>31</v>
      </c>
      <c r="F25" s="3" t="s">
        <v>6</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50</v>
      </c>
      <c r="D26" s="24" t="s">
        <v>268</v>
      </c>
      <c r="E26" s="27" t="s">
        <v>320</v>
      </c>
      <c r="F26" s="3" t="s">
        <v>6</v>
      </c>
      <c r="G26" s="45" t="s">
        <v>142</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8</v>
      </c>
      <c r="C27" s="3">
        <v>50</v>
      </c>
      <c r="D27" s="24" t="s">
        <v>269</v>
      </c>
      <c r="E27" s="27" t="s">
        <v>321</v>
      </c>
      <c r="F27" s="3" t="s">
        <v>6</v>
      </c>
      <c r="G27" s="45" t="s">
        <v>142</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8</v>
      </c>
      <c r="C28" s="3">
        <v>30</v>
      </c>
      <c r="D28" s="24" t="s">
        <v>255</v>
      </c>
      <c r="E28" s="27" t="s">
        <v>32</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3" t="s">
        <v>33</v>
      </c>
      <c r="C29" s="3"/>
      <c r="D29" s="3" t="s">
        <v>34</v>
      </c>
      <c r="E29" s="27" t="s">
        <v>322</v>
      </c>
      <c r="F29" s="3" t="s">
        <v>6</v>
      </c>
      <c r="G29" s="45" t="s">
        <v>142</v>
      </c>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
      <c r="A30" s="3" t="s">
        <v>4</v>
      </c>
      <c r="B30" s="3" t="s">
        <v>33</v>
      </c>
      <c r="C30" s="3"/>
      <c r="D30" s="3" t="s">
        <v>35</v>
      </c>
      <c r="E30" s="27" t="s">
        <v>36</v>
      </c>
      <c r="F30" s="3" t="s">
        <v>6</v>
      </c>
      <c r="G30" s="4"/>
      <c r="H30" s="4"/>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x14ac:dyDescent="0.3">
      <c r="A31" s="3" t="s">
        <v>4</v>
      </c>
      <c r="B31" s="20" t="s">
        <v>9</v>
      </c>
      <c r="C31" s="3"/>
      <c r="D31" s="20" t="s">
        <v>74</v>
      </c>
      <c r="E31" s="20" t="s">
        <v>233</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59</v>
      </c>
      <c r="C32" s="3"/>
      <c r="D32" s="25" t="s">
        <v>58</v>
      </c>
      <c r="E32" s="25" t="s">
        <v>256</v>
      </c>
      <c r="F32" s="26" t="s">
        <v>240</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25" t="s">
        <v>4</v>
      </c>
      <c r="B33" s="25" t="s">
        <v>59</v>
      </c>
      <c r="C33" s="3"/>
      <c r="D33" s="25" t="s">
        <v>241</v>
      </c>
      <c r="E33" s="25" t="s">
        <v>257</v>
      </c>
      <c r="F33" s="26" t="s">
        <v>242</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
      <c r="A34" s="25" t="s">
        <v>4</v>
      </c>
      <c r="B34" s="25" t="s">
        <v>59</v>
      </c>
      <c r="C34" s="3"/>
      <c r="D34" s="25" t="s">
        <v>243</v>
      </c>
      <c r="E34" s="25" t="s">
        <v>258</v>
      </c>
      <c r="F34" s="26" t="s">
        <v>244</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x14ac:dyDescent="0.3">
      <c r="A35" s="61" t="s">
        <v>4</v>
      </c>
      <c r="B35" s="61" t="s">
        <v>9</v>
      </c>
      <c r="C35" s="3"/>
      <c r="D35" s="61" t="s">
        <v>71</v>
      </c>
      <c r="E35" s="61" t="s">
        <v>430</v>
      </c>
      <c r="F35" s="62" t="s">
        <v>71</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x14ac:dyDescent="0.3">
      <c r="A36" s="3" t="s">
        <v>11</v>
      </c>
      <c r="B36" s="3" t="s">
        <v>5</v>
      </c>
      <c r="C36" s="3"/>
      <c r="D36" s="3" t="s">
        <v>11</v>
      </c>
      <c r="E36" s="27" t="s">
        <v>323</v>
      </c>
      <c r="F36" s="3" t="s">
        <v>6</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
      <c r="A37" s="3" t="s">
        <v>11</v>
      </c>
      <c r="B37" s="3" t="s">
        <v>7</v>
      </c>
      <c r="C37" s="3"/>
      <c r="D37" s="3" t="s">
        <v>7</v>
      </c>
      <c r="E37" s="27" t="s">
        <v>286</v>
      </c>
      <c r="F37" s="3" t="s">
        <v>6</v>
      </c>
      <c r="G37" s="4" t="s">
        <v>142</v>
      </c>
      <c r="H37" s="45" t="s">
        <v>142</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x14ac:dyDescent="0.3">
      <c r="A38" s="3" t="s">
        <v>11</v>
      </c>
      <c r="B38" s="3" t="s">
        <v>8</v>
      </c>
      <c r="C38" s="3">
        <v>150</v>
      </c>
      <c r="D38" s="3" t="s">
        <v>46</v>
      </c>
      <c r="E38" s="27" t="s">
        <v>47</v>
      </c>
      <c r="F38" s="3" t="s">
        <v>6</v>
      </c>
      <c r="G38" s="45" t="s">
        <v>142</v>
      </c>
      <c r="H38" s="45" t="s">
        <v>142</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x14ac:dyDescent="0.3">
      <c r="A39" s="3" t="s">
        <v>11</v>
      </c>
      <c r="B39" s="3" t="s">
        <v>8</v>
      </c>
      <c r="C39" s="3">
        <v>30</v>
      </c>
      <c r="D39" s="3" t="s">
        <v>13</v>
      </c>
      <c r="E39" s="27" t="s">
        <v>324</v>
      </c>
      <c r="F39" s="3" t="s">
        <v>6</v>
      </c>
      <c r="G39" s="45" t="s">
        <v>142</v>
      </c>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25</v>
      </c>
      <c r="C40" s="3"/>
      <c r="D40" s="3" t="s">
        <v>48</v>
      </c>
      <c r="E40" s="27" t="s">
        <v>325</v>
      </c>
      <c r="F40" s="3" t="s">
        <v>6</v>
      </c>
      <c r="G40" s="45" t="s">
        <v>142</v>
      </c>
      <c r="H40" s="4"/>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3" t="s">
        <v>9</v>
      </c>
      <c r="C41" s="3"/>
      <c r="D41" s="3" t="s">
        <v>49</v>
      </c>
      <c r="E41" s="27" t="s">
        <v>50</v>
      </c>
      <c r="F41" s="24" t="s">
        <v>250</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3" t="s">
        <v>9</v>
      </c>
      <c r="C42" s="3"/>
      <c r="D42" s="24" t="s">
        <v>93</v>
      </c>
      <c r="E42" s="27" t="s">
        <v>51</v>
      </c>
      <c r="F42" s="24" t="s">
        <v>93</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3" t="s">
        <v>11</v>
      </c>
      <c r="B43" s="3" t="s">
        <v>59</v>
      </c>
      <c r="C43" s="3"/>
      <c r="D43" s="3" t="s">
        <v>52</v>
      </c>
      <c r="E43" s="28" t="s">
        <v>262</v>
      </c>
      <c r="F43" s="24" t="s">
        <v>250</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11</v>
      </c>
      <c r="B44" s="24" t="s">
        <v>59</v>
      </c>
      <c r="C44" s="3"/>
      <c r="D44" s="24" t="s">
        <v>58</v>
      </c>
      <c r="E44" s="25" t="s">
        <v>259</v>
      </c>
      <c r="F44" s="24" t="s">
        <v>240</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
      <c r="A45" s="3" t="s">
        <v>11</v>
      </c>
      <c r="B45" s="24" t="s">
        <v>59</v>
      </c>
      <c r="C45" s="3"/>
      <c r="D45" s="24" t="s">
        <v>241</v>
      </c>
      <c r="E45" s="25" t="s">
        <v>260</v>
      </c>
      <c r="F45" s="24" t="s">
        <v>242</v>
      </c>
      <c r="G45" s="4"/>
      <c r="H45" s="4"/>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x14ac:dyDescent="0.3">
      <c r="A46" s="24" t="s">
        <v>11</v>
      </c>
      <c r="B46" s="24" t="s">
        <v>59</v>
      </c>
      <c r="C46" s="3"/>
      <c r="D46" s="24" t="s">
        <v>243</v>
      </c>
      <c r="E46" s="25" t="s">
        <v>261</v>
      </c>
      <c r="F46" s="24" t="s">
        <v>244</v>
      </c>
      <c r="G46" s="4"/>
      <c r="H46" s="4"/>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x14ac:dyDescent="0.3">
      <c r="A47" s="3" t="s">
        <v>71</v>
      </c>
      <c r="B47" s="3" t="s">
        <v>5</v>
      </c>
      <c r="C47" s="3"/>
      <c r="D47" s="3" t="s">
        <v>71</v>
      </c>
      <c r="E47" s="43" t="s">
        <v>402</v>
      </c>
      <c r="F47" s="3" t="s">
        <v>6</v>
      </c>
      <c r="I47" s="5" t="str">
        <f t="shared" ref="I47:I90"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
      <c r="A48" s="3" t="s">
        <v>71</v>
      </c>
      <c r="B48" s="3" t="s">
        <v>7</v>
      </c>
      <c r="C48" s="3"/>
      <c r="D48" s="3" t="s">
        <v>7</v>
      </c>
      <c r="E48" s="42" t="s">
        <v>307</v>
      </c>
      <c r="F48" s="3" t="s">
        <v>6</v>
      </c>
      <c r="G48" s="4" t="s">
        <v>142</v>
      </c>
      <c r="H48" s="45" t="s">
        <v>142</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x14ac:dyDescent="0.3">
      <c r="A49" s="3" t="s">
        <v>71</v>
      </c>
      <c r="B49" s="3" t="s">
        <v>8</v>
      </c>
      <c r="C49" s="3">
        <v>255</v>
      </c>
      <c r="D49" s="24" t="s">
        <v>263</v>
      </c>
      <c r="E49" s="27" t="s">
        <v>326</v>
      </c>
      <c r="F49" s="3" t="s">
        <v>6</v>
      </c>
      <c r="H49" s="44" t="s">
        <v>142</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x14ac:dyDescent="0.3">
      <c r="A50" s="3" t="s">
        <v>71</v>
      </c>
      <c r="B50" s="3" t="s">
        <v>33</v>
      </c>
      <c r="C50" s="3"/>
      <c r="D50" s="5" t="s">
        <v>145</v>
      </c>
      <c r="E50" s="27" t="s">
        <v>72</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71</v>
      </c>
      <c r="B51" s="3" t="s">
        <v>8</v>
      </c>
      <c r="C51" s="3">
        <v>255</v>
      </c>
      <c r="D51" s="5" t="s">
        <v>146</v>
      </c>
      <c r="E51" s="47" t="s">
        <v>405</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71</v>
      </c>
      <c r="B52" s="3" t="s">
        <v>8</v>
      </c>
      <c r="C52" s="3">
        <v>255</v>
      </c>
      <c r="D52" s="5" t="s">
        <v>147</v>
      </c>
      <c r="E52" s="27" t="s">
        <v>327</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71</v>
      </c>
      <c r="B53" s="3" t="s">
        <v>8</v>
      </c>
      <c r="C53" s="3">
        <v>255</v>
      </c>
      <c r="D53" s="5" t="s">
        <v>148</v>
      </c>
      <c r="E53" s="27" t="s">
        <v>328</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71</v>
      </c>
      <c r="B54" s="3" t="s">
        <v>33</v>
      </c>
      <c r="C54" s="3"/>
      <c r="D54" s="5" t="s">
        <v>149</v>
      </c>
      <c r="E54" s="43" t="s">
        <v>355</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71</v>
      </c>
      <c r="B55" s="3" t="s">
        <v>33</v>
      </c>
      <c r="C55" s="3"/>
      <c r="D55" s="5" t="s">
        <v>150</v>
      </c>
      <c r="E55" s="27" t="s">
        <v>329</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71</v>
      </c>
      <c r="B56" s="3" t="s">
        <v>8</v>
      </c>
      <c r="C56" s="3">
        <v>255</v>
      </c>
      <c r="D56" s="5" t="s">
        <v>151</v>
      </c>
      <c r="E56" s="27" t="s">
        <v>330</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71</v>
      </c>
      <c r="B57" s="3" t="s">
        <v>8</v>
      </c>
      <c r="C57" s="3">
        <v>255</v>
      </c>
      <c r="D57" s="5" t="s">
        <v>152</v>
      </c>
      <c r="E57" s="27" t="s">
        <v>331</v>
      </c>
      <c r="F57" s="3" t="s">
        <v>6</v>
      </c>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71</v>
      </c>
      <c r="B58" s="3" t="s">
        <v>8</v>
      </c>
      <c r="C58" s="3">
        <v>255</v>
      </c>
      <c r="D58" s="5" t="s">
        <v>153</v>
      </c>
      <c r="E58" s="43" t="s">
        <v>374</v>
      </c>
      <c r="F58" s="3" t="s">
        <v>6</v>
      </c>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71</v>
      </c>
      <c r="B59" s="3" t="s">
        <v>25</v>
      </c>
      <c r="C59" s="3"/>
      <c r="D59" s="5" t="s">
        <v>154</v>
      </c>
      <c r="E59" s="27" t="s">
        <v>332</v>
      </c>
      <c r="F59" s="3" t="s">
        <v>6</v>
      </c>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71</v>
      </c>
      <c r="B60" s="3" t="s">
        <v>33</v>
      </c>
      <c r="C60" s="3"/>
      <c r="D60" s="5" t="s">
        <v>155</v>
      </c>
      <c r="E60" s="27" t="s">
        <v>333</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71</v>
      </c>
      <c r="B61" s="3" t="s">
        <v>8</v>
      </c>
      <c r="C61" s="3">
        <v>255</v>
      </c>
      <c r="D61" s="5" t="s">
        <v>156</v>
      </c>
      <c r="E61" s="52" t="s">
        <v>407</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71</v>
      </c>
      <c r="B62" s="3" t="s">
        <v>8</v>
      </c>
      <c r="C62" s="3">
        <v>255</v>
      </c>
      <c r="D62" s="5" t="s">
        <v>157</v>
      </c>
      <c r="E62" s="27" t="s">
        <v>334</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71</v>
      </c>
      <c r="B63" s="3" t="s">
        <v>33</v>
      </c>
      <c r="C63" s="3"/>
      <c r="D63" s="5" t="s">
        <v>158</v>
      </c>
      <c r="E63" s="27" t="s">
        <v>335</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71</v>
      </c>
      <c r="B64" s="3" t="s">
        <v>8</v>
      </c>
      <c r="C64" s="3">
        <v>255</v>
      </c>
      <c r="D64" s="5" t="s">
        <v>159</v>
      </c>
      <c r="E64" s="27" t="s">
        <v>336</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71</v>
      </c>
      <c r="B65" s="3" t="s">
        <v>8</v>
      </c>
      <c r="C65" s="3">
        <v>255</v>
      </c>
      <c r="D65" s="5" t="s">
        <v>160</v>
      </c>
      <c r="E65" s="43" t="s">
        <v>375</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71</v>
      </c>
      <c r="B66" s="3" t="s">
        <v>25</v>
      </c>
      <c r="C66" s="3"/>
      <c r="D66" s="5" t="s">
        <v>161</v>
      </c>
      <c r="E66" s="43" t="s">
        <v>401</v>
      </c>
      <c r="F66" s="3" t="s">
        <v>6</v>
      </c>
      <c r="G66" s="4"/>
      <c r="H66" s="4"/>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71</v>
      </c>
      <c r="B67" s="3" t="s">
        <v>8</v>
      </c>
      <c r="C67" s="3">
        <v>255</v>
      </c>
      <c r="D67" s="5" t="s">
        <v>162</v>
      </c>
      <c r="E67" s="43" t="s">
        <v>376</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71</v>
      </c>
      <c r="B68" s="3" t="s">
        <v>8</v>
      </c>
      <c r="C68" s="3">
        <v>255</v>
      </c>
      <c r="D68" s="5" t="s">
        <v>163</v>
      </c>
      <c r="E68" s="27" t="s">
        <v>337</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71</v>
      </c>
      <c r="B69" s="3" t="s">
        <v>8</v>
      </c>
      <c r="C69" s="3">
        <v>255</v>
      </c>
      <c r="D69" s="5" t="s">
        <v>164</v>
      </c>
      <c r="E69" s="27" t="s">
        <v>338</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71</v>
      </c>
      <c r="B70" s="3" t="s">
        <v>8</v>
      </c>
      <c r="C70" s="3">
        <v>255</v>
      </c>
      <c r="D70" s="5" t="s">
        <v>165</v>
      </c>
      <c r="E70" s="27" t="s">
        <v>339</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71</v>
      </c>
      <c r="B71" s="3" t="s">
        <v>8</v>
      </c>
      <c r="C71" s="3">
        <v>255</v>
      </c>
      <c r="D71" s="5" t="s">
        <v>166</v>
      </c>
      <c r="E71" s="27" t="s">
        <v>340</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71</v>
      </c>
      <c r="B72" s="3" t="s">
        <v>8</v>
      </c>
      <c r="C72" s="3">
        <v>255</v>
      </c>
      <c r="D72" s="5" t="s">
        <v>167</v>
      </c>
      <c r="E72" s="27" t="s">
        <v>341</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71</v>
      </c>
      <c r="B73" s="3" t="s">
        <v>8</v>
      </c>
      <c r="C73" s="3">
        <v>255</v>
      </c>
      <c r="D73" s="5" t="s">
        <v>168</v>
      </c>
      <c r="E73" s="43" t="s">
        <v>400</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3" t="s">
        <v>71</v>
      </c>
      <c r="B74" s="3" t="s">
        <v>8</v>
      </c>
      <c r="C74" s="3">
        <v>255</v>
      </c>
      <c r="D74" s="5" t="s">
        <v>169</v>
      </c>
      <c r="E74" s="27" t="s">
        <v>342</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
      <c r="A75" s="3" t="s">
        <v>71</v>
      </c>
      <c r="B75" s="3" t="s">
        <v>8</v>
      </c>
      <c r="C75" s="3">
        <v>255</v>
      </c>
      <c r="D75" s="48" t="s">
        <v>406</v>
      </c>
      <c r="E75" s="27" t="s">
        <v>343</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
      <c r="A76" s="54" t="s">
        <v>71</v>
      </c>
      <c r="B76" s="54" t="s">
        <v>8</v>
      </c>
      <c r="C76" s="3">
        <v>255</v>
      </c>
      <c r="D76" s="54" t="s">
        <v>414</v>
      </c>
      <c r="E76" s="27" t="s">
        <v>312</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x14ac:dyDescent="0.3">
      <c r="A77" s="54" t="s">
        <v>71</v>
      </c>
      <c r="B77" s="54" t="s">
        <v>8</v>
      </c>
      <c r="C77" s="3">
        <v>255</v>
      </c>
      <c r="D77" s="54" t="s">
        <v>415</v>
      </c>
      <c r="E77" s="43" t="s">
        <v>354</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x14ac:dyDescent="0.3">
      <c r="A78" s="3" t="s">
        <v>71</v>
      </c>
      <c r="B78" s="3" t="s">
        <v>8</v>
      </c>
      <c r="C78" s="3">
        <v>255</v>
      </c>
      <c r="D78" s="5" t="s">
        <v>170</v>
      </c>
      <c r="E78" s="27" t="s">
        <v>344</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71</v>
      </c>
      <c r="B79" s="3" t="s">
        <v>8</v>
      </c>
      <c r="C79" s="3">
        <v>255</v>
      </c>
      <c r="D79" s="5" t="s">
        <v>171</v>
      </c>
      <c r="E79" s="27" t="s">
        <v>345</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71</v>
      </c>
      <c r="B80" s="3" t="s">
        <v>8</v>
      </c>
      <c r="C80" s="3">
        <v>255</v>
      </c>
      <c r="D80" s="5" t="s">
        <v>172</v>
      </c>
      <c r="E80" s="43" t="s">
        <v>377</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71</v>
      </c>
      <c r="B81" s="3" t="s">
        <v>8</v>
      </c>
      <c r="C81" s="3">
        <v>255</v>
      </c>
      <c r="D81" s="5" t="s">
        <v>173</v>
      </c>
      <c r="E81" s="27" t="s">
        <v>346</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71</v>
      </c>
      <c r="B82" s="3" t="s">
        <v>8</v>
      </c>
      <c r="C82" s="3">
        <v>255</v>
      </c>
      <c r="D82" s="5" t="s">
        <v>174</v>
      </c>
      <c r="E82" s="52" t="s">
        <v>408</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71</v>
      </c>
      <c r="B83" s="3" t="s">
        <v>25</v>
      </c>
      <c r="C83" s="3"/>
      <c r="D83" s="5" t="s">
        <v>175</v>
      </c>
      <c r="E83" s="52" t="s">
        <v>409</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71</v>
      </c>
      <c r="B84" s="3" t="s">
        <v>25</v>
      </c>
      <c r="C84" s="3"/>
      <c r="D84" s="5" t="s">
        <v>176</v>
      </c>
      <c r="E84" s="52" t="s">
        <v>410</v>
      </c>
      <c r="F84" s="3" t="s">
        <v>6</v>
      </c>
      <c r="G84" s="4"/>
      <c r="H84" s="4"/>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71</v>
      </c>
      <c r="B85" s="3" t="s">
        <v>25</v>
      </c>
      <c r="C85" s="3"/>
      <c r="D85" s="5" t="s">
        <v>177</v>
      </c>
      <c r="E85" s="52" t="s">
        <v>411</v>
      </c>
      <c r="F85" s="3" t="s">
        <v>6</v>
      </c>
      <c r="G85" s="4"/>
      <c r="H85" s="4"/>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
      <c r="A86" s="3" t="s">
        <v>71</v>
      </c>
      <c r="B86" s="3" t="s">
        <v>8</v>
      </c>
      <c r="C86" s="3">
        <v>255</v>
      </c>
      <c r="D86" s="5" t="s">
        <v>178</v>
      </c>
      <c r="E86" s="52" t="s">
        <v>412</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x14ac:dyDescent="0.3">
      <c r="A87" s="3" t="s">
        <v>71</v>
      </c>
      <c r="B87" s="3" t="s">
        <v>8</v>
      </c>
      <c r="C87" s="3">
        <v>255</v>
      </c>
      <c r="D87" s="5" t="s">
        <v>144</v>
      </c>
      <c r="E87" s="52" t="s">
        <v>413</v>
      </c>
      <c r="F87" s="3" t="s">
        <v>6</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x14ac:dyDescent="0.3">
      <c r="A88" s="3" t="s">
        <v>73</v>
      </c>
      <c r="B88" s="3" t="s">
        <v>5</v>
      </c>
      <c r="C88" s="3"/>
      <c r="D88" s="3" t="s">
        <v>73</v>
      </c>
      <c r="E88" s="27" t="s">
        <v>347</v>
      </c>
      <c r="F88" s="3" t="s">
        <v>6</v>
      </c>
      <c r="G88" s="4"/>
      <c r="H88" s="4"/>
      <c r="I88" s="5" t="str">
        <f t="shared" si="2"/>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table</v>
      </c>
      <c r="T88" s="10" t="str">
        <f>IF(LEN(Table2[[#This Row],[!Length]]) &gt; 0, Table2[[#This Row],[!Length]], "rg:None")</f>
        <v>rg:None</v>
      </c>
      <c r="U88" s="10" t="str">
        <f>IF(LEN(Table2[[#This Row],[!Name]]) &gt; 0, Table2[[#This Row],[!Name]], "rg:None")</f>
        <v>Inspection</v>
      </c>
      <c r="V88" s="10" t="str">
        <f>IF(LEN(Table2[[#This Row],[!Description]]) &gt; 0, Table2[[#This Row],[!Description]], "rg:None")</f>
        <v>School Bus inspection details supplementary to the RIP inspection</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73</v>
      </c>
      <c r="B89" s="3" t="s">
        <v>7</v>
      </c>
      <c r="C89" s="3"/>
      <c r="D89" s="3" t="s">
        <v>7</v>
      </c>
      <c r="E89" s="42" t="s">
        <v>308</v>
      </c>
      <c r="F89" s="3" t="s">
        <v>6</v>
      </c>
      <c r="G89" s="4" t="s">
        <v>142</v>
      </c>
      <c r="H89" s="45" t="s">
        <v>142</v>
      </c>
      <c r="I89" s="5" t="str">
        <f t="shared" si="2"/>
        <v>Defs</v>
      </c>
      <c r="J89" t="str">
        <f>IF(Table2[[#This Row],[!Type]]=J$1, J$1,"rg:None")</f>
        <v>rg:None</v>
      </c>
      <c r="K89" t="str">
        <f>IF(Table2[[#This Row],[!Type]]=K$1, K$1,"rg:None")</f>
        <v>rg:None</v>
      </c>
      <c r="L89" t="str">
        <f>IF(Table2[[#This Row],[!Type]]=L$1, L$1,"rg:None")</f>
        <v>rg:None</v>
      </c>
      <c r="M89" t="str">
        <f>IF(Table2[[#This Row],[!Type]]=M$1, M$1,"rg:None")</f>
        <v>id</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id</v>
      </c>
      <c r="V89" s="10" t="str">
        <f>IF(LEN(Table2[[#This Row],[!Description]]) &gt; 0, Table2[[#This Row],[!Description]], "rg:None")</f>
        <v>A system-generated unique identifier for an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rg:True</v>
      </c>
    </row>
    <row r="90" spans="1:25" x14ac:dyDescent="0.3">
      <c r="A90" s="3" t="s">
        <v>73</v>
      </c>
      <c r="B90" s="3" t="s">
        <v>9</v>
      </c>
      <c r="C90" s="3"/>
      <c r="D90" s="3" t="s">
        <v>39</v>
      </c>
      <c r="E90" s="27"/>
      <c r="F90" s="3" t="s">
        <v>4</v>
      </c>
      <c r="G90" s="4"/>
      <c r="H90" s="4"/>
      <c r="I90" s="5" t="str">
        <f t="shared" si="2"/>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ref</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schoolBus</v>
      </c>
      <c r="V90" s="10" t="str">
        <f>IF(LEN(Table2[[#This Row],[!Description]]) &gt; 0, Table2[[#This Row],[!Description]], "rg:None")</f>
        <v>rg:None</v>
      </c>
      <c r="W90" s="10" t="str">
        <f>IF(LEN(Table2[[#This Row],[!FK]])&gt;0,Table2[[#This Row],[!FK]],"rg:None")</f>
        <v>SchoolBus</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73</v>
      </c>
      <c r="B91" s="3" t="s">
        <v>9</v>
      </c>
      <c r="C91" s="3"/>
      <c r="D91" s="3" t="s">
        <v>74</v>
      </c>
      <c r="E91" s="27" t="s">
        <v>75</v>
      </c>
      <c r="F91" s="3" t="s">
        <v>0</v>
      </c>
      <c r="G91" s="4"/>
      <c r="H91" s="4"/>
      <c r="I91" s="5" t="str">
        <f t="shared" ref="I91:I193" si="3">IF(LEN(A91) &gt; 0,"Defs","-")</f>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inspector</v>
      </c>
      <c r="V91" s="10" t="str">
        <f>IF(LEN(Table2[[#This Row],[!Description]]) &gt; 0, Table2[[#This Row],[!Description]], "rg:None")</f>
        <v>Defaults for a new inspection to the current user,  but can be changed as needed.</v>
      </c>
      <c r="W91" s="10" t="str">
        <f>IF(LEN(Table2[[#This Row],[!FK]])&gt;0,Table2[[#This Row],[!FK]],"rg:None")</f>
        <v>User</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73</v>
      </c>
      <c r="B92" s="3" t="s">
        <v>25</v>
      </c>
      <c r="C92" s="3"/>
      <c r="D92" s="3" t="s">
        <v>76</v>
      </c>
      <c r="E92" s="27" t="s">
        <v>348</v>
      </c>
      <c r="F92" s="3" t="s">
        <v>6</v>
      </c>
      <c r="G92" s="45" t="s">
        <v>142</v>
      </c>
      <c r="H92" s="4"/>
      <c r="I92" s="5" t="str">
        <f t="shared" si="3"/>
        <v>Defs</v>
      </c>
      <c r="J92" t="str">
        <f>IF(Table2[[#This Row],[!Type]]=J$1, J$1,"rg:None")</f>
        <v>rg:None</v>
      </c>
      <c r="K92" t="str">
        <f>IF(Table2[[#This Row],[!Type]]=K$1, K$1,"rg:None")</f>
        <v>rg:None</v>
      </c>
      <c r="L92" t="str">
        <f>IF(Table2[[#This Row],[!Type]]=L$1, L$1,"rg:None")</f>
        <v>datetime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inspectionDate</v>
      </c>
      <c r="V92" s="10" t="str">
        <f>IF(LEN(Table2[[#This Row],[!Description]]) &gt; 0, Table2[[#This Row],[!Description]], "rg:None")</f>
        <v>The date and time the inspection was conducted.</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73</v>
      </c>
      <c r="B93" s="3" t="s">
        <v>8</v>
      </c>
      <c r="C93" s="3">
        <v>255</v>
      </c>
      <c r="D93" s="24" t="s">
        <v>271</v>
      </c>
      <c r="E93" s="27" t="s">
        <v>77</v>
      </c>
      <c r="F93" s="3" t="s">
        <v>6</v>
      </c>
      <c r="G93" s="45" t="s">
        <v>142</v>
      </c>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255</v>
      </c>
      <c r="U93" s="10" t="str">
        <f>IF(LEN(Table2[[#This Row],[!Name]]) &gt; 0, Table2[[#This Row],[!Name]], "rg:None")</f>
        <v>inspectionTypeCode</v>
      </c>
      <c r="V93" s="10" t="str">
        <f>IF(LEN(Table2[[#This Row],[!Description]]) &gt; 0, Table2[[#This Row],[!Description]], "rg:None")</f>
        <v>The type of the inspection - enumerated type of Annual or Re-inspection,  pulled from the School Bus record at the time the inspection record is created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3" t="s">
        <v>73</v>
      </c>
      <c r="B94" s="3" t="s">
        <v>8</v>
      </c>
      <c r="C94" s="3">
        <v>255</v>
      </c>
      <c r="D94" s="24" t="s">
        <v>272</v>
      </c>
      <c r="E94" s="27" t="s">
        <v>78</v>
      </c>
      <c r="F94" s="3" t="s">
        <v>6</v>
      </c>
      <c r="G94" s="45" t="s">
        <v>142</v>
      </c>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inspectionResultCode</v>
      </c>
      <c r="V94" s="10" t="str">
        <f>IF(LEN(Table2[[#This Row],[!Description]]) &gt; 0, Table2[[#This Row],[!Description]], "rg:None")</f>
        <v>The result of the inspection - enumerated type of Passed or Failed. The detailed results of the inspection are in RIP and not duplicated here.</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
      <c r="A95" s="3" t="s">
        <v>73</v>
      </c>
      <c r="B95" s="3" t="s">
        <v>8</v>
      </c>
      <c r="C95" s="3">
        <v>2048</v>
      </c>
      <c r="D95" s="3" t="s">
        <v>58</v>
      </c>
      <c r="E95" s="27" t="s">
        <v>79</v>
      </c>
      <c r="F95" s="3" t="s">
        <v>6</v>
      </c>
      <c r="G95" s="4"/>
      <c r="H95" s="4"/>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notes</v>
      </c>
      <c r="V95" s="10" t="str">
        <f>IF(LEN(Table2[[#This Row],[!Description]]) &gt; 0, Table2[[#This Row],[!Description]], "rg:None")</f>
        <v>A note about the inspection independent of what goes into the RIP inspection - this is just for the School Bus application.</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x14ac:dyDescent="0.3">
      <c r="A96" s="3" t="s">
        <v>73</v>
      </c>
      <c r="B96" s="3" t="s">
        <v>8</v>
      </c>
      <c r="C96" s="3">
        <v>255</v>
      </c>
      <c r="D96" s="3" t="s">
        <v>143</v>
      </c>
      <c r="E96" s="27" t="s">
        <v>80</v>
      </c>
      <c r="F96" s="3" t="s">
        <v>6</v>
      </c>
      <c r="G96" s="4"/>
      <c r="H96" s="4"/>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255</v>
      </c>
      <c r="U96" s="10" t="str">
        <f>IF(LEN(Table2[[#This Row],[!Name]]) &gt; 0, Table2[[#This Row],[!Name]], "rg:None")</f>
        <v>RIPInspectionId</v>
      </c>
      <c r="V9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25" x14ac:dyDescent="0.3">
      <c r="A97" s="22" t="s">
        <v>73</v>
      </c>
      <c r="B97" s="22" t="s">
        <v>25</v>
      </c>
      <c r="C97" s="3"/>
      <c r="D97" s="22" t="s">
        <v>235</v>
      </c>
      <c r="E97" s="22" t="s">
        <v>349</v>
      </c>
      <c r="F97" s="6"/>
      <c r="G97" s="46" t="s">
        <v>142</v>
      </c>
      <c r="H97" s="19"/>
      <c r="I97" s="4" t="str">
        <f t="shared" ref="I97:I129" si="4">IF(LEN(A97) &gt; 0,"Defs","-")</f>
        <v>Defs</v>
      </c>
      <c r="J97" s="16" t="str">
        <f>IF(Table2[[#This Row],[!Type]]=J$1, J$1,"rg:None")</f>
        <v>rg:None</v>
      </c>
      <c r="K97" s="16" t="str">
        <f>IF(Table2[[#This Row],[!Type]]=K$1, K$1,"rg:None")</f>
        <v>rg:None</v>
      </c>
      <c r="L97" s="16" t="str">
        <f>IF(Table2[[#This Row],[!Type]]=L$1, L$1,"rg:None")</f>
        <v>datetime</v>
      </c>
      <c r="M97" s="16" t="str">
        <f>IF(Table2[[#This Row],[!Type]]=M$1, M$1,"rg:None")</f>
        <v>rg:None</v>
      </c>
      <c r="N97" s="16" t="str">
        <f>IF(Table2[[#This Row],[!Type]]=N$1, N$1,"rg:None")</f>
        <v>rg:None</v>
      </c>
      <c r="O97" s="16"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6" t="str">
        <f>IF(LEN(Table2[[#This Row],[!Length]]) &gt; 0, Table2[[#This Row],[!Length]], "rg:None")</f>
        <v>rg:None</v>
      </c>
      <c r="U97" s="16" t="str">
        <f>IF(LEN(Table2[[#This Row],[!Name]]) &gt; 0, Table2[[#This Row],[!Name]], "rg:None")</f>
        <v>createdDate</v>
      </c>
      <c r="V97" s="16" t="str">
        <f>IF(LEN(Table2[[#This Row],[!Description]]) &gt; 0, Table2[[#This Row],[!Description]], "rg:None")</f>
        <v>Record creation date and time</v>
      </c>
      <c r="W97" s="16" t="str">
        <f>IF(LEN(Table2[[#This Row],[!FK]])&gt;0,Table2[[#This Row],[!FK]],"rg:None")</f>
        <v>rg:None</v>
      </c>
      <c r="X97" s="16" t="str">
        <f>IF(LEN(concatif2(A:A,Table2[[#This Row],[!Table]],G:G,"Y",D:D,",")) &gt; 0,"rg:[ { 'req' : '"&amp;concatif2(A:A,Table2[[#This Row],[!Table]],G:G,"Y",D:D,"' }, { 'req': '")&amp;"'} ]","rg:[]")</f>
        <v>rg:[ { 'req' : 'id' }, { 'req': 'inspectionDate' }, { 'req': 'inspectionTypeCode' }, { 'req': 'inspectionResultCode' }, { 'req': 'createdDate'} ]</v>
      </c>
      <c r="Y97" s="16" t="str">
        <f>IF(LEN(Table2[[#This Row],[!Unique]])&gt;0,"rg:True","rg:None")</f>
        <v>rg:None</v>
      </c>
    </row>
    <row r="98" spans="1:25" x14ac:dyDescent="0.3">
      <c r="A98" s="24" t="s">
        <v>240</v>
      </c>
      <c r="B98" s="3" t="s">
        <v>5</v>
      </c>
      <c r="C98" s="3"/>
      <c r="D98" s="24" t="s">
        <v>240</v>
      </c>
      <c r="E98" s="28" t="s">
        <v>245</v>
      </c>
      <c r="F98" s="3" t="s">
        <v>6</v>
      </c>
      <c r="G98" s="4"/>
      <c r="H98" s="4"/>
      <c r="I98" s="5" t="str">
        <f t="shared" si="4"/>
        <v>Defs</v>
      </c>
      <c r="J98" t="str">
        <f>IF(Table2[[#This Row],[!Type]]=J$1, J$1,"rg:None")</f>
        <v>rg:None</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table</v>
      </c>
      <c r="T98" s="10" t="str">
        <f>IF(LEN(Table2[[#This Row],[!Length]]) &gt; 0, Table2[[#This Row],[!Length]], "rg:None")</f>
        <v>rg:None</v>
      </c>
      <c r="U98" s="10" t="str">
        <f>IF(LEN(Table2[[#This Row],[!Name]]) &gt; 0, Table2[[#This Row],[!Name]], "rg:None")</f>
        <v>Note</v>
      </c>
      <c r="V98" s="10" t="str">
        <f>IF(LEN(Table2[[#This Row],[!Description]]) &gt; 0, Table2[[#This Row],[!Description]], "rg:None")</f>
        <v>Notes entered by users about instance of entities - e.g. School Buses and School Bus Owners</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
      <c r="A99" s="24" t="s">
        <v>240</v>
      </c>
      <c r="B99" s="3" t="s">
        <v>7</v>
      </c>
      <c r="C99" s="3"/>
      <c r="D99" s="3" t="s">
        <v>7</v>
      </c>
      <c r="E99" s="27" t="s">
        <v>287</v>
      </c>
      <c r="F99" s="3" t="s">
        <v>6</v>
      </c>
      <c r="G99" s="4" t="s">
        <v>142</v>
      </c>
      <c r="H99" s="45" t="s">
        <v>142</v>
      </c>
      <c r="I99" s="5" t="str">
        <f t="shared" si="4"/>
        <v>Defs</v>
      </c>
      <c r="J99" t="str">
        <f>IF(Table2[[#This Row],[!Type]]=J$1, J$1,"rg:None")</f>
        <v>rg:None</v>
      </c>
      <c r="K99" t="str">
        <f>IF(Table2[[#This Row],[!Type]]=K$1, K$1,"rg:None")</f>
        <v>rg:None</v>
      </c>
      <c r="L99" t="str">
        <f>IF(Table2[[#This Row],[!Type]]=L$1, L$1,"rg:None")</f>
        <v>rg:None</v>
      </c>
      <c r="M99" t="str">
        <f>IF(Table2[[#This Row],[!Type]]=M$1, M$1,"rg:None")</f>
        <v>id</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10" t="str">
        <f>IF(LEN(Table2[[#This Row],[!Length]]) &gt; 0, Table2[[#This Row],[!Length]], "rg:None")</f>
        <v>rg:None</v>
      </c>
      <c r="U99" s="10" t="str">
        <f>IF(LEN(Table2[[#This Row],[!Name]]) &gt; 0, Table2[[#This Row],[!Name]], "rg:None")</f>
        <v>id</v>
      </c>
      <c r="V99" s="10" t="str">
        <f>IF(LEN(Table2[[#This Row],[!Description]]) &gt; 0, Table2[[#This Row],[!Description]], "rg:None")</f>
        <v>A system-generated unique identifier for a Note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rg:True</v>
      </c>
    </row>
    <row r="100" spans="1:25" x14ac:dyDescent="0.3">
      <c r="A100" s="24" t="s">
        <v>240</v>
      </c>
      <c r="B100" s="3" t="s">
        <v>8</v>
      </c>
      <c r="C100" s="3">
        <v>2048</v>
      </c>
      <c r="D100" s="24" t="s">
        <v>273</v>
      </c>
      <c r="E100" s="27" t="s">
        <v>37</v>
      </c>
      <c r="F100" s="3" t="s">
        <v>6</v>
      </c>
      <c r="G100" s="45" t="s">
        <v>142</v>
      </c>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noteText</v>
      </c>
      <c r="V100" s="10" t="str">
        <f>IF(LEN(Table2[[#This Row],[!Description]]) &gt; 0, Table2[[#This Row],[!Description]], "rg:None")</f>
        <v>The contents of the note.</v>
      </c>
      <c r="W100" s="10" t="str">
        <f>IF(LEN(Table2[[#This Row],[!FK]])&gt;0,Table2[[#This Row],[!FK]],"rg:None")</f>
        <v>rg:None</v>
      </c>
      <c r="X100" s="10" t="str">
        <f>IF(LEN(concatif2(A:A,Table2[[#This Row],[!Table]],G:G,"Y",D:D,",")) &gt; 0,"rg:[ { 'req' : '"&amp;concatif2(A:A,Table2[[#This Row],[!Table]],G:G,"Y",D:D,"' }, { 'req': '")&amp;"'} ]","rg:[]")</f>
        <v>rg:[ { 'req' : 'id' }, { 'req': 'noteText'} ]</v>
      </c>
      <c r="Y100" s="10" t="str">
        <f>IF(LEN(Table2[[#This Row],[!Unique]])&gt;0,"rg:True","rg:None")</f>
        <v>rg:None</v>
      </c>
    </row>
    <row r="101" spans="1:25" x14ac:dyDescent="0.3">
      <c r="A101" s="24" t="s">
        <v>240</v>
      </c>
      <c r="B101" s="3" t="s">
        <v>14</v>
      </c>
      <c r="C101" s="3"/>
      <c r="D101" s="3" t="s">
        <v>38</v>
      </c>
      <c r="E101" s="28" t="s">
        <v>246</v>
      </c>
      <c r="F101" s="3" t="s">
        <v>6</v>
      </c>
      <c r="G101" s="4"/>
      <c r="H101" s="4"/>
      <c r="I101" s="5" t="str">
        <f t="shared" si="4"/>
        <v>Defs</v>
      </c>
      <c r="J101" t="str">
        <f>IF(Table2[[#This Row],[!Type]]=J$1, J$1,"rg:None")</f>
        <v>boolean</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rg:None</v>
      </c>
      <c r="T101" s="10" t="str">
        <f>IF(LEN(Table2[[#This Row],[!Length]]) &gt; 0, Table2[[#This Row],[!Length]], "rg:None")</f>
        <v>rg:None</v>
      </c>
      <c r="U101" s="10" t="str">
        <f>IF(LEN(Table2[[#This Row],[!Name]]) &gt; 0, Table2[[#This Row],[!Name]], "rg:None")</f>
        <v>isNoLongerRelevant</v>
      </c>
      <c r="V101" s="10" t="str">
        <f>IF(LEN(Table2[[#This Row],[!Description]]) &gt; 0, Table2[[#This Row],[!Description]], "rg:None")</f>
        <v>A user set flag that the note is no longer relevant. Allows the note to be retained for historical reasons,  but identified to other users as no longer applicable.</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25" x14ac:dyDescent="0.3">
      <c r="A102" s="24" t="s">
        <v>242</v>
      </c>
      <c r="B102" s="3" t="s">
        <v>5</v>
      </c>
      <c r="C102" s="3"/>
      <c r="D102" s="24" t="s">
        <v>242</v>
      </c>
      <c r="E102" s="28" t="s">
        <v>247</v>
      </c>
      <c r="F102" s="3" t="s">
        <v>6</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Attachment</v>
      </c>
      <c r="V102" s="10" t="str">
        <f>IF(LEN(Table2[[#This Row],[!Description]]) &gt; 0, Table2[[#This Row],[!Description]], "rg:None")</f>
        <v>Attachments uploaded by users about instance of entities - e.g. School Buses and School Bus Owners</v>
      </c>
      <c r="W102" s="10" t="str">
        <f>IF(LEN(Table2[[#This Row],[!FK]])&gt;0,Table2[[#This Row],[!FK]],"rg:None")</f>
        <v>rg:None</v>
      </c>
      <c r="X102" s="10" t="str">
        <f>IF(LEN(concatif2(A:A,Table2[[#This Row],[!Table]],G:G,"Y",D:D,",")) &gt; 0,"rg:[ { 'req' : '"&amp;concatif2(A:A,Table2[[#This Row],[!Table]],G:G,"Y",D:D,"' }, { 'req': '")&amp;"'} ]","rg:[]")</f>
        <v>rg:[ { 'req' : 'id' }, { 'req': 'internalFileName' }, { 'req': 'externalFileName'} ]</v>
      </c>
      <c r="Y102" s="10" t="str">
        <f>IF(LEN(Table2[[#This Row],[!Unique]])&gt;0,"rg:True","rg:None")</f>
        <v>rg:None</v>
      </c>
    </row>
    <row r="103" spans="1:25" x14ac:dyDescent="0.3">
      <c r="A103" s="24" t="s">
        <v>242</v>
      </c>
      <c r="B103" s="3" t="s">
        <v>7</v>
      </c>
      <c r="C103" s="3"/>
      <c r="D103" s="3" t="s">
        <v>7</v>
      </c>
      <c r="E103" s="42" t="s">
        <v>309</v>
      </c>
      <c r="F103" s="3" t="s">
        <v>6</v>
      </c>
      <c r="G103" s="4" t="s">
        <v>142</v>
      </c>
      <c r="H103" s="45" t="s">
        <v>142</v>
      </c>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A system-generated unique identifier for an Attachment</v>
      </c>
      <c r="W103" s="10" t="str">
        <f>IF(LEN(Table2[[#This Row],[!FK]])&gt;0,Table2[[#This Row],[!FK]],"rg:None")</f>
        <v>rg:None</v>
      </c>
      <c r="X103" s="10" t="str">
        <f>IF(LEN(concatif2(A:A,Table2[[#This Row],[!Table]],G:G,"Y",D:D,",")) &gt; 0,"rg:[ { 'req' : '"&amp;concatif2(A:A,Table2[[#This Row],[!Table]],G:G,"Y",D:D,"' }, { 'req': '")&amp;"'} ]","rg:[]")</f>
        <v>rg:[ { 'req' : 'id' }, { 'req': 'internalFileName' }, { 'req': 'externalFileName'} ]</v>
      </c>
      <c r="Y103" s="10" t="str">
        <f>IF(LEN(Table2[[#This Row],[!Unique]])&gt;0,"rg:True","rg:None")</f>
        <v>rg:True</v>
      </c>
    </row>
    <row r="104" spans="1:25" x14ac:dyDescent="0.3">
      <c r="A104" s="24" t="s">
        <v>242</v>
      </c>
      <c r="B104" s="3" t="s">
        <v>8</v>
      </c>
      <c r="C104" s="3">
        <v>2048</v>
      </c>
      <c r="D104" s="3" t="s">
        <v>40</v>
      </c>
      <c r="E104" s="27" t="s">
        <v>41</v>
      </c>
      <c r="F104" s="3" t="s">
        <v>6</v>
      </c>
      <c r="G104" s="45" t="s">
        <v>142</v>
      </c>
      <c r="H104" s="45" t="s">
        <v>142</v>
      </c>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internalFileName</v>
      </c>
      <c r="V104" s="10" t="str">
        <f>IF(LEN(Table2[[#This Row],[!Description]]) &gt; 0, Table2[[#This Row],[!Description]], "rg:None")</f>
        <v>The physical location of the attachment on the file system.</v>
      </c>
      <c r="W104" s="10" t="str">
        <f>IF(LEN(Table2[[#This Row],[!FK]])&gt;0,Table2[[#This Row],[!FK]],"rg:None")</f>
        <v>rg:None</v>
      </c>
      <c r="X104" s="10" t="str">
        <f>IF(LEN(concatif2(A:A,Table2[[#This Row],[!Table]],G:G,"Y",D:D,",")) &gt; 0,"rg:[ { 'req' : '"&amp;concatif2(A:A,Table2[[#This Row],[!Table]],G:G,"Y",D:D,"' }, { 'req': '")&amp;"'} ]","rg:[]")</f>
        <v>rg:[ { 'req' : 'id' }, { 'req': 'internalFileName' }, { 'req': 'externalFileName'} ]</v>
      </c>
      <c r="Y104" s="10" t="str">
        <f>IF(LEN(Table2[[#This Row],[!Unique]])&gt;0,"rg:True","rg:None")</f>
        <v>rg:True</v>
      </c>
    </row>
    <row r="105" spans="1:25" x14ac:dyDescent="0.3">
      <c r="A105" s="24" t="s">
        <v>242</v>
      </c>
      <c r="B105" s="3" t="s">
        <v>8</v>
      </c>
      <c r="C105" s="3">
        <v>2048</v>
      </c>
      <c r="D105" s="3" t="s">
        <v>42</v>
      </c>
      <c r="E105" s="27" t="s">
        <v>43</v>
      </c>
      <c r="F105" s="3" t="s">
        <v>6</v>
      </c>
      <c r="G105" s="45" t="s">
        <v>142</v>
      </c>
      <c r="H105" s="45" t="s">
        <v>142</v>
      </c>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string</v>
      </c>
      <c r="S105" s="5" t="str">
        <f>IF(Table2[[#This Row],[!Type]]=S$1, S$1,"rg:None")</f>
        <v>rg:None</v>
      </c>
      <c r="T105" s="10">
        <f>IF(LEN(Table2[[#This Row],[!Length]]) &gt; 0, Table2[[#This Row],[!Length]], "rg:None")</f>
        <v>2048</v>
      </c>
      <c r="U105" s="10" t="str">
        <f>IF(LEN(Table2[[#This Row],[!Name]]) &gt; 0, Table2[[#This Row],[!Name]], "rg:None")</f>
        <v>externalFileName</v>
      </c>
      <c r="V105" s="10" t="str">
        <f>IF(LEN(Table2[[#This Row],[!Description]]) &gt; 0, Table2[[#This Row],[!Description]], "rg:None")</f>
        <v>The name of the attachment as defined by the user in uploading the document.</v>
      </c>
      <c r="W105" s="10" t="str">
        <f>IF(LEN(Table2[[#This Row],[!FK]])&gt;0,Table2[[#This Row],[!FK]],"rg:None")</f>
        <v>rg:None</v>
      </c>
      <c r="X105" s="10" t="str">
        <f>IF(LEN(concatif2(A:A,Table2[[#This Row],[!Table]],G:G,"Y",D:D,",")) &gt; 0,"rg:[ { 'req' : '"&amp;concatif2(A:A,Table2[[#This Row],[!Table]],G:G,"Y",D:D,"' }, { 'req': '")&amp;"'} ]","rg:[]")</f>
        <v>rg:[ { 'req' : 'id' }, { 'req': 'internalFileName' }, { 'req': 'externalFileName'} ]</v>
      </c>
      <c r="Y105" s="10" t="str">
        <f>IF(LEN(Table2[[#This Row],[!Unique]])&gt;0,"rg:True","rg:None")</f>
        <v>rg:True</v>
      </c>
    </row>
    <row r="106" spans="1:25" x14ac:dyDescent="0.3">
      <c r="A106" s="24" t="s">
        <v>242</v>
      </c>
      <c r="B106" s="3" t="s">
        <v>8</v>
      </c>
      <c r="C106" s="3">
        <v>2048</v>
      </c>
      <c r="D106" s="3" t="s">
        <v>44</v>
      </c>
      <c r="E106" s="27" t="s">
        <v>45</v>
      </c>
      <c r="F106" s="3" t="s">
        <v>6</v>
      </c>
      <c r="G106" s="4"/>
      <c r="H106" s="4"/>
      <c r="I106" s="5" t="str">
        <f t="shared" si="4"/>
        <v>Defs</v>
      </c>
      <c r="J106" t="str">
        <f>IF(Table2[[#This Row],[!Type]]=J$1, J$1,"rg:None")</f>
        <v>rg:None</v>
      </c>
      <c r="K106" t="str">
        <f>IF(Table2[[#This Row],[!Type]]=K$1, K$1,"rg:None")</f>
        <v>rg:None</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10">
        <f>IF(LEN(Table2[[#This Row],[!Length]]) &gt; 0, Table2[[#This Row],[!Length]], "rg:None")</f>
        <v>2048</v>
      </c>
      <c r="U106" s="10" t="str">
        <f>IF(LEN(Table2[[#This Row],[!Name]]) &gt; 0, Table2[[#This Row],[!Name]], "rg:None")</f>
        <v>description</v>
      </c>
      <c r="V106" s="10" t="str">
        <f>IF(LEN(Table2[[#This Row],[!Description]]) &gt; 0, Table2[[#This Row],[!Description]], "rg:None")</f>
        <v>A note about the attachment,  optionally maintained by the user.</v>
      </c>
      <c r="W106" s="10" t="str">
        <f>IF(LEN(Table2[[#This Row],[!FK]])&gt;0,Table2[[#This Row],[!FK]],"rg:None")</f>
        <v>rg:None</v>
      </c>
      <c r="X106" s="10" t="str">
        <f>IF(LEN(concatif2(A:A,Table2[[#This Row],[!Table]],G:G,"Y",D:D,",")) &gt; 0,"rg:[ { 'req' : '"&amp;concatif2(A:A,Table2[[#This Row],[!Table]],G:G,"Y",D:D,"' }, { 'req': '")&amp;"'} ]","rg:[]")</f>
        <v>rg:[ { 'req' : 'id' }, { 'req': 'internalFileName' }, { 'req': 'externalFileName'} ]</v>
      </c>
      <c r="Y106" s="10" t="str">
        <f>IF(LEN(Table2[[#This Row],[!Unique]])&gt;0,"rg:True","rg:None")</f>
        <v>rg:None</v>
      </c>
    </row>
    <row r="107" spans="1:25" x14ac:dyDescent="0.3">
      <c r="A107" s="24" t="s">
        <v>244</v>
      </c>
      <c r="B107" s="3" t="s">
        <v>5</v>
      </c>
      <c r="C107" s="3"/>
      <c r="D107" s="24" t="s">
        <v>244</v>
      </c>
      <c r="E107" s="28" t="s">
        <v>248</v>
      </c>
      <c r="F107" s="3" t="s">
        <v>6</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rg:None</v>
      </c>
      <c r="S107" s="5" t="str">
        <f>IF(Table2[[#This Row],[!Type]]=S$1, S$1,"rg:None")</f>
        <v>table</v>
      </c>
      <c r="T107" s="10" t="str">
        <f>IF(LEN(Table2[[#This Row],[!Length]]) &gt; 0, Table2[[#This Row],[!Length]], "rg:None")</f>
        <v>rg:None</v>
      </c>
      <c r="U107" s="10" t="str">
        <f>IF(LEN(Table2[[#This Row],[!Name]]) &gt; 0, Table2[[#This Row],[!Name]], "rg:None")</f>
        <v>History</v>
      </c>
      <c r="V107" s="10" t="str">
        <f>IF(LEN(Table2[[#This Row],[!Description]]) &gt; 0, Table2[[#This Row],[!Description]], "rg:None")</f>
        <v>The history of updates made to an entity - e.g. a School Bus or a School Bus Owner</v>
      </c>
      <c r="W107" s="10" t="str">
        <f>IF(LEN(Table2[[#This Row],[!FK]])&gt;0,Table2[[#This Row],[!FK]],"rg:None")</f>
        <v>rg:None</v>
      </c>
      <c r="X107" s="10" t="str">
        <f>IF(LEN(concatif2(A:A,Table2[[#This Row],[!Table]],G:G,"Y",D:D,",")) &gt; 0,"rg:[ { 'req' : '"&amp;concatif2(A:A,Table2[[#This Row],[!Table]],G:G,"Y",D:D,"' }, { 'req': '")&amp;"'} ]","rg:[]")</f>
        <v>rg:[ { 'req' : 'id' }, { 'req': 'historyText'} ]</v>
      </c>
      <c r="Y107" s="10" t="str">
        <f>IF(LEN(Table2[[#This Row],[!Unique]])&gt;0,"rg:True","rg:None")</f>
        <v>rg:None</v>
      </c>
    </row>
    <row r="108" spans="1:25" x14ac:dyDescent="0.3">
      <c r="A108" s="24" t="s">
        <v>244</v>
      </c>
      <c r="B108" s="3" t="s">
        <v>7</v>
      </c>
      <c r="C108" s="3"/>
      <c r="D108" s="3" t="s">
        <v>7</v>
      </c>
      <c r="E108" s="27" t="s">
        <v>288</v>
      </c>
      <c r="F108" s="3" t="s">
        <v>6</v>
      </c>
      <c r="G108" s="4" t="s">
        <v>142</v>
      </c>
      <c r="H108" s="45" t="s">
        <v>142</v>
      </c>
      <c r="I108" s="5" t="str">
        <f t="shared" si="4"/>
        <v>Defs</v>
      </c>
      <c r="J108" t="str">
        <f>IF(Table2[[#This Row],[!Type]]=J$1, J$1,"rg:None")</f>
        <v>rg:None</v>
      </c>
      <c r="K108" t="str">
        <f>IF(Table2[[#This Row],[!Type]]=K$1, K$1,"rg:None")</f>
        <v>rg:None</v>
      </c>
      <c r="L108" t="str">
        <f>IF(Table2[[#This Row],[!Type]]=L$1, L$1,"rg:None")</f>
        <v>rg:None</v>
      </c>
      <c r="M108" t="str">
        <f>IF(Table2[[#This Row],[!Type]]=M$1, M$1,"rg:None")</f>
        <v>id</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rg:None</v>
      </c>
      <c r="T108" s="10" t="str">
        <f>IF(LEN(Table2[[#This Row],[!Length]]) &gt; 0, Table2[[#This Row],[!Length]], "rg:None")</f>
        <v>rg:None</v>
      </c>
      <c r="U108" s="10" t="str">
        <f>IF(LEN(Table2[[#This Row],[!Name]]) &gt; 0, Table2[[#This Row],[!Name]], "rg:None")</f>
        <v>id</v>
      </c>
      <c r="V108" s="10" t="str">
        <f>IF(LEN(Table2[[#This Row],[!Description]]) &gt; 0, Table2[[#This Row],[!Description]], "rg:None")</f>
        <v>A system-generated unique identifier for a History</v>
      </c>
      <c r="W108" s="10" t="str">
        <f>IF(LEN(Table2[[#This Row],[!FK]])&gt;0,Table2[[#This Row],[!FK]],"rg:None")</f>
        <v>rg:None</v>
      </c>
      <c r="X108" s="10" t="str">
        <f>IF(LEN(concatif2(A:A,Table2[[#This Row],[!Table]],G:G,"Y",D:D,",")) &gt; 0,"rg:[ { 'req' : '"&amp;concatif2(A:A,Table2[[#This Row],[!Table]],G:G,"Y",D:D,"' }, { 'req': '")&amp;"'} ]","rg:[]")</f>
        <v>rg:[ { 'req' : 'id' }, { 'req': 'historyText'} ]</v>
      </c>
      <c r="Y108" s="10" t="str">
        <f>IF(LEN(Table2[[#This Row],[!Unique]])&gt;0,"rg:True","rg:None")</f>
        <v>rg:True</v>
      </c>
    </row>
    <row r="109" spans="1:25" x14ac:dyDescent="0.3">
      <c r="A109" s="24" t="s">
        <v>244</v>
      </c>
      <c r="B109" s="24" t="s">
        <v>8</v>
      </c>
      <c r="C109" s="3">
        <v>2048</v>
      </c>
      <c r="D109" s="24" t="s">
        <v>274</v>
      </c>
      <c r="E109" s="28" t="s">
        <v>249</v>
      </c>
      <c r="F109" s="3"/>
      <c r="G109" s="45" t="s">
        <v>142</v>
      </c>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2048</v>
      </c>
      <c r="U109" s="10" t="str">
        <f>IF(LEN(Table2[[#This Row],[!Name]]) &gt; 0, Table2[[#This Row],[!Name]], "rg:None")</f>
        <v>historyText</v>
      </c>
      <c r="V109" s="10" t="str">
        <f>IF(LEN(Table2[[#This Row],[!Description]]) &gt; 0, Table2[[#This Row],[!Description]], "rg:None")</f>
        <v>The text of the history entry tracked against the related entity.</v>
      </c>
      <c r="W109" s="10" t="str">
        <f>IF(LEN(Table2[[#This Row],[!FK]])&gt;0,Table2[[#This Row],[!FK]],"rg:None")</f>
        <v>rg:None</v>
      </c>
      <c r="X109" s="10" t="str">
        <f>IF(LEN(concatif2(A:A,Table2[[#This Row],[!Table]],G:G,"Y",D:D,",")) &gt; 0,"rg:[ { 'req' : '"&amp;concatif2(A:A,Table2[[#This Row],[!Table]],G:G,"Y",D:D,"' }, { 'req': '")&amp;"'} ]","rg:[]")</f>
        <v>rg:[ { 'req' : 'id' }, { 'req': 'historyText'} ]</v>
      </c>
      <c r="Y109" s="10" t="str">
        <f>IF(LEN(Table2[[#This Row],[!Unique]])&gt;0,"rg:True","rg:None")</f>
        <v>rg:None</v>
      </c>
    </row>
    <row r="110" spans="1:25" x14ac:dyDescent="0.3">
      <c r="A110" s="24" t="s">
        <v>250</v>
      </c>
      <c r="B110" s="3" t="s">
        <v>5</v>
      </c>
      <c r="C110" s="3"/>
      <c r="D110" s="24" t="s">
        <v>250</v>
      </c>
      <c r="E110" s="43" t="s">
        <v>403</v>
      </c>
      <c r="F110" s="3" t="s">
        <v>6</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rg:None</v>
      </c>
      <c r="S110" s="5" t="str">
        <f>IF(Table2[[#This Row],[!Type]]=S$1, S$1,"rg:None")</f>
        <v>table</v>
      </c>
      <c r="T110" s="10" t="str">
        <f>IF(LEN(Table2[[#This Row],[!Length]]) &gt; 0, Table2[[#This Row],[!Length]], "rg:None")</f>
        <v>rg:None</v>
      </c>
      <c r="U110" s="10" t="str">
        <f>IF(LEN(Table2[[#This Row],[!Name]]) &gt; 0, Table2[[#This Row],[!Name]], "rg:None")</f>
        <v>Contact</v>
      </c>
      <c r="V110" s="10" t="str">
        <f>IF(LEN(Table2[[#This Row],[!Description]]) &gt; 0, Table2[[#This Row],[!Description]], "rg:None")</f>
        <v>A table of contacts related to various entities in the system. FK fields are used to link contacts to records in the system.</v>
      </c>
      <c r="W110" s="10" t="str">
        <f>IF(LEN(Table2[[#This Row],[!FK]])&gt;0,Table2[[#This Row],[!FK]],"rg:None")</f>
        <v>rg:None</v>
      </c>
      <c r="X110" s="10" t="str">
        <f>IF(LEN(concatif2(A:A,Table2[[#This Row],[!Table]],G:G,"Y",D:D,",")) &gt; 0,"rg:[ { 'req' : '"&amp;concatif2(A:A,Table2[[#This Row],[!Table]],G:G,"Y",D:D,"' }, { 'req': '")&amp;"'} ]","rg:[]")</f>
        <v>rg:[ { 'req' : 'id' }, { 'req': 'givenName' }, { 'req': 'surname' }, { 'req': 'role'} ]</v>
      </c>
      <c r="Y110" s="10" t="str">
        <f>IF(LEN(Table2[[#This Row],[!Unique]])&gt;0,"rg:True","rg:None")</f>
        <v>rg:None</v>
      </c>
    </row>
    <row r="111" spans="1:25" x14ac:dyDescent="0.3">
      <c r="A111" s="24" t="s">
        <v>250</v>
      </c>
      <c r="B111" s="3" t="s">
        <v>7</v>
      </c>
      <c r="C111" s="3"/>
      <c r="D111" s="3" t="s">
        <v>7</v>
      </c>
      <c r="E111" s="27" t="s">
        <v>289</v>
      </c>
      <c r="F111" s="3" t="s">
        <v>6</v>
      </c>
      <c r="G111" s="4" t="s">
        <v>142</v>
      </c>
      <c r="H111" s="45" t="s">
        <v>142</v>
      </c>
      <c r="I111" s="5" t="str">
        <f t="shared" si="4"/>
        <v>Defs</v>
      </c>
      <c r="J111" t="str">
        <f>IF(Table2[[#This Row],[!Type]]=J$1, J$1,"rg:None")</f>
        <v>rg:None</v>
      </c>
      <c r="K111" t="str">
        <f>IF(Table2[[#This Row],[!Type]]=K$1, K$1,"rg:None")</f>
        <v>rg:None</v>
      </c>
      <c r="L111" t="str">
        <f>IF(Table2[[#This Row],[!Type]]=L$1, L$1,"rg:None")</f>
        <v>rg:None</v>
      </c>
      <c r="M111" t="str">
        <f>IF(Table2[[#This Row],[!Type]]=M$1, M$1,"rg:None")</f>
        <v>id</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rg:None</v>
      </c>
      <c r="T111" s="10" t="str">
        <f>IF(LEN(Table2[[#This Row],[!Length]]) &gt; 0, Table2[[#This Row],[!Length]], "rg:None")</f>
        <v>rg:None</v>
      </c>
      <c r="U111" s="10" t="str">
        <f>IF(LEN(Table2[[#This Row],[!Name]]) &gt; 0, Table2[[#This Row],[!Name]], "rg:None")</f>
        <v>id</v>
      </c>
      <c r="V111" s="10" t="str">
        <f>IF(LEN(Table2[[#This Row],[!Description]]) &gt; 0, Table2[[#This Row],[!Description]], "rg:None")</f>
        <v>A system-generated unique identifier for a Contact</v>
      </c>
      <c r="W111" s="10" t="str">
        <f>IF(LEN(Table2[[#This Row],[!FK]])&gt;0,Table2[[#This Row],[!FK]],"rg:None")</f>
        <v>rg:None</v>
      </c>
      <c r="X111" s="10" t="str">
        <f>IF(LEN(concatif2(A:A,Table2[[#This Row],[!Table]],G:G,"Y",D:D,",")) &gt; 0,"rg:[ { 'req' : '"&amp;concatif2(A:A,Table2[[#This Row],[!Table]],G:G,"Y",D:D,"' }, { 'req': '")&amp;"'} ]","rg:[]")</f>
        <v>rg:[ { 'req' : 'id' }, { 'req': 'givenName' }, { 'req': 'surname' }, { 'req': 'role'} ]</v>
      </c>
      <c r="Y111" s="10" t="str">
        <f>IF(LEN(Table2[[#This Row],[!Unique]])&gt;0,"rg:True","rg:None")</f>
        <v>rg:True</v>
      </c>
    </row>
    <row r="112" spans="1:25" x14ac:dyDescent="0.3">
      <c r="A112" s="24" t="s">
        <v>250</v>
      </c>
      <c r="B112" s="3" t="s">
        <v>8</v>
      </c>
      <c r="C112" s="3">
        <v>50</v>
      </c>
      <c r="D112" s="3" t="s">
        <v>53</v>
      </c>
      <c r="E112" s="27" t="s">
        <v>54</v>
      </c>
      <c r="F112" s="3" t="s">
        <v>6</v>
      </c>
      <c r="G112" s="45" t="s">
        <v>142</v>
      </c>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10">
        <f>IF(LEN(Table2[[#This Row],[!Length]]) &gt; 0, Table2[[#This Row],[!Length]], "rg:None")</f>
        <v>50</v>
      </c>
      <c r="U112" s="10" t="str">
        <f>IF(LEN(Table2[[#This Row],[!Name]]) &gt; 0, Table2[[#This Row],[!Name]], "rg:None")</f>
        <v>givenName</v>
      </c>
      <c r="V112" s="10" t="str">
        <f>IF(LEN(Table2[[#This Row],[!Description]]) &gt; 0, Table2[[#This Row],[!Description]], "rg:None")</f>
        <v>The given name of the contact.</v>
      </c>
      <c r="W112" s="10" t="str">
        <f>IF(LEN(Table2[[#This Row],[!FK]])&gt;0,Table2[[#This Row],[!FK]],"rg:None")</f>
        <v>rg:None</v>
      </c>
      <c r="X112" s="10" t="str">
        <f>IF(LEN(concatif2(A:A,Table2[[#This Row],[!Table]],G:G,"Y",D:D,",")) &gt; 0,"rg:[ { 'req' : '"&amp;concatif2(A:A,Table2[[#This Row],[!Table]],G:G,"Y",D:D,"' }, { 'req': '")&amp;"'} ]","rg:[]")</f>
        <v>rg:[ { 'req' : 'id' }, { 'req': 'givenName' }, { 'req': 'surname' }, { 'req': 'role'} ]</v>
      </c>
      <c r="Y112" s="10" t="str">
        <f>IF(LEN(Table2[[#This Row],[!Unique]])&gt;0,"rg:True","rg:None")</f>
        <v>rg:None</v>
      </c>
    </row>
    <row r="113" spans="1:25" x14ac:dyDescent="0.3">
      <c r="A113" s="24" t="s">
        <v>250</v>
      </c>
      <c r="B113" s="3" t="s">
        <v>8</v>
      </c>
      <c r="C113" s="3">
        <v>50</v>
      </c>
      <c r="D113" s="3" t="s">
        <v>55</v>
      </c>
      <c r="E113" s="27" t="s">
        <v>56</v>
      </c>
      <c r="F113" s="3" t="s">
        <v>6</v>
      </c>
      <c r="G113" s="45" t="s">
        <v>142</v>
      </c>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50</v>
      </c>
      <c r="U113" s="10" t="str">
        <f>IF(LEN(Table2[[#This Row],[!Name]]) &gt; 0, Table2[[#This Row],[!Name]], "rg:None")</f>
        <v>surname</v>
      </c>
      <c r="V113" s="10" t="str">
        <f>IF(LEN(Table2[[#This Row],[!Description]]) &gt; 0, Table2[[#This Row],[!Description]], "rg:None")</f>
        <v>The surname of the contact.</v>
      </c>
      <c r="W113" s="10" t="str">
        <f>IF(LEN(Table2[[#This Row],[!FK]])&gt;0,Table2[[#This Row],[!FK]],"rg:None")</f>
        <v>rg:None</v>
      </c>
      <c r="X113" s="10" t="str">
        <f>IF(LEN(concatif2(A:A,Table2[[#This Row],[!Table]],G:G,"Y",D:D,",")) &gt; 0,"rg:[ { 'req' : '"&amp;concatif2(A:A,Table2[[#This Row],[!Table]],G:G,"Y",D:D,"' }, { 'req': '")&amp;"'} ]","rg:[]")</f>
        <v>rg:[ { 'req' : 'id' }, { 'req': 'givenName' }, { 'req': 'surname' }, { 'req': 'role'} ]</v>
      </c>
      <c r="Y113" s="10" t="str">
        <f>IF(LEN(Table2[[#This Row],[!Unique]])&gt;0,"rg:True","rg:None")</f>
        <v>rg:None</v>
      </c>
    </row>
    <row r="114" spans="1:25" x14ac:dyDescent="0.3">
      <c r="A114" s="24" t="s">
        <v>250</v>
      </c>
      <c r="B114" s="3" t="s">
        <v>8</v>
      </c>
      <c r="C114" s="3">
        <v>100</v>
      </c>
      <c r="D114" s="3" t="s">
        <v>57</v>
      </c>
      <c r="E114" s="43" t="s">
        <v>404</v>
      </c>
      <c r="F114" s="3" t="s">
        <v>6</v>
      </c>
      <c r="G114" s="45" t="s">
        <v>142</v>
      </c>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10">
        <f>IF(LEN(Table2[[#This Row],[!Length]]) &gt; 0, Table2[[#This Row],[!Length]], "rg:None")</f>
        <v>100</v>
      </c>
      <c r="U114" s="10" t="str">
        <f>IF(LEN(Table2[[#This Row],[!Name]]) &gt; 0, Table2[[#This Row],[!Name]], "rg:None")</f>
        <v>role</v>
      </c>
      <c r="V114" s="10" t="str">
        <f>IF(LEN(Table2[[#This Row],[!Description]]) &gt; 0, Table2[[#This Row],[!Description]], "rg:None")</f>
        <v>The role of the contact. UI controlled as to whether it is free form or selected from an enumerated list - for initial implementation, the field is freeform.</v>
      </c>
      <c r="W114" s="10" t="str">
        <f>IF(LEN(Table2[[#This Row],[!FK]])&gt;0,Table2[[#This Row],[!FK]],"rg:None")</f>
        <v>rg:None</v>
      </c>
      <c r="X114" s="10" t="str">
        <f>IF(LEN(concatif2(A:A,Table2[[#This Row],[!Table]],G:G,"Y",D:D,",")) &gt; 0,"rg:[ { 'req' : '"&amp;concatif2(A:A,Table2[[#This Row],[!Table]],G:G,"Y",D:D,"' }, { 'req': '")&amp;"'} ]","rg:[]")</f>
        <v>rg:[ { 'req' : 'id' }, { 'req': 'givenName' }, { 'req': 'surname' }, { 'req': 'role'} ]</v>
      </c>
      <c r="Y114" s="10" t="str">
        <f>IF(LEN(Table2[[#This Row],[!Unique]])&gt;0,"rg:True","rg:None")</f>
        <v>rg:None</v>
      </c>
    </row>
    <row r="115" spans="1:25" x14ac:dyDescent="0.3">
      <c r="A115" s="24" t="s">
        <v>250</v>
      </c>
      <c r="B115" s="3" t="s">
        <v>8</v>
      </c>
      <c r="C115" s="3">
        <v>150</v>
      </c>
      <c r="D115" s="3" t="s">
        <v>58</v>
      </c>
      <c r="E115" s="28" t="s">
        <v>275</v>
      </c>
      <c r="F115" s="3" t="s">
        <v>6</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10">
        <f>IF(LEN(Table2[[#This Row],[!Length]]) &gt; 0, Table2[[#This Row],[!Length]], "rg:None")</f>
        <v>150</v>
      </c>
      <c r="U115" s="10" t="str">
        <f>IF(LEN(Table2[[#This Row],[!Name]]) &gt; 0, Table2[[#This Row],[!Name]], "rg:None")</f>
        <v>notes</v>
      </c>
      <c r="V115" s="10" t="str">
        <f>IF(LEN(Table2[[#This Row],[!Description]]) &gt; 0, Table2[[#This Row],[!Description]], "rg:None")</f>
        <v>A note about the contact maintained by the users.</v>
      </c>
      <c r="W115" s="10" t="str">
        <f>IF(LEN(Table2[[#This Row],[!FK]])&gt;0,Table2[[#This Row],[!FK]],"rg:None")</f>
        <v>rg:None</v>
      </c>
      <c r="X115" s="10" t="str">
        <f>IF(LEN(concatif2(A:A,Table2[[#This Row],[!Table]],G:G,"Y",D:D,",")) &gt; 0,"rg:[ { 'req' : '"&amp;concatif2(A:A,Table2[[#This Row],[!Table]],G:G,"Y",D:D,"' }, { 'req': '")&amp;"'} ]","rg:[]")</f>
        <v>rg:[ { 'req' : 'id' }, { 'req': 'givenName' }, { 'req': 'surname' }, { 'req': 'role'} ]</v>
      </c>
      <c r="Y115" s="10" t="str">
        <f>IF(LEN(Table2[[#This Row],[!Unique]])&gt;0,"rg:True","rg:None")</f>
        <v>rg:None</v>
      </c>
    </row>
    <row r="116" spans="1:25" x14ac:dyDescent="0.3">
      <c r="A116" s="24" t="s">
        <v>250</v>
      </c>
      <c r="B116" s="3" t="s">
        <v>59</v>
      </c>
      <c r="C116" s="3"/>
      <c r="D116" s="24" t="s">
        <v>251</v>
      </c>
      <c r="E116" s="27"/>
      <c r="F116" s="24" t="s">
        <v>254</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links</v>
      </c>
      <c r="Q116" s="5" t="str">
        <f>IF(Table2[[#This Row],[!Type]]=Q$1, Q$1,"rg:None")</f>
        <v>rg:None</v>
      </c>
      <c r="R116" s="5" t="str">
        <f>IF(Table2[[#This Row],[!Type]]=R$1, R$1,"rg:None")</f>
        <v>rg:None</v>
      </c>
      <c r="S116" s="5" t="str">
        <f>IF(Table2[[#This Row],[!Type]]=S$1, S$1,"rg:None")</f>
        <v>rg:None</v>
      </c>
      <c r="T116" s="10" t="str">
        <f>IF(LEN(Table2[[#This Row],[!Length]]) &gt; 0, Table2[[#This Row],[!Length]], "rg:None")</f>
        <v>rg:None</v>
      </c>
      <c r="U116" s="10" t="str">
        <f>IF(LEN(Table2[[#This Row],[!Name]]) &gt; 0, Table2[[#This Row],[!Name]], "rg:None")</f>
        <v>contactPhones</v>
      </c>
      <c r="V116" s="10" t="str">
        <f>IF(LEN(Table2[[#This Row],[!Description]]) &gt; 0, Table2[[#This Row],[!Description]], "rg:None")</f>
        <v>rg:None</v>
      </c>
      <c r="W116" s="10" t="str">
        <f>IF(LEN(Table2[[#This Row],[!FK]])&gt;0,Table2[[#This Row],[!FK]],"rg:None")</f>
        <v>ContactPhone</v>
      </c>
      <c r="X116" s="10" t="str">
        <f>IF(LEN(concatif2(A:A,Table2[[#This Row],[!Table]],G:G,"Y",D:D,",")) &gt; 0,"rg:[ { 'req' : '"&amp;concatif2(A:A,Table2[[#This Row],[!Table]],G:G,"Y",D:D,"' }, { 'req': '")&amp;"'} ]","rg:[]")</f>
        <v>rg:[ { 'req' : 'id' }, { 'req': 'givenName' }, { 'req': 'surname' }, { 'req': 'role'} ]</v>
      </c>
      <c r="Y116" s="10" t="str">
        <f>IF(LEN(Table2[[#This Row],[!Unique]])&gt;0,"rg:True","rg:None")</f>
        <v>rg:None</v>
      </c>
    </row>
    <row r="117" spans="1:25" x14ac:dyDescent="0.3">
      <c r="A117" s="24" t="s">
        <v>250</v>
      </c>
      <c r="B117" s="3" t="s">
        <v>59</v>
      </c>
      <c r="C117" s="3"/>
      <c r="D117" s="24" t="s">
        <v>252</v>
      </c>
      <c r="E117" s="27"/>
      <c r="F117" s="24" t="s">
        <v>253</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links</v>
      </c>
      <c r="Q117" s="5" t="str">
        <f>IF(Table2[[#This Row],[!Type]]=Q$1, Q$1,"rg:None")</f>
        <v>rg:None</v>
      </c>
      <c r="R117" s="5" t="str">
        <f>IF(Table2[[#This Row],[!Type]]=R$1, R$1,"rg:None")</f>
        <v>rg:None</v>
      </c>
      <c r="S117" s="5" t="str">
        <f>IF(Table2[[#This Row],[!Type]]=S$1, S$1,"rg:None")</f>
        <v>rg:None</v>
      </c>
      <c r="T117" s="10" t="str">
        <f>IF(LEN(Table2[[#This Row],[!Length]]) &gt; 0, Table2[[#This Row],[!Length]], "rg:None")</f>
        <v>rg:None</v>
      </c>
      <c r="U117" s="10" t="str">
        <f>IF(LEN(Table2[[#This Row],[!Name]]) &gt; 0, Table2[[#This Row],[!Name]], "rg:None")</f>
        <v>contactAddresses</v>
      </c>
      <c r="V117" s="10" t="str">
        <f>IF(LEN(Table2[[#This Row],[!Description]]) &gt; 0, Table2[[#This Row],[!Description]], "rg:None")</f>
        <v>rg:None</v>
      </c>
      <c r="W117" s="10" t="str">
        <f>IF(LEN(Table2[[#This Row],[!FK]])&gt;0,Table2[[#This Row],[!FK]],"rg:None")</f>
        <v>ContactAddress</v>
      </c>
      <c r="X117" s="10" t="str">
        <f>IF(LEN(concatif2(A:A,Table2[[#This Row],[!Table]],G:G,"Y",D:D,",")) &gt; 0,"rg:[ { 'req' : '"&amp;concatif2(A:A,Table2[[#This Row],[!Table]],G:G,"Y",D:D,"' }, { 'req': '")&amp;"'} ]","rg:[]")</f>
        <v>rg:[ { 'req' : 'id' }, { 'req': 'givenName' }, { 'req': 'surname' }, { 'req': 'role'} ]</v>
      </c>
      <c r="Y117" s="10" t="str">
        <f>IF(LEN(Table2[[#This Row],[!Unique]])&gt;0,"rg:True","rg:None")</f>
        <v>rg:None</v>
      </c>
    </row>
    <row r="118" spans="1:25" x14ac:dyDescent="0.3">
      <c r="A118" s="24" t="s">
        <v>254</v>
      </c>
      <c r="B118" s="3" t="s">
        <v>5</v>
      </c>
      <c r="C118" s="3"/>
      <c r="D118" s="24" t="s">
        <v>254</v>
      </c>
      <c r="E118" s="27" t="s">
        <v>350</v>
      </c>
      <c r="F118" s="3" t="s">
        <v>6</v>
      </c>
      <c r="G118" s="4"/>
      <c r="H118" s="4"/>
      <c r="I118" s="5" t="str">
        <f t="shared" si="4"/>
        <v>Defs</v>
      </c>
      <c r="J118" t="str">
        <f>IF(Table2[[#This Row],[!Type]]=J$1, J$1,"rg:None")</f>
        <v>rg:None</v>
      </c>
      <c r="K118" t="str">
        <f>IF(Table2[[#This Row],[!Type]]=K$1, K$1,"rg:None")</f>
        <v>rg:None</v>
      </c>
      <c r="L118" t="str">
        <f>IF(Table2[[#This Row],[!Type]]=L$1, L$1,"rg:None")</f>
        <v>rg:None</v>
      </c>
      <c r="M118" t="str">
        <f>IF(Table2[[#This Row],[!Type]]=M$1, M$1,"rg:None")</f>
        <v>rg:None</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table</v>
      </c>
      <c r="T118" s="10" t="str">
        <f>IF(LEN(Table2[[#This Row],[!Length]]) &gt; 0, Table2[[#This Row],[!Length]], "rg:None")</f>
        <v>rg:None</v>
      </c>
      <c r="U118" s="10" t="str">
        <f>IF(LEN(Table2[[#This Row],[!Name]]) &gt; 0, Table2[[#This Row],[!Name]], "rg:None")</f>
        <v>ContactPhone</v>
      </c>
      <c r="V118" s="10" t="str">
        <f>IF(LEN(Table2[[#This Row],[!Description]]) &gt; 0, Table2[[#This Row],[!Description]], "rg:None")</f>
        <v>SB Owner contact phone information</v>
      </c>
      <c r="W118" s="10" t="str">
        <f>IF(LEN(Table2[[#This Row],[!FK]])&gt;0,Table2[[#This Row],[!FK]],"rg:None")</f>
        <v>rg:None</v>
      </c>
      <c r="X118" s="10" t="str">
        <f>IF(LEN(concatif2(A:A,Table2[[#This Row],[!Table]],G:G,"Y",D:D,",")) &gt; 0,"rg:[ { 'req' : '"&amp;concatif2(A:A,Table2[[#This Row],[!Table]],G:G,"Y",D:D,"' }, { 'req': '")&amp;"'} ]","rg:[]")</f>
        <v>rg:[ { 'req' : 'id' }, { 'req': 'type' }, { 'req': 'phoneNumber'} ]</v>
      </c>
      <c r="Y118" s="10" t="str">
        <f>IF(LEN(Table2[[#This Row],[!Unique]])&gt;0,"rg:True","rg:None")</f>
        <v>rg:None</v>
      </c>
    </row>
    <row r="119" spans="1:25" x14ac:dyDescent="0.3">
      <c r="A119" s="24" t="s">
        <v>254</v>
      </c>
      <c r="B119" s="3" t="s">
        <v>7</v>
      </c>
      <c r="C119" s="3"/>
      <c r="D119" s="3" t="s">
        <v>7</v>
      </c>
      <c r="E119" s="27" t="s">
        <v>290</v>
      </c>
      <c r="F119" s="3" t="s">
        <v>6</v>
      </c>
      <c r="G119" s="4" t="s">
        <v>142</v>
      </c>
      <c r="H119" s="45" t="s">
        <v>142</v>
      </c>
      <c r="I119" s="5" t="str">
        <f t="shared" si="4"/>
        <v>Defs</v>
      </c>
      <c r="J119" t="str">
        <f>IF(Table2[[#This Row],[!Type]]=J$1, J$1,"rg:None")</f>
        <v>rg:None</v>
      </c>
      <c r="K119" t="str">
        <f>IF(Table2[[#This Row],[!Type]]=K$1, K$1,"rg:None")</f>
        <v>rg:None</v>
      </c>
      <c r="L119" t="str">
        <f>IF(Table2[[#This Row],[!Type]]=L$1, L$1,"rg:None")</f>
        <v>rg:None</v>
      </c>
      <c r="M119" t="str">
        <f>IF(Table2[[#This Row],[!Type]]=M$1, M$1,"rg:None")</f>
        <v>id</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10" t="str">
        <f>IF(LEN(Table2[[#This Row],[!Length]]) &gt; 0, Table2[[#This Row],[!Length]], "rg:None")</f>
        <v>rg:None</v>
      </c>
      <c r="U119" s="10" t="str">
        <f>IF(LEN(Table2[[#This Row],[!Name]]) &gt; 0, Table2[[#This Row],[!Name]], "rg:None")</f>
        <v>id</v>
      </c>
      <c r="V119" s="10" t="str">
        <f>IF(LEN(Table2[[#This Row],[!Description]]) &gt; 0, Table2[[#This Row],[!Description]], "rg:None")</f>
        <v>A system-generated unique identifier for a ContactPhone</v>
      </c>
      <c r="W119" s="10" t="str">
        <f>IF(LEN(Table2[[#This Row],[!FK]])&gt;0,Table2[[#This Row],[!FK]],"rg:None")</f>
        <v>rg:None</v>
      </c>
      <c r="X119" s="10" t="str">
        <f>IF(LEN(concatif2(A:A,Table2[[#This Row],[!Table]],G:G,"Y",D:D,",")) &gt; 0,"rg:[ { 'req' : '"&amp;concatif2(A:A,Table2[[#This Row],[!Table]],G:G,"Y",D:D,"' }, { 'req': '")&amp;"'} ]","rg:[]")</f>
        <v>rg:[ { 'req' : 'id' }, { 'req': 'type' }, { 'req': 'phoneNumber'} ]</v>
      </c>
      <c r="Y119" s="10" t="str">
        <f>IF(LEN(Table2[[#This Row],[!Unique]])&gt;0,"rg:True","rg:None")</f>
        <v>rg:True</v>
      </c>
    </row>
    <row r="120" spans="1:25" x14ac:dyDescent="0.3">
      <c r="A120" s="24" t="s">
        <v>254</v>
      </c>
      <c r="B120" s="3" t="s">
        <v>8</v>
      </c>
      <c r="C120" s="3">
        <v>100</v>
      </c>
      <c r="D120" s="3" t="s">
        <v>60</v>
      </c>
      <c r="E120" s="27" t="s">
        <v>351</v>
      </c>
      <c r="F120" s="3" t="s">
        <v>6</v>
      </c>
      <c r="G120" s="45" t="s">
        <v>142</v>
      </c>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100</v>
      </c>
      <c r="U120" s="10" t="str">
        <f>IF(LEN(Table2[[#This Row],[!Name]]) &gt; 0, Table2[[#This Row],[!Name]], "rg:None")</f>
        <v>type</v>
      </c>
      <c r="V120" s="10" t="str">
        <f>IF(LEN(Table2[[#This Row],[!Description]]) &gt; 0, Table2[[#This Row],[!Description]], "rg:None")</f>
        <v>The type of the phone number. UI controlled as to whether it is free form or selected from an enumerated list.  Ex. Home, Cell, Work etc..</v>
      </c>
      <c r="W120" s="10" t="str">
        <f>IF(LEN(Table2[[#This Row],[!FK]])&gt;0,Table2[[#This Row],[!FK]],"rg:None")</f>
        <v>rg:None</v>
      </c>
      <c r="X120" s="10" t="str">
        <f>IF(LEN(concatif2(A:A,Table2[[#This Row],[!Table]],G:G,"Y",D:D,",")) &gt; 0,"rg:[ { 'req' : '"&amp;concatif2(A:A,Table2[[#This Row],[!Table]],G:G,"Y",D:D,"' }, { 'req': '")&amp;"'} ]","rg:[]")</f>
        <v>rg:[ { 'req' : 'id' }, { 'req': 'type' }, { 'req': 'phoneNumber'} ]</v>
      </c>
      <c r="Y120" s="10" t="str">
        <f>IF(LEN(Table2[[#This Row],[!Unique]])&gt;0,"rg:True","rg:None")</f>
        <v>rg:None</v>
      </c>
    </row>
    <row r="121" spans="1:25" x14ac:dyDescent="0.3">
      <c r="A121" s="24" t="s">
        <v>254</v>
      </c>
      <c r="B121" s="3" t="s">
        <v>8</v>
      </c>
      <c r="C121" s="3">
        <v>20</v>
      </c>
      <c r="D121" s="3" t="s">
        <v>61</v>
      </c>
      <c r="E121" s="27" t="s">
        <v>62</v>
      </c>
      <c r="F121" s="3" t="s">
        <v>6</v>
      </c>
      <c r="G121" s="45" t="s">
        <v>142</v>
      </c>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20</v>
      </c>
      <c r="U121" s="10" t="str">
        <f>IF(LEN(Table2[[#This Row],[!Name]]) &gt; 0, Table2[[#This Row],[!Name]], "rg:None")</f>
        <v>phoneNumber</v>
      </c>
      <c r="V121" s="10" t="str">
        <f>IF(LEN(Table2[[#This Row],[!Description]]) &gt; 0, Table2[[#This Row],[!Description]], "rg:None")</f>
        <v>The phone number of the contact. Entered as free form to support a range of formats.</v>
      </c>
      <c r="W121" s="10" t="str">
        <f>IF(LEN(Table2[[#This Row],[!FK]])&gt;0,Table2[[#This Row],[!FK]],"rg:None")</f>
        <v>rg:None</v>
      </c>
      <c r="X121" s="10" t="str">
        <f>IF(LEN(concatif2(A:A,Table2[[#This Row],[!Table]],G:G,"Y",D:D,",")) &gt; 0,"rg:[ { 'req' : '"&amp;concatif2(A:A,Table2[[#This Row],[!Table]],G:G,"Y",D:D,"' }, { 'req': '")&amp;"'} ]","rg:[]")</f>
        <v>rg:[ { 'req' : 'id' }, { 'req': 'type' }, { 'req': 'phoneNumber'} ]</v>
      </c>
      <c r="Y121" s="10" t="str">
        <f>IF(LEN(Table2[[#This Row],[!Unique]])&gt;0,"rg:True","rg:None")</f>
        <v>rg:None</v>
      </c>
    </row>
    <row r="122" spans="1:25" x14ac:dyDescent="0.3">
      <c r="A122" s="24" t="s">
        <v>253</v>
      </c>
      <c r="B122" s="3" t="s">
        <v>5</v>
      </c>
      <c r="C122" s="3"/>
      <c r="D122" s="24" t="s">
        <v>253</v>
      </c>
      <c r="E122" s="27" t="s">
        <v>352</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table</v>
      </c>
      <c r="T122" s="10" t="str">
        <f>IF(LEN(Table2[[#This Row],[!Length]]) &gt; 0, Table2[[#This Row],[!Length]], "rg:None")</f>
        <v>rg:None</v>
      </c>
      <c r="U122" s="10" t="str">
        <f>IF(LEN(Table2[[#This Row],[!Name]]) &gt; 0, Table2[[#This Row],[!Name]], "rg:None")</f>
        <v>ContactAddress</v>
      </c>
      <c r="V122" s="10" t="str">
        <f>IF(LEN(Table2[[#This Row],[!Description]]) &gt; 0, Table2[[#This Row],[!Description]], "rg:None")</f>
        <v>SB Owner contact address information</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24" t="s">
        <v>253</v>
      </c>
      <c r="B123" s="3" t="s">
        <v>7</v>
      </c>
      <c r="C123" s="3"/>
      <c r="D123" s="3" t="s">
        <v>7</v>
      </c>
      <c r="E123" s="27" t="s">
        <v>291</v>
      </c>
      <c r="F123" s="3" t="s">
        <v>6</v>
      </c>
      <c r="G123" s="4" t="s">
        <v>142</v>
      </c>
      <c r="H123" s="45" t="s">
        <v>142</v>
      </c>
      <c r="I123" s="5" t="str">
        <f t="shared" si="4"/>
        <v>Defs</v>
      </c>
      <c r="J123" t="str">
        <f>IF(Table2[[#This Row],[!Type]]=J$1, J$1,"rg:None")</f>
        <v>rg:None</v>
      </c>
      <c r="K123" t="str">
        <f>IF(Table2[[#This Row],[!Type]]=K$1, K$1,"rg:None")</f>
        <v>rg:None</v>
      </c>
      <c r="L123" t="str">
        <f>IF(Table2[[#This Row],[!Type]]=L$1, L$1,"rg:None")</f>
        <v>rg:None</v>
      </c>
      <c r="M123" t="str">
        <f>IF(Table2[[#This Row],[!Type]]=M$1, M$1,"rg:None")</f>
        <v>id</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rg:None</v>
      </c>
      <c r="T123" s="10" t="str">
        <f>IF(LEN(Table2[[#This Row],[!Length]]) &gt; 0, Table2[[#This Row],[!Length]], "rg:None")</f>
        <v>rg:None</v>
      </c>
      <c r="U123" s="10" t="str">
        <f>IF(LEN(Table2[[#This Row],[!Name]]) &gt; 0, Table2[[#This Row],[!Name]], "rg:None")</f>
        <v>id</v>
      </c>
      <c r="V123" s="10" t="str">
        <f>IF(LEN(Table2[[#This Row],[!Description]]) &gt; 0, Table2[[#This Row],[!Description]], "rg:None")</f>
        <v>A system-generated unique identifier for a ContactAddress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rg:True</v>
      </c>
    </row>
    <row r="124" spans="1:25" x14ac:dyDescent="0.3">
      <c r="A124" s="24" t="s">
        <v>253</v>
      </c>
      <c r="B124" s="3" t="s">
        <v>8</v>
      </c>
      <c r="C124" s="3">
        <v>100</v>
      </c>
      <c r="D124" s="3" t="s">
        <v>60</v>
      </c>
      <c r="E124" s="27" t="s">
        <v>353</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100</v>
      </c>
      <c r="U124" s="10" t="str">
        <f>IF(LEN(Table2[[#This Row],[!Name]]) &gt; 0, Table2[[#This Row],[!Name]], "rg:None")</f>
        <v>type</v>
      </c>
      <c r="V124" s="10" t="str">
        <f>IF(LEN(Table2[[#This Row],[!Description]]) &gt; 0, Table2[[#This Row],[!Description]], "rg:None")</f>
        <v>The type of the address. UI controlled as to whether it is free form or selected from an enumerated list ex. Home, Office, etc..</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24" t="s">
        <v>253</v>
      </c>
      <c r="B125" s="3" t="s">
        <v>8</v>
      </c>
      <c r="C125" s="3">
        <v>80</v>
      </c>
      <c r="D125" s="24" t="s">
        <v>276</v>
      </c>
      <c r="E125" s="27" t="s">
        <v>63</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80</v>
      </c>
      <c r="U125" s="10" t="str">
        <f>IF(LEN(Table2[[#This Row],[!Name]]) &gt; 0, Table2[[#This Row],[!Name]], "rg:None")</f>
        <v>address1</v>
      </c>
      <c r="V125" s="10" t="str">
        <f>IF(LEN(Table2[[#This Row],[!Description]]) &gt; 0, Table2[[#This Row],[!Description]], "rg:None")</f>
        <v>Address 1 line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24" t="s">
        <v>253</v>
      </c>
      <c r="B126" s="3" t="s">
        <v>8</v>
      </c>
      <c r="C126" s="3">
        <v>80</v>
      </c>
      <c r="D126" s="24" t="s">
        <v>277</v>
      </c>
      <c r="E126" s="27" t="s">
        <v>64</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80</v>
      </c>
      <c r="U126" s="10" t="str">
        <f>IF(LEN(Table2[[#This Row],[!Name]]) &gt; 0, Table2[[#This Row],[!Name]], "rg:None")</f>
        <v>address2</v>
      </c>
      <c r="V126" s="10" t="str">
        <f>IF(LEN(Table2[[#This Row],[!Description]]) &gt; 0, Table2[[#This Row],[!Description]], "rg:None")</f>
        <v>Address 2 line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24" t="s">
        <v>253</v>
      </c>
      <c r="B127" s="3" t="s">
        <v>8</v>
      </c>
      <c r="C127" s="3">
        <v>100</v>
      </c>
      <c r="D127" s="3" t="s">
        <v>65</v>
      </c>
      <c r="E127" s="27" t="s">
        <v>66</v>
      </c>
      <c r="F127" s="3" t="s">
        <v>6</v>
      </c>
      <c r="G127" s="4"/>
      <c r="H127" s="4"/>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100</v>
      </c>
      <c r="U127" s="10" t="str">
        <f>IF(LEN(Table2[[#This Row],[!Name]]) &gt; 0, Table2[[#This Row],[!Name]], "rg:None")</f>
        <v>city</v>
      </c>
      <c r="V127" s="10" t="str">
        <f>IF(LEN(Table2[[#This Row],[!Description]]) &gt; 0, Table2[[#This Row],[!Description]], "rg:None")</f>
        <v>The City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24" t="s">
        <v>253</v>
      </c>
      <c r="B128" s="3" t="s">
        <v>8</v>
      </c>
      <c r="C128" s="3">
        <v>50</v>
      </c>
      <c r="D128" s="3" t="s">
        <v>67</v>
      </c>
      <c r="E128" s="27" t="s">
        <v>68</v>
      </c>
      <c r="F128" s="3" t="s">
        <v>6</v>
      </c>
      <c r="G128" s="4"/>
      <c r="H128" s="4"/>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50</v>
      </c>
      <c r="U128" s="10" t="str">
        <f>IF(LEN(Table2[[#This Row],[!Name]]) &gt; 0, Table2[[#This Row],[!Name]], "rg:None")</f>
        <v>province</v>
      </c>
      <c r="V128" s="10" t="str">
        <f>IF(LEN(Table2[[#This Row],[!Description]]) &gt; 0, Table2[[#This Row],[!Description]], "rg:None")</f>
        <v>The Province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
      <c r="A129" s="24" t="s">
        <v>253</v>
      </c>
      <c r="B129" s="3" t="s">
        <v>8</v>
      </c>
      <c r="C129" s="3">
        <v>15</v>
      </c>
      <c r="D129" s="3" t="s">
        <v>69</v>
      </c>
      <c r="E129" s="27" t="s">
        <v>70</v>
      </c>
      <c r="F129" s="3" t="s">
        <v>6</v>
      </c>
      <c r="G129" s="4"/>
      <c r="H129" s="4"/>
      <c r="I129" s="5" t="str">
        <f t="shared" si="4"/>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15</v>
      </c>
      <c r="U129" s="10" t="str">
        <f>IF(LEN(Table2[[#This Row],[!Name]]) &gt; 0, Table2[[#This Row],[!Name]], "rg:None")</f>
        <v>postalCode</v>
      </c>
      <c r="V129" s="10" t="str">
        <f>IF(LEN(Table2[[#This Row],[!Description]]) &gt; 0, Table2[[#This Row],[!Description]], "rg:None")</f>
        <v>The postal code of the address.</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x14ac:dyDescent="0.3">
      <c r="A130" s="3" t="s">
        <v>81</v>
      </c>
      <c r="B130" s="3" t="s">
        <v>5</v>
      </c>
      <c r="C130" s="3"/>
      <c r="D130" s="3" t="s">
        <v>81</v>
      </c>
      <c r="E130" s="27" t="s">
        <v>179</v>
      </c>
      <c r="F130" s="3" t="s">
        <v>6</v>
      </c>
      <c r="G130" s="4"/>
      <c r="H130" s="4"/>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table</v>
      </c>
      <c r="T130" s="10" t="str">
        <f>IF(LEN(Table2[[#This Row],[!Length]]) &gt; 0, Table2[[#This Row],[!Length]], "rg:None")</f>
        <v>rg:None</v>
      </c>
      <c r="U130" s="10" t="str">
        <f>IF(LEN(Table2[[#This Row],[!Name]]) &gt; 0, Table2[[#This Row],[!Name]], "rg:None")</f>
        <v>UserFavourite</v>
      </c>
      <c r="V130" s="10" t="str">
        <f>IF(LEN(Table2[[#This Row],[!Description]]) &gt; 0, Table2[[#This Row],[!Description]], "rg:None")</f>
        <v>User specific settings for a specific location in the UI. The location and saved settings are internally defined by the UI.</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
      <c r="A131" s="3" t="s">
        <v>81</v>
      </c>
      <c r="B131" s="3" t="s">
        <v>7</v>
      </c>
      <c r="C131" s="3"/>
      <c r="D131" s="3" t="s">
        <v>7</v>
      </c>
      <c r="E131" s="27" t="s">
        <v>292</v>
      </c>
      <c r="F131" s="3" t="s">
        <v>6</v>
      </c>
      <c r="G131" s="4" t="s">
        <v>142</v>
      </c>
      <c r="H131" s="45" t="s">
        <v>142</v>
      </c>
      <c r="I131" s="5" t="str">
        <f t="shared" si="3"/>
        <v>Defs</v>
      </c>
      <c r="J131" t="str">
        <f>IF(Table2[[#This Row],[!Type]]=J$1, J$1,"rg:None")</f>
        <v>rg:None</v>
      </c>
      <c r="K131" t="str">
        <f>IF(Table2[[#This Row],[!Type]]=K$1, K$1,"rg:None")</f>
        <v>rg:None</v>
      </c>
      <c r="L131" t="str">
        <f>IF(Table2[[#This Row],[!Type]]=L$1, L$1,"rg:None")</f>
        <v>rg:None</v>
      </c>
      <c r="M131" t="str">
        <f>IF(Table2[[#This Row],[!Type]]=M$1, M$1,"rg:None")</f>
        <v>id</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rg:None</v>
      </c>
      <c r="T131" s="10" t="str">
        <f>IF(LEN(Table2[[#This Row],[!Length]]) &gt; 0, Table2[[#This Row],[!Length]], "rg:None")</f>
        <v>rg:None</v>
      </c>
      <c r="U131" s="10" t="str">
        <f>IF(LEN(Table2[[#This Row],[!Name]]) &gt; 0, Table2[[#This Row],[!Name]], "rg:None")</f>
        <v>id</v>
      </c>
      <c r="V131" s="10" t="str">
        <f>IF(LEN(Table2[[#This Row],[!Description]]) &gt; 0, Table2[[#This Row],[!Description]], "rg:None")</f>
        <v>A system-generated unique identifier for a UserFavourite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rg:True</v>
      </c>
    </row>
    <row r="132" spans="1:25" x14ac:dyDescent="0.3">
      <c r="A132" s="3" t="s">
        <v>81</v>
      </c>
      <c r="B132" s="3" t="s">
        <v>8</v>
      </c>
      <c r="C132" s="3">
        <v>255</v>
      </c>
      <c r="D132" s="20" t="s">
        <v>60</v>
      </c>
      <c r="E132" s="20" t="s">
        <v>234</v>
      </c>
      <c r="F132" s="6"/>
      <c r="G132" s="19"/>
      <c r="H132" s="19"/>
      <c r="I132" s="4" t="str">
        <f>IF(LEN(A132) &gt; 0,"Defs","-")</f>
        <v>Defs</v>
      </c>
      <c r="J132" s="16" t="str">
        <f>IF(Table2[[#This Row],[!Type]]=J$1, J$1,"rg:None")</f>
        <v>rg:None</v>
      </c>
      <c r="K132" s="16" t="str">
        <f>IF(Table2[[#This Row],[!Type]]=K$1, K$1,"rg:None")</f>
        <v>rg:None</v>
      </c>
      <c r="L132" s="16" t="str">
        <f>IF(Table2[[#This Row],[!Type]]=L$1, L$1,"rg:None")</f>
        <v>rg:None</v>
      </c>
      <c r="M132" s="16" t="str">
        <f>IF(Table2[[#This Row],[!Type]]=M$1, M$1,"rg:None")</f>
        <v>rg:None</v>
      </c>
      <c r="N132" s="16" t="str">
        <f>IF(Table2[[#This Row],[!Type]]=N$1, N$1,"rg:None")</f>
        <v>rg:None</v>
      </c>
      <c r="O132" s="16"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16">
        <f>IF(LEN(Table2[[#This Row],[!Length]]) &gt; 0, Table2[[#This Row],[!Length]], "rg:None")</f>
        <v>255</v>
      </c>
      <c r="U132" s="16" t="str">
        <f>IF(LEN(Table2[[#This Row],[!Name]]) &gt; 0, Table2[[#This Row],[!Name]], "rg:None")</f>
        <v>type</v>
      </c>
      <c r="V132" s="16" t="str">
        <f>IF(LEN(Table2[[#This Row],[!Description]]) &gt; 0, Table2[[#This Row],[!Description]], "rg:None")</f>
        <v>The type of Favourite</v>
      </c>
      <c r="W132" s="16" t="str">
        <f>IF(LEN(Table2[[#This Row],[!FK]])&gt;0,Table2[[#This Row],[!FK]],"rg:None")</f>
        <v>rg:None</v>
      </c>
      <c r="X132" s="16" t="str">
        <f>IF(LEN(concatif2(A:A,Table2[[#This Row],[!Table]],G:G,"Y",D:D,",")) &gt; 0,"rg:[ { 'req' : '"&amp;concatif2(A:A,Table2[[#This Row],[!Table]],G:G,"Y",D:D,"' }, { 'req': '")&amp;"'} ]","rg:[]")</f>
        <v>rg:[ { 'req' : 'id'} ]</v>
      </c>
      <c r="Y132" s="16" t="str">
        <f>IF(LEN(Table2[[#This Row],[!Unique]])&gt;0,"rg:True","rg:None")</f>
        <v>rg:None</v>
      </c>
    </row>
    <row r="133" spans="1:25" x14ac:dyDescent="0.3">
      <c r="A133" s="3" t="s">
        <v>81</v>
      </c>
      <c r="B133" s="3" t="s">
        <v>8</v>
      </c>
      <c r="C133" s="3">
        <v>255</v>
      </c>
      <c r="D133" s="3" t="s">
        <v>46</v>
      </c>
      <c r="E133" s="27" t="s">
        <v>82</v>
      </c>
      <c r="F133" s="3" t="s">
        <v>6</v>
      </c>
      <c r="G133" s="4"/>
      <c r="H133" s="4"/>
      <c r="I133" s="5" t="str">
        <f t="shared" si="3"/>
        <v>Defs</v>
      </c>
      <c r="J133" t="str">
        <f>IF(Table2[[#This Row],[!Type]]=J$1, J$1,"rg:None")</f>
        <v>rg:None</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10">
        <f>IF(LEN(Table2[[#This Row],[!Length]]) &gt; 0, Table2[[#This Row],[!Length]], "rg:None")</f>
        <v>255</v>
      </c>
      <c r="U133" s="10" t="str">
        <f>IF(LEN(Table2[[#This Row],[!Name]]) &gt; 0, Table2[[#This Row],[!Name]], "rg:None")</f>
        <v>name</v>
      </c>
      <c r="V133" s="10" t="str">
        <f>IF(LEN(Table2[[#This Row],[!Description]]) &gt; 0, Table2[[#This Row],[!Description]], "rg:None")</f>
        <v>The user-defined name for the recorded settings. Allows the user to save different groups of settings and access each one easily when needed.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x14ac:dyDescent="0.3">
      <c r="A134" s="3" t="s">
        <v>81</v>
      </c>
      <c r="B134" s="3" t="s">
        <v>8</v>
      </c>
      <c r="C134" s="3">
        <v>2048</v>
      </c>
      <c r="D134" s="24" t="s">
        <v>83</v>
      </c>
      <c r="E134" s="27" t="s">
        <v>84</v>
      </c>
      <c r="F134" s="3" t="s">
        <v>6</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10">
        <f>IF(LEN(Table2[[#This Row],[!Length]]) &gt; 0, Table2[[#This Row],[!Length]], "rg:None")</f>
        <v>2048</v>
      </c>
      <c r="U134" s="10" t="str">
        <f>IF(LEN(Table2[[#This Row],[!Name]]) &gt; 0, Table2[[#This Row],[!Name]], "rg:None")</f>
        <v>value</v>
      </c>
      <c r="V134" s="10" t="str">
        <f>IF(LEN(Table2[[#This Row],[!Description]]) &gt; 0, Table2[[#This Row],[!Description]], "rg:None")</f>
        <v>The settings saved by the user. In general,  a UI defined chunk of json that stores the settings in place when the user created the favourite.</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x14ac:dyDescent="0.3">
      <c r="A135" s="3" t="s">
        <v>81</v>
      </c>
      <c r="B135" s="3" t="s">
        <v>14</v>
      </c>
      <c r="C135" s="3"/>
      <c r="D135" s="3" t="s">
        <v>85</v>
      </c>
      <c r="E135" s="27" t="s">
        <v>86</v>
      </c>
      <c r="F135" s="3" t="s">
        <v>6</v>
      </c>
      <c r="G135" s="4"/>
      <c r="H135" s="4"/>
      <c r="I135" s="5" t="str">
        <f t="shared" si="3"/>
        <v>Defs</v>
      </c>
      <c r="J135" t="str">
        <f>IF(Table2[[#This Row],[!Type]]=J$1, J$1,"rg:None")</f>
        <v>boolean</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isDefault</v>
      </c>
      <c r="V135"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row>
    <row r="136" spans="1:25" x14ac:dyDescent="0.3">
      <c r="A136" s="22" t="s">
        <v>81</v>
      </c>
      <c r="B136" s="3" t="s">
        <v>9</v>
      </c>
      <c r="C136" s="3"/>
      <c r="D136" s="22" t="s">
        <v>0</v>
      </c>
      <c r="E136" s="22" t="s">
        <v>236</v>
      </c>
      <c r="F136" s="23" t="s">
        <v>0</v>
      </c>
      <c r="G136" s="19"/>
      <c r="H136" s="19"/>
      <c r="I136" s="4" t="str">
        <f>IF(LEN(A136) &gt; 0,"Defs","-")</f>
        <v>Defs</v>
      </c>
      <c r="J136" s="16" t="str">
        <f>IF(Table2[[#This Row],[!Type]]=J$1, J$1,"rg:None")</f>
        <v>rg:None</v>
      </c>
      <c r="K136" s="16" t="str">
        <f>IF(Table2[[#This Row],[!Type]]=K$1, K$1,"rg:None")</f>
        <v>rg:None</v>
      </c>
      <c r="L136" s="16" t="str">
        <f>IF(Table2[[#This Row],[!Type]]=L$1, L$1,"rg:None")</f>
        <v>rg:None</v>
      </c>
      <c r="M136" s="16" t="str">
        <f>IF(Table2[[#This Row],[!Type]]=M$1, M$1,"rg:None")</f>
        <v>rg:None</v>
      </c>
      <c r="N136" s="16" t="str">
        <f>IF(Table2[[#This Row],[!Type]]=N$1, N$1,"rg:None")</f>
        <v>rg:None</v>
      </c>
      <c r="O136" s="16" t="str">
        <f>IF(Table2[[#This Row],[!Type]]=O$1, O$1,"rg:None")</f>
        <v>rg:None</v>
      </c>
      <c r="P136" s="4" t="str">
        <f>IF(Table2[[#This Row],[!Type]]=P$1, P$1,"rg:None")</f>
        <v>rg:None</v>
      </c>
      <c r="Q136" s="4" t="str">
        <f>IF(Table2[[#This Row],[!Type]]=Q$1, Q$1,"rg:None")</f>
        <v>ref</v>
      </c>
      <c r="R136" s="4" t="str">
        <f>IF(Table2[[#This Row],[!Type]]=R$1, R$1,"rg:None")</f>
        <v>rg:None</v>
      </c>
      <c r="S136" s="4" t="str">
        <f>IF(Table2[[#This Row],[!Type]]=S$1, S$1,"rg:None")</f>
        <v>rg:None</v>
      </c>
      <c r="T136" s="16" t="str">
        <f>IF(LEN(Table2[[#This Row],[!Length]]) &gt; 0, Table2[[#This Row],[!Length]], "rg:None")</f>
        <v>rg:None</v>
      </c>
      <c r="U136" s="16" t="str">
        <f>IF(LEN(Table2[[#This Row],[!Name]]) &gt; 0, Table2[[#This Row],[!Name]], "rg:None")</f>
        <v>User</v>
      </c>
      <c r="V136" s="16" t="str">
        <f>IF(LEN(Table2[[#This Row],[!Description]]) &gt; 0, Table2[[#This Row],[!Description]], "rg:None")</f>
        <v>The User who has this Favourite</v>
      </c>
      <c r="W136" s="16" t="str">
        <f>IF(LEN(Table2[[#This Row],[!FK]])&gt;0,Table2[[#This Row],[!FK]],"rg:None")</f>
        <v>User</v>
      </c>
      <c r="X136" s="16" t="str">
        <f>IF(LEN(concatif2(A:A,Table2[[#This Row],[!Table]],G:G,"Y",D:D,",")) &gt; 0,"rg:[ { 'req' : '"&amp;concatif2(A:A,Table2[[#This Row],[!Table]],G:G,"Y",D:D,"' }, { 'req': '")&amp;"'} ]","rg:[]")</f>
        <v>rg:[ { 'req' : 'id'} ]</v>
      </c>
      <c r="Y136" s="16" t="str">
        <f>IF(LEN(Table2[[#This Row],[!Unique]])&gt;0,"rg:True","rg:None")</f>
        <v>rg:None</v>
      </c>
    </row>
    <row r="137" spans="1:25" x14ac:dyDescent="0.3">
      <c r="A137" s="3" t="s">
        <v>87</v>
      </c>
      <c r="B137" s="3" t="s">
        <v>5</v>
      </c>
      <c r="C137" s="3"/>
      <c r="D137" s="3" t="s">
        <v>87</v>
      </c>
      <c r="E137" s="43" t="s">
        <v>356</v>
      </c>
      <c r="F137" s="3" t="s">
        <v>6</v>
      </c>
      <c r="G137" s="4"/>
      <c r="H137" s="4"/>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table</v>
      </c>
      <c r="T137" s="10" t="str">
        <f>IF(LEN(Table2[[#This Row],[!Length]]) &gt; 0, Table2[[#This Row],[!Length]], "rg:None")</f>
        <v>rg:None</v>
      </c>
      <c r="U137" s="10" t="str">
        <f>IF(LEN(Table2[[#This Row],[!Name]]) &gt; 0, Table2[[#This Row],[!Name]], "rg:None")</f>
        <v>Region</v>
      </c>
      <c r="V137" s="10" t="str">
        <f>IF(LEN(Table2[[#This Row],[!Description]]) &gt; 0, Table2[[#This Row],[!Description]], "rg:None")</f>
        <v>The MOTI-defined Regions - must match the official MOTI List</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x14ac:dyDescent="0.3">
      <c r="A138" s="3" t="s">
        <v>87</v>
      </c>
      <c r="B138" s="3" t="s">
        <v>7</v>
      </c>
      <c r="C138" s="3"/>
      <c r="D138" s="3" t="s">
        <v>7</v>
      </c>
      <c r="E138" s="27" t="s">
        <v>293</v>
      </c>
      <c r="F138" s="3" t="s">
        <v>6</v>
      </c>
      <c r="G138" s="4" t="s">
        <v>142</v>
      </c>
      <c r="H138" s="45" t="s">
        <v>142</v>
      </c>
      <c r="I138" s="5" t="str">
        <f t="shared" si="3"/>
        <v>Defs</v>
      </c>
      <c r="J138" t="str">
        <f>IF(Table2[[#This Row],[!Type]]=J$1, J$1,"rg:None")</f>
        <v>rg:None</v>
      </c>
      <c r="K138" t="str">
        <f>IF(Table2[[#This Row],[!Type]]=K$1, K$1,"rg:None")</f>
        <v>rg:None</v>
      </c>
      <c r="L138" t="str">
        <f>IF(Table2[[#This Row],[!Type]]=L$1, L$1,"rg:None")</f>
        <v>rg:None</v>
      </c>
      <c r="M138" t="str">
        <f>IF(Table2[[#This Row],[!Type]]=M$1, M$1,"rg:None")</f>
        <v>id</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id</v>
      </c>
      <c r="V138" s="10" t="str">
        <f>IF(LEN(Table2[[#This Row],[!Description]]) &gt; 0, Table2[[#This Row],[!Description]], "rg:None")</f>
        <v>A system-generated unique identifier for a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rg:True</v>
      </c>
    </row>
    <row r="139" spans="1:25" x14ac:dyDescent="0.3">
      <c r="A139" s="3" t="s">
        <v>87</v>
      </c>
      <c r="B139" s="3" t="s">
        <v>33</v>
      </c>
      <c r="C139" s="3"/>
      <c r="D139" s="3" t="s">
        <v>88</v>
      </c>
      <c r="E139" s="27" t="s">
        <v>89</v>
      </c>
      <c r="F139" s="3" t="s">
        <v>6</v>
      </c>
      <c r="G139" s="45" t="s">
        <v>142</v>
      </c>
      <c r="H139" s="45" t="s">
        <v>142</v>
      </c>
      <c r="I139" s="5" t="str">
        <f t="shared" si="3"/>
        <v>Defs</v>
      </c>
      <c r="J139" t="str">
        <f>IF(Table2[[#This Row],[!Type]]=J$1, J$1,"rg:None")</f>
        <v>rg:None</v>
      </c>
      <c r="K139" t="str">
        <f>IF(Table2[[#This Row],[!Type]]=K$1, K$1,"rg:None")</f>
        <v>rg:None</v>
      </c>
      <c r="L139" t="str">
        <f>IF(Table2[[#This Row],[!Type]]=L$1, L$1,"rg:None")</f>
        <v>rg:None</v>
      </c>
      <c r="M139" t="str">
        <f>IF(Table2[[#This Row],[!Type]]=M$1, M$1,"rg:None")</f>
        <v>rg:None</v>
      </c>
      <c r="N139" s="10" t="str">
        <f>IF(Table2[[#This Row],[!Type]]=N$1, N$1,"rg:None")</f>
        <v>integer</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ministryRegionID</v>
      </c>
      <c r="V139" s="10" t="str">
        <f>IF(LEN(Table2[[#This Row],[!Description]]) &gt; 0, Table2[[#This Row],[!Description]], "rg:None")</f>
        <v>The Ministry ID for the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rg:True</v>
      </c>
    </row>
    <row r="140" spans="1:25" x14ac:dyDescent="0.3">
      <c r="A140" s="3" t="s">
        <v>87</v>
      </c>
      <c r="B140" s="3" t="s">
        <v>8</v>
      </c>
      <c r="C140" s="3">
        <v>255</v>
      </c>
      <c r="D140" s="3" t="s">
        <v>46</v>
      </c>
      <c r="E140" s="27" t="s">
        <v>90</v>
      </c>
      <c r="F140" s="3" t="s">
        <v>6</v>
      </c>
      <c r="G140" s="45" t="s">
        <v>142</v>
      </c>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string</v>
      </c>
      <c r="S140" s="5" t="str">
        <f>IF(Table2[[#This Row],[!Type]]=S$1, S$1,"rg:None")</f>
        <v>rg:None</v>
      </c>
      <c r="T140" s="10">
        <f>IF(LEN(Table2[[#This Row],[!Length]]) &gt; 0, Table2[[#This Row],[!Length]], "rg:None")</f>
        <v>255</v>
      </c>
      <c r="U140" s="10" t="str">
        <f>IF(LEN(Table2[[#This Row],[!Name]]) &gt; 0, Table2[[#This Row],[!Name]], "rg:None")</f>
        <v>name</v>
      </c>
      <c r="V140" s="10" t="str">
        <f>IF(LEN(Table2[[#This Row],[!Description]]) &gt; 0, Table2[[#This Row],[!Description]], "rg:None")</f>
        <v>The name of the Region</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x14ac:dyDescent="0.3">
      <c r="A141" s="3" t="s">
        <v>87</v>
      </c>
      <c r="B141" s="3" t="s">
        <v>25</v>
      </c>
      <c r="C141" s="3"/>
      <c r="D141" s="3" t="s">
        <v>91</v>
      </c>
      <c r="E141" s="43" t="s">
        <v>358</v>
      </c>
      <c r="F141" s="3" t="s">
        <v>6</v>
      </c>
      <c r="G141" s="4"/>
      <c r="H141" s="4"/>
      <c r="I141" s="5" t="str">
        <f t="shared" si="3"/>
        <v>Defs</v>
      </c>
      <c r="J141" t="str">
        <f>IF(Table2[[#This Row],[!Type]]=J$1, J$1,"rg:None")</f>
        <v>rg:None</v>
      </c>
      <c r="K141" t="str">
        <f>IF(Table2[[#This Row],[!Type]]=K$1, K$1,"rg:None")</f>
        <v>rg:None</v>
      </c>
      <c r="L141" t="str">
        <f>IF(Table2[[#This Row],[!Type]]=L$1, L$1,"rg:None")</f>
        <v>datetime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startDate</v>
      </c>
      <c r="V141" s="10" t="str">
        <f>IF(LEN(Table2[[#This Row],[!Description]]) &gt; 0, Table2[[#This Row],[!Description]], "rg:None")</f>
        <v>The effective date of the Region record - NOT CURRENTLY ENFORCED IN SCHOOL BUS</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x14ac:dyDescent="0.3">
      <c r="A142" s="3" t="s">
        <v>87</v>
      </c>
      <c r="B142" s="3" t="s">
        <v>25</v>
      </c>
      <c r="C142" s="3"/>
      <c r="D142" s="3" t="s">
        <v>92</v>
      </c>
      <c r="E142" s="43" t="s">
        <v>359</v>
      </c>
      <c r="F142" s="3" t="s">
        <v>6</v>
      </c>
      <c r="G142" s="4"/>
      <c r="H142" s="4"/>
      <c r="I142" s="5" t="str">
        <f t="shared" si="3"/>
        <v>Defs</v>
      </c>
      <c r="J142" t="str">
        <f>IF(Table2[[#This Row],[!Type]]=J$1, J$1,"rg:None")</f>
        <v>rg:None</v>
      </c>
      <c r="K142" t="str">
        <f>IF(Table2[[#This Row],[!Type]]=K$1, K$1,"rg:None")</f>
        <v>rg:None</v>
      </c>
      <c r="L142" t="str">
        <f>IF(Table2[[#This Row],[!Type]]=L$1, L$1,"rg:None")</f>
        <v>datetime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endDate</v>
      </c>
      <c r="V142" s="10" t="str">
        <f>IF(LEN(Table2[[#This Row],[!Description]]) &gt; 0, Table2[[#This Row],[!Description]], "rg:None")</f>
        <v>The end date of the Region record; null if active - NOT CURRENTLY ENFORCED IN SCHOOL BUS</v>
      </c>
      <c r="W142" s="10" t="str">
        <f>IF(LEN(Table2[[#This Row],[!FK]])&gt;0,Table2[[#This Row],[!FK]],"rg:None")</f>
        <v>rg:None</v>
      </c>
      <c r="X142" s="10" t="str">
        <f>IF(LEN(concatif2(A:A,Table2[[#This Row],[!Table]],G:G,"Y",D:D,",")) &gt; 0,"rg:[ { 'req' : '"&amp;concatif2(A:A,Table2[[#This Row],[!Table]],G:G,"Y",D:D,"' }, { 'req': '")&amp;"'} ]","rg:[]")</f>
        <v>rg:[ { 'req' : 'id' }, { 'req': 'ministryRegionID' }, { 'req': 'name'} ]</v>
      </c>
      <c r="Y142" s="10" t="str">
        <f>IF(LEN(Table2[[#This Row],[!Unique]])&gt;0,"rg:True","rg:None")</f>
        <v>rg:None</v>
      </c>
    </row>
    <row r="143" spans="1:25" x14ac:dyDescent="0.3">
      <c r="A143" s="3" t="s">
        <v>93</v>
      </c>
      <c r="B143" s="3" t="s">
        <v>5</v>
      </c>
      <c r="C143" s="3"/>
      <c r="D143" s="3" t="s">
        <v>93</v>
      </c>
      <c r="E143" s="43" t="s">
        <v>357</v>
      </c>
      <c r="F143" s="3" t="s">
        <v>6</v>
      </c>
      <c r="G143" s="4"/>
      <c r="H143" s="4"/>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table</v>
      </c>
      <c r="T143" s="10" t="str">
        <f>IF(LEN(Table2[[#This Row],[!Length]]) &gt; 0, Table2[[#This Row],[!Length]], "rg:None")</f>
        <v>rg:None</v>
      </c>
      <c r="U143" s="10" t="str">
        <f>IF(LEN(Table2[[#This Row],[!Name]]) &gt; 0, Table2[[#This Row],[!Name]], "rg:None")</f>
        <v>District</v>
      </c>
      <c r="V143" s="10" t="str">
        <f>IF(LEN(Table2[[#This Row],[!Description]]) &gt; 0, Table2[[#This Row],[!Description]], "rg:None")</f>
        <v>The MOTI-defined Districts - must match the official MOTI List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93</v>
      </c>
      <c r="B144" s="3" t="s">
        <v>7</v>
      </c>
      <c r="C144" s="3"/>
      <c r="D144" s="3" t="s">
        <v>7</v>
      </c>
      <c r="E144" s="27" t="s">
        <v>294</v>
      </c>
      <c r="F144" s="3" t="s">
        <v>6</v>
      </c>
      <c r="G144" s="4" t="s">
        <v>142</v>
      </c>
      <c r="H144" s="45" t="s">
        <v>142</v>
      </c>
      <c r="I144" s="5" t="str">
        <f t="shared" si="3"/>
        <v>Defs</v>
      </c>
      <c r="J144" t="str">
        <f>IF(Table2[[#This Row],[!Type]]=J$1, J$1,"rg:None")</f>
        <v>rg:None</v>
      </c>
      <c r="K144" t="str">
        <f>IF(Table2[[#This Row],[!Type]]=K$1, K$1,"rg:None")</f>
        <v>rg:None</v>
      </c>
      <c r="L144" t="str">
        <f>IF(Table2[[#This Row],[!Type]]=L$1, L$1,"rg:None")</f>
        <v>rg:None</v>
      </c>
      <c r="M144" t="str">
        <f>IF(Table2[[#This Row],[!Type]]=M$1, M$1,"rg:None")</f>
        <v>id</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id</v>
      </c>
      <c r="V144" s="10" t="str">
        <f>IF(LEN(Table2[[#This Row],[!Description]]) &gt; 0, Table2[[#This Row],[!Description]], "rg:None")</f>
        <v>A system-generated unique identifier for a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rg:True</v>
      </c>
    </row>
    <row r="145" spans="1:25" x14ac:dyDescent="0.3">
      <c r="A145" s="3" t="s">
        <v>93</v>
      </c>
      <c r="B145" s="3" t="s">
        <v>33</v>
      </c>
      <c r="C145" s="3"/>
      <c r="D145" s="3" t="s">
        <v>94</v>
      </c>
      <c r="E145" s="27" t="s">
        <v>95</v>
      </c>
      <c r="F145" s="3" t="s">
        <v>6</v>
      </c>
      <c r="G145" s="45" t="s">
        <v>142</v>
      </c>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integer</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ministryDistrictID</v>
      </c>
      <c r="V145" s="10" t="str">
        <f>IF(LEN(Table2[[#This Row],[!Description]]) &gt; 0, Table2[[#This Row],[!Description]], "rg:None")</f>
        <v>The Ministry ID for the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x14ac:dyDescent="0.3">
      <c r="A146" s="3" t="s">
        <v>93</v>
      </c>
      <c r="B146" s="3" t="s">
        <v>8</v>
      </c>
      <c r="C146" s="3">
        <v>255</v>
      </c>
      <c r="D146" s="3" t="s">
        <v>46</v>
      </c>
      <c r="E146" s="27" t="s">
        <v>96</v>
      </c>
      <c r="F146" s="3" t="s">
        <v>6</v>
      </c>
      <c r="G146" s="45" t="s">
        <v>142</v>
      </c>
      <c r="H146" s="4"/>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10">
        <f>IF(LEN(Table2[[#This Row],[!Length]]) &gt; 0, Table2[[#This Row],[!Length]], "rg:None")</f>
        <v>255</v>
      </c>
      <c r="U146" s="10" t="str">
        <f>IF(LEN(Table2[[#This Row],[!Name]]) &gt; 0, Table2[[#This Row],[!Name]], "rg:None")</f>
        <v>name</v>
      </c>
      <c r="V146" s="10" t="str">
        <f>IF(LEN(Table2[[#This Row],[!Description]]) &gt; 0, Table2[[#This Row],[!Description]], "rg:None")</f>
        <v>The name of the District</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93</v>
      </c>
      <c r="B147" s="3" t="s">
        <v>9</v>
      </c>
      <c r="C147" s="3"/>
      <c r="D147" s="3" t="s">
        <v>97</v>
      </c>
      <c r="E147" s="27" t="s">
        <v>98</v>
      </c>
      <c r="F147" s="3" t="s">
        <v>87</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ref</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region</v>
      </c>
      <c r="V147" s="10" t="str">
        <f>IF(LEN(Table2[[#This Row],[!Description]]) &gt; 0, Table2[[#This Row],[!Description]], "rg:None")</f>
        <v>The region in which the District is found.</v>
      </c>
      <c r="W147" s="10" t="str">
        <f>IF(LEN(Table2[[#This Row],[!FK]])&gt;0,Table2[[#This Row],[!FK]],"rg:None")</f>
        <v>Region</v>
      </c>
      <c r="X147" s="10" t="str">
        <f>IF(LEN(concatif2(A:A,Table2[[#This Row],[!Table]],G:G,"Y",D:D,",")) &gt; 0,"rg:[ { 'req' : '"&amp;concatif2(A:A,Table2[[#This Row],[!Table]],G:G,"Y",D:D,"' }, { 'req': '")&amp;"'} ]","rg:[]")</f>
        <v>rg:[ { 'req' : 'id' }, { 'req': 'ministryDistrictID' }, { 'req': 'name'} ]</v>
      </c>
      <c r="Y147" s="10" t="str">
        <f>IF(LEN(Table2[[#This Row],[!Unique]])&gt;0,"rg:True","rg:None")</f>
        <v>rg:None</v>
      </c>
    </row>
    <row r="148" spans="1:25" x14ac:dyDescent="0.3">
      <c r="A148" s="3" t="s">
        <v>93</v>
      </c>
      <c r="B148" s="3" t="s">
        <v>25</v>
      </c>
      <c r="C148" s="3"/>
      <c r="D148" s="3" t="s">
        <v>91</v>
      </c>
      <c r="E148" s="43" t="s">
        <v>360</v>
      </c>
      <c r="F148" s="3" t="s">
        <v>6</v>
      </c>
      <c r="G148" s="4"/>
      <c r="H148" s="4"/>
      <c r="I148" s="5" t="str">
        <f t="shared" si="3"/>
        <v>Defs</v>
      </c>
      <c r="J148" t="str">
        <f>IF(Table2[[#This Row],[!Type]]=J$1, J$1,"rg:None")</f>
        <v>rg:None</v>
      </c>
      <c r="K148" t="str">
        <f>IF(Table2[[#This Row],[!Type]]=K$1, K$1,"rg:None")</f>
        <v>rg:None</v>
      </c>
      <c r="L148" t="str">
        <f>IF(Table2[[#This Row],[!Type]]=L$1, L$1,"rg:None")</f>
        <v>datetime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startDate</v>
      </c>
      <c r="V148" s="10" t="str">
        <f>IF(LEN(Table2[[#This Row],[!Description]]) &gt; 0, Table2[[#This Row],[!Description]], "rg:None")</f>
        <v>The effective date of the District record - NOT CURRENTLY ENFORCED IN SCHOOL BUS</v>
      </c>
      <c r="W148" s="10" t="str">
        <f>IF(LEN(Table2[[#This Row],[!FK]])&gt;0,Table2[[#This Row],[!FK]],"rg:None")</f>
        <v>rg:None</v>
      </c>
      <c r="X148" s="10" t="str">
        <f>IF(LEN(concatif2(A:A,Table2[[#This Row],[!Table]],G:G,"Y",D:D,",")) &gt; 0,"rg:[ { 'req' : '"&amp;concatif2(A:A,Table2[[#This Row],[!Table]],G:G,"Y",D:D,"' }, { 'req': '")&amp;"'} ]","rg:[]")</f>
        <v>rg:[ { 'req' : 'id' }, { 'req': 'ministryDistrictID' }, { 'req': 'name'} ]</v>
      </c>
      <c r="Y148" s="10" t="str">
        <f>IF(LEN(Table2[[#This Row],[!Unique]])&gt;0,"rg:True","rg:None")</f>
        <v>rg:None</v>
      </c>
    </row>
    <row r="149" spans="1:25" x14ac:dyDescent="0.3">
      <c r="A149" s="3" t="s">
        <v>93</v>
      </c>
      <c r="B149" s="3" t="s">
        <v>25</v>
      </c>
      <c r="C149" s="3"/>
      <c r="D149" s="3" t="s">
        <v>92</v>
      </c>
      <c r="E149" s="43" t="s">
        <v>361</v>
      </c>
      <c r="F149" s="3" t="s">
        <v>6</v>
      </c>
      <c r="G149" s="4"/>
      <c r="H149" s="4"/>
      <c r="I149" s="5" t="str">
        <f t="shared" si="3"/>
        <v>Defs</v>
      </c>
      <c r="J149" t="str">
        <f>IF(Table2[[#This Row],[!Type]]=J$1, J$1,"rg:None")</f>
        <v>rg:None</v>
      </c>
      <c r="K149" t="str">
        <f>IF(Table2[[#This Row],[!Type]]=K$1, K$1,"rg:None")</f>
        <v>rg:None</v>
      </c>
      <c r="L149" t="str">
        <f>IF(Table2[[#This Row],[!Type]]=L$1, L$1,"rg:None")</f>
        <v>datetime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endDate</v>
      </c>
      <c r="V149" s="10" t="str">
        <f>IF(LEN(Table2[[#This Row],[!Description]]) &gt; 0, Table2[[#This Row],[!Description]], "rg:None")</f>
        <v>The end date of the District record; null if active - NOT CURRENTLY ENFORCED IN SCHOOL BUS</v>
      </c>
      <c r="W149" s="10" t="str">
        <f>IF(LEN(Table2[[#This Row],[!FK]])&gt;0,Table2[[#This Row],[!FK]],"rg:None")</f>
        <v>rg:None</v>
      </c>
      <c r="X149" s="10" t="str">
        <f>IF(LEN(concatif2(A:A,Table2[[#This Row],[!Table]],G:G,"Y",D:D,",")) &gt; 0,"rg:[ { 'req' : '"&amp;concatif2(A:A,Table2[[#This Row],[!Table]],G:G,"Y",D:D,"' }, { 'req': '")&amp;"'} ]","rg:[]")</f>
        <v>rg:[ { 'req' : 'id' }, { 'req': 'ministryDistrictID' }, { 'req': 'name'} ]</v>
      </c>
      <c r="Y149" s="10" t="str">
        <f>IF(LEN(Table2[[#This Row],[!Unique]])&gt;0,"rg:True","rg:None")</f>
        <v>rg:None</v>
      </c>
    </row>
    <row r="150" spans="1:25" x14ac:dyDescent="0.3">
      <c r="A150" s="3" t="s">
        <v>16</v>
      </c>
      <c r="B150" s="3" t="s">
        <v>5</v>
      </c>
      <c r="C150" s="3"/>
      <c r="D150" s="3" t="s">
        <v>16</v>
      </c>
      <c r="E150" s="43" t="s">
        <v>362</v>
      </c>
      <c r="F150" s="3" t="s">
        <v>6</v>
      </c>
      <c r="G150" s="4"/>
      <c r="H150" s="4"/>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table</v>
      </c>
      <c r="T150" s="10" t="str">
        <f>IF(LEN(Table2[[#This Row],[!Length]]) &gt; 0, Table2[[#This Row],[!Length]], "rg:None")</f>
        <v>rg:None</v>
      </c>
      <c r="U150" s="10" t="str">
        <f>IF(LEN(Table2[[#This Row],[!Name]]) &gt; 0, Table2[[#This Row],[!Name]], "rg:None")</f>
        <v>ServiceArea</v>
      </c>
      <c r="V150" s="10" t="str">
        <f>IF(LEN(Table2[[#This Row],[!Description]]) &gt; 0, Table2[[#This Row],[!Description]], "rg:None")</f>
        <v>The MOTI-defined Service Areas - must match the official MOTI List</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7</v>
      </c>
      <c r="C151" s="3"/>
      <c r="D151" s="3" t="s">
        <v>7</v>
      </c>
      <c r="E151" s="27" t="s">
        <v>295</v>
      </c>
      <c r="F151" s="3" t="s">
        <v>6</v>
      </c>
      <c r="G151" s="4" t="s">
        <v>142</v>
      </c>
      <c r="H151" s="45" t="s">
        <v>142</v>
      </c>
      <c r="I151" s="5" t="str">
        <f t="shared" si="3"/>
        <v>Defs</v>
      </c>
      <c r="J151" t="str">
        <f>IF(Table2[[#This Row],[!Type]]=J$1, J$1,"rg:None")</f>
        <v>rg:None</v>
      </c>
      <c r="K151" t="str">
        <f>IF(Table2[[#This Row],[!Type]]=K$1, K$1,"rg:None")</f>
        <v>rg:None</v>
      </c>
      <c r="L151" t="str">
        <f>IF(Table2[[#This Row],[!Type]]=L$1, L$1,"rg:None")</f>
        <v>rg:None</v>
      </c>
      <c r="M151" t="str">
        <f>IF(Table2[[#This Row],[!Type]]=M$1, M$1,"rg:None")</f>
        <v>id</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id</v>
      </c>
      <c r="V151" s="10" t="str">
        <f>IF(LEN(Table2[[#This Row],[!Description]]) &gt; 0, Table2[[#This Row],[!Description]], "rg:None")</f>
        <v>A system-generated unique identifier for a ServiceArea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rg:True</v>
      </c>
    </row>
    <row r="152" spans="1:25" x14ac:dyDescent="0.3">
      <c r="A152" s="3" t="s">
        <v>16</v>
      </c>
      <c r="B152" s="3" t="s">
        <v>33</v>
      </c>
      <c r="C152" s="3"/>
      <c r="D152" s="3" t="s">
        <v>99</v>
      </c>
      <c r="E152" s="27" t="s">
        <v>100</v>
      </c>
      <c r="F152" s="3" t="s">
        <v>6</v>
      </c>
      <c r="G152" s="45" t="s">
        <v>142</v>
      </c>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integer</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ministryServiceAreaID</v>
      </c>
      <c r="V152" s="10" t="str">
        <f>IF(LEN(Table2[[#This Row],[!Description]]) &gt; 0, Table2[[#This Row],[!Description]], "rg:None")</f>
        <v>The Ministry ID for the Service 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x14ac:dyDescent="0.3">
      <c r="A153" s="3" t="s">
        <v>16</v>
      </c>
      <c r="B153" s="3" t="s">
        <v>8</v>
      </c>
      <c r="C153" s="3">
        <v>255</v>
      </c>
      <c r="D153" s="3" t="s">
        <v>46</v>
      </c>
      <c r="E153" s="27" t="s">
        <v>101</v>
      </c>
      <c r="F153" s="3" t="s">
        <v>6</v>
      </c>
      <c r="G153" s="45" t="s">
        <v>142</v>
      </c>
      <c r="H153" s="4"/>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string</v>
      </c>
      <c r="S153" s="5" t="str">
        <f>IF(Table2[[#This Row],[!Type]]=S$1, S$1,"rg:None")</f>
        <v>rg:None</v>
      </c>
      <c r="T153" s="10">
        <f>IF(LEN(Table2[[#This Row],[!Length]]) &gt; 0, Table2[[#This Row],[!Length]], "rg:None")</f>
        <v>255</v>
      </c>
      <c r="U153" s="10" t="str">
        <f>IF(LEN(Table2[[#This Row],[!Name]]) &gt; 0, Table2[[#This Row],[!Name]], "rg:None")</f>
        <v>name</v>
      </c>
      <c r="V153" s="10" t="str">
        <f>IF(LEN(Table2[[#This Row],[!Description]]) &gt; 0, Table2[[#This Row],[!Description]], "rg:None")</f>
        <v>The name of the Service Area</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16</v>
      </c>
      <c r="B154" s="3" t="s">
        <v>9</v>
      </c>
      <c r="C154" s="3"/>
      <c r="D154" s="3" t="s">
        <v>102</v>
      </c>
      <c r="E154" s="27" t="s">
        <v>103</v>
      </c>
      <c r="F154" s="3" t="s">
        <v>93</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ref</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district</v>
      </c>
      <c r="V154" s="10" t="str">
        <f>IF(LEN(Table2[[#This Row],[!Description]]) &gt; 0, Table2[[#This Row],[!Description]], "rg:None")</f>
        <v>The district in which the Service Area is found.</v>
      </c>
      <c r="W154" s="10" t="str">
        <f>IF(LEN(Table2[[#This Row],[!FK]])&gt;0,Table2[[#This Row],[!FK]],"rg:None")</f>
        <v>District</v>
      </c>
      <c r="X154" s="10" t="str">
        <f>IF(LEN(concatif2(A:A,Table2[[#This Row],[!Table]],G:G,"Y",D:D,",")) &gt; 0,"rg:[ { 'req' : '"&amp;concatif2(A:A,Table2[[#This Row],[!Table]],G:G,"Y",D:D,"' }, { 'req': '")&amp;"'} ]","rg:[]")</f>
        <v>rg:[ { 'req' : 'id' }, { 'req': 'ministryServiceAreaID' }, { 'req': 'name'} ]</v>
      </c>
      <c r="Y154" s="10" t="str">
        <f>IF(LEN(Table2[[#This Row],[!Unique]])&gt;0,"rg:True","rg:None")</f>
        <v>rg:None</v>
      </c>
    </row>
    <row r="155" spans="1:25" x14ac:dyDescent="0.3">
      <c r="A155" s="3" t="s">
        <v>16</v>
      </c>
      <c r="B155" s="3" t="s">
        <v>25</v>
      </c>
      <c r="C155" s="3"/>
      <c r="D155" s="3" t="s">
        <v>91</v>
      </c>
      <c r="E155" s="43" t="s">
        <v>363</v>
      </c>
      <c r="F155" s="3" t="s">
        <v>6</v>
      </c>
      <c r="G155" s="4"/>
      <c r="H155" s="4"/>
      <c r="I155" s="5" t="str">
        <f t="shared" si="3"/>
        <v>Defs</v>
      </c>
      <c r="J155" t="str">
        <f>IF(Table2[[#This Row],[!Type]]=J$1, J$1,"rg:None")</f>
        <v>rg:None</v>
      </c>
      <c r="K155" t="str">
        <f>IF(Table2[[#This Row],[!Type]]=K$1, K$1,"rg:None")</f>
        <v>rg:None</v>
      </c>
      <c r="L155" t="str">
        <f>IF(Table2[[#This Row],[!Type]]=L$1, L$1,"rg:None")</f>
        <v>datetime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startDate</v>
      </c>
      <c r="V155" s="10" t="str">
        <f>IF(LEN(Table2[[#This Row],[!Description]]) &gt; 0, Table2[[#This Row],[!Description]], "rg:None")</f>
        <v>The effective date of the Service Area record - NOT CURRENTLY ENFORCED IN SCHOOL BUS</v>
      </c>
      <c r="W155" s="10" t="str">
        <f>IF(LEN(Table2[[#This Row],[!FK]])&gt;0,Table2[[#This Row],[!FK]],"rg:None")</f>
        <v>rg:None</v>
      </c>
      <c r="X155" s="10" t="str">
        <f>IF(LEN(concatif2(A:A,Table2[[#This Row],[!Table]],G:G,"Y",D:D,",")) &gt; 0,"rg:[ { 'req' : '"&amp;concatif2(A:A,Table2[[#This Row],[!Table]],G:G,"Y",D:D,"' }, { 'req': '")&amp;"'} ]","rg:[]")</f>
        <v>rg:[ { 'req' : 'id' }, { 'req': 'ministryServiceAreaID' }, { 'req': 'name'} ]</v>
      </c>
      <c r="Y155" s="10" t="str">
        <f>IF(LEN(Table2[[#This Row],[!Unique]])&gt;0,"rg:True","rg:None")</f>
        <v>rg:None</v>
      </c>
    </row>
    <row r="156" spans="1:25" x14ac:dyDescent="0.3">
      <c r="A156" s="3" t="s">
        <v>16</v>
      </c>
      <c r="B156" s="3" t="s">
        <v>25</v>
      </c>
      <c r="C156" s="3"/>
      <c r="D156" s="3" t="s">
        <v>92</v>
      </c>
      <c r="E156" s="43" t="s">
        <v>364</v>
      </c>
      <c r="F156" s="3" t="s">
        <v>6</v>
      </c>
      <c r="G156" s="4"/>
      <c r="H156" s="4"/>
      <c r="I156" s="5" t="str">
        <f t="shared" si="3"/>
        <v>Defs</v>
      </c>
      <c r="J156" t="str">
        <f>IF(Table2[[#This Row],[!Type]]=J$1, J$1,"rg:None")</f>
        <v>rg:None</v>
      </c>
      <c r="K156" t="str">
        <f>IF(Table2[[#This Row],[!Type]]=K$1, K$1,"rg:None")</f>
        <v>rg:None</v>
      </c>
      <c r="L156" t="str">
        <f>IF(Table2[[#This Row],[!Type]]=L$1, L$1,"rg:None")</f>
        <v>datetime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endDate</v>
      </c>
      <c r="V156" s="10" t="str">
        <f>IF(LEN(Table2[[#This Row],[!Description]]) &gt; 0, Table2[[#This Row],[!Description]], "rg:None")</f>
        <v>The end date of the Service Area record; null if active - NOT CURRENTLY ENFORCED IN SCHOOL BUS</v>
      </c>
      <c r="W156" s="10" t="str">
        <f>IF(LEN(Table2[[#This Row],[!FK]])&gt;0,Table2[[#This Row],[!FK]],"rg:None")</f>
        <v>rg:None</v>
      </c>
      <c r="X156" s="10" t="str">
        <f>IF(LEN(concatif2(A:A,Table2[[#This Row],[!Table]],G:G,"Y",D:D,",")) &gt; 0,"rg:[ { 'req' : '"&amp;concatif2(A:A,Table2[[#This Row],[!Table]],G:G,"Y",D:D,"' }, { 'req': '")&amp;"'} ]","rg:[]")</f>
        <v>rg:[ { 'req' : 'id' }, { 'req': 'ministryServiceAreaID' }, { 'req': 'name'} ]</v>
      </c>
      <c r="Y156" s="10" t="str">
        <f>IF(LEN(Table2[[#This Row],[!Unique]])&gt;0,"rg:True","rg:None")</f>
        <v>rg:None</v>
      </c>
    </row>
    <row r="157" spans="1:25" x14ac:dyDescent="0.3">
      <c r="A157" s="3" t="s">
        <v>28</v>
      </c>
      <c r="B157" s="3" t="s">
        <v>5</v>
      </c>
      <c r="C157" s="3"/>
      <c r="D157" s="3" t="s">
        <v>28</v>
      </c>
      <c r="E157" s="29" t="s">
        <v>229</v>
      </c>
      <c r="F157" s="3" t="s">
        <v>6</v>
      </c>
      <c r="G157" s="4"/>
      <c r="H157" s="4"/>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10" t="str">
        <f>IF(LEN(Table2[[#This Row],[!Length]]) &gt; 0, Table2[[#This Row],[!Length]], "rg:None")</f>
        <v>rg:None</v>
      </c>
      <c r="U157" s="10" t="str">
        <f>IF(LEN(Table2[[#This Row],[!Name]]) &gt; 0, Table2[[#This Row],[!Name]], "rg:None")</f>
        <v>SchoolDistrict</v>
      </c>
      <c r="V157" s="10" t="str">
        <f>IF(LEN(Table2[[#This Row],[!Description]]) &gt; 0, Table2[[#This Row],[!Description]], "rg:None")</f>
        <v>A list of School Districts in the Province of BC. Authoritative source to be determined.</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x14ac:dyDescent="0.3">
      <c r="A158" s="3" t="s">
        <v>28</v>
      </c>
      <c r="B158" s="3" t="s">
        <v>7</v>
      </c>
      <c r="C158" s="3"/>
      <c r="D158" s="3" t="s">
        <v>7</v>
      </c>
      <c r="E158" s="27" t="s">
        <v>296</v>
      </c>
      <c r="F158" s="3" t="s">
        <v>6</v>
      </c>
      <c r="G158" s="4" t="s">
        <v>142</v>
      </c>
      <c r="H158" s="45" t="s">
        <v>142</v>
      </c>
      <c r="I158" s="5" t="str">
        <f t="shared" si="3"/>
        <v>Defs</v>
      </c>
      <c r="J158" t="str">
        <f>IF(Table2[[#This Row],[!Type]]=J$1, J$1,"rg:None")</f>
        <v>rg:None</v>
      </c>
      <c r="K158" t="str">
        <f>IF(Table2[[#This Row],[!Type]]=K$1, K$1,"rg:None")</f>
        <v>rg:None</v>
      </c>
      <c r="L158" t="str">
        <f>IF(Table2[[#This Row],[!Type]]=L$1, L$1,"rg:None")</f>
        <v>rg:None</v>
      </c>
      <c r="M158" t="str">
        <f>IF(Table2[[#This Row],[!Type]]=M$1, M$1,"rg:None")</f>
        <v>id</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10" t="str">
        <f>IF(LEN(Table2[[#This Row],[!Length]]) &gt; 0, Table2[[#This Row],[!Length]], "rg:None")</f>
        <v>rg:None</v>
      </c>
      <c r="U158" s="10" t="str">
        <f>IF(LEN(Table2[[#This Row],[!Name]]) &gt; 0, Table2[[#This Row],[!Name]], "rg:None")</f>
        <v>id</v>
      </c>
      <c r="V158" s="10" t="str">
        <f>IF(LEN(Table2[[#This Row],[!Description]]) &gt; 0, Table2[[#This Row],[!Description]], "rg:None")</f>
        <v>A system-generated unique identifier for a SchoolDistrict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rg:True</v>
      </c>
    </row>
    <row r="159" spans="1:25" x14ac:dyDescent="0.3">
      <c r="A159" s="3" t="s">
        <v>28</v>
      </c>
      <c r="B159" s="3" t="s">
        <v>8</v>
      </c>
      <c r="C159" s="3">
        <v>255</v>
      </c>
      <c r="D159" s="3" t="s">
        <v>46</v>
      </c>
      <c r="E159" s="27" t="s">
        <v>104</v>
      </c>
      <c r="F159" s="3" t="s">
        <v>6</v>
      </c>
      <c r="G159" s="45" t="s">
        <v>142</v>
      </c>
      <c r="H159" s="45" t="s">
        <v>142</v>
      </c>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10">
        <f>IF(LEN(Table2[[#This Row],[!Length]]) &gt; 0, Table2[[#This Row],[!Length]], "rg:None")</f>
        <v>255</v>
      </c>
      <c r="U159" s="10" t="str">
        <f>IF(LEN(Table2[[#This Row],[!Name]]) &gt; 0, Table2[[#This Row],[!Name]], "rg:None")</f>
        <v>name</v>
      </c>
      <c r="V159" s="10" t="str">
        <f>IF(LEN(Table2[[#This Row],[!Description]]) &gt; 0, Table2[[#This Row],[!Description]], "rg:None")</f>
        <v>The full name of the School District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rg:True</v>
      </c>
    </row>
    <row r="160" spans="1:25" x14ac:dyDescent="0.3">
      <c r="A160" s="3" t="s">
        <v>28</v>
      </c>
      <c r="B160" s="3" t="s">
        <v>8</v>
      </c>
      <c r="C160" s="3">
        <v>255</v>
      </c>
      <c r="D160" s="3" t="s">
        <v>105</v>
      </c>
      <c r="E160" s="27" t="s">
        <v>106</v>
      </c>
      <c r="F160" s="3" t="s">
        <v>6</v>
      </c>
      <c r="G160" s="45" t="s">
        <v>142</v>
      </c>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shortName</v>
      </c>
      <c r="V160" s="10" t="str">
        <f>IF(LEN(Table2[[#This Row],[!Description]]) &gt; 0, Table2[[#This Row],[!Description]], "rg:None")</f>
        <v>A short name for the School District useful in some areas of the UI. Usually with format \&amp;quot;SD 61\&amp;quot;.</v>
      </c>
      <c r="W160" s="10" t="str">
        <f>IF(LEN(Table2[[#This Row],[!FK]])&gt;0,Table2[[#This Row],[!FK]],"rg:None")</f>
        <v>rg:None</v>
      </c>
      <c r="X160" s="10" t="str">
        <f>IF(LEN(concatif2(A:A,Table2[[#This Row],[!Table]],G:G,"Y",D:D,",")) &gt; 0,"rg:[ { 'req' : '"&amp;concatif2(A:A,Table2[[#This Row],[!Table]],G:G,"Y",D:D,"' }, { 'req': '")&amp;"'} ]","rg:[]")</f>
        <v>rg:[ { 'req' : 'id' }, { 'req': 'name' }, { 'req': 'shortName'} ]</v>
      </c>
      <c r="Y160" s="10" t="str">
        <f>IF(LEN(Table2[[#This Row],[!Unique]])&gt;0,"rg:True","rg:None")</f>
        <v>rg:None</v>
      </c>
    </row>
    <row r="161" spans="1:25" x14ac:dyDescent="0.3">
      <c r="A161" s="3" t="s">
        <v>19</v>
      </c>
      <c r="B161" s="3" t="s">
        <v>5</v>
      </c>
      <c r="C161" s="3"/>
      <c r="D161" s="3" t="s">
        <v>19</v>
      </c>
      <c r="E161" s="27" t="s">
        <v>180</v>
      </c>
      <c r="F161" s="3" t="s">
        <v>6</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table</v>
      </c>
      <c r="T161" s="10" t="str">
        <f>IF(LEN(Table2[[#This Row],[!Length]]) &gt; 0, Table2[[#This Row],[!Length]], "rg:None")</f>
        <v>rg:None</v>
      </c>
      <c r="U161" s="10" t="str">
        <f>IF(LEN(Table2[[#This Row],[!Name]]) &gt; 0, Table2[[#This Row],[!Name]], "rg:None")</f>
        <v>City</v>
      </c>
      <c r="V161" s="10" t="str">
        <f>IF(LEN(Table2[[#This Row],[!Description]]) &gt; 0, Table2[[#This Row],[!Description]], "rg:None")</f>
        <v>A list of cities in BC. Authoritative source to be determined.</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x14ac:dyDescent="0.3">
      <c r="A162" s="3" t="s">
        <v>19</v>
      </c>
      <c r="B162" s="3" t="s">
        <v>7</v>
      </c>
      <c r="C162" s="3"/>
      <c r="D162" s="3" t="s">
        <v>7</v>
      </c>
      <c r="E162" s="27" t="s">
        <v>297</v>
      </c>
      <c r="F162" s="3" t="s">
        <v>6</v>
      </c>
      <c r="G162" s="4" t="s">
        <v>142</v>
      </c>
      <c r="H162" s="45" t="s">
        <v>142</v>
      </c>
      <c r="I162" s="5" t="str">
        <f t="shared" si="3"/>
        <v>Defs</v>
      </c>
      <c r="J162" t="str">
        <f>IF(Table2[[#This Row],[!Type]]=J$1, J$1,"rg:None")</f>
        <v>rg:None</v>
      </c>
      <c r="K162" t="str">
        <f>IF(Table2[[#This Row],[!Type]]=K$1, K$1,"rg:None")</f>
        <v>rg:None</v>
      </c>
      <c r="L162" t="str">
        <f>IF(Table2[[#This Row],[!Type]]=L$1, L$1,"rg:None")</f>
        <v>rg:None</v>
      </c>
      <c r="M162" t="str">
        <f>IF(Table2[[#This Row],[!Type]]=M$1, M$1,"rg:None")</f>
        <v>id</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id</v>
      </c>
      <c r="V162" s="10" t="str">
        <f>IF(LEN(Table2[[#This Row],[!Description]]) &gt; 0, Table2[[#This Row],[!Description]], "rg:None")</f>
        <v>A system-generated unique identifier for a City</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rg:True</v>
      </c>
    </row>
    <row r="163" spans="1:25" x14ac:dyDescent="0.3">
      <c r="A163" s="3" t="s">
        <v>19</v>
      </c>
      <c r="B163" s="3" t="s">
        <v>8</v>
      </c>
      <c r="C163" s="3">
        <v>255</v>
      </c>
      <c r="D163" s="3" t="s">
        <v>46</v>
      </c>
      <c r="E163" s="27" t="s">
        <v>107</v>
      </c>
      <c r="F163" s="3" t="s">
        <v>6</v>
      </c>
      <c r="G163" s="4"/>
      <c r="H163" s="4"/>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10">
        <f>IF(LEN(Table2[[#This Row],[!Length]]) &gt; 0, Table2[[#This Row],[!Length]], "rg:None")</f>
        <v>255</v>
      </c>
      <c r="U163" s="10" t="str">
        <f>IF(LEN(Table2[[#This Row],[!Name]]) &gt; 0, Table2[[#This Row],[!Name]], "rg:None")</f>
        <v>name</v>
      </c>
      <c r="V163" s="10" t="str">
        <f>IF(LEN(Table2[[#This Row],[!Description]]) &gt; 0, Table2[[#This Row],[!Description]], "rg:None")</f>
        <v>The name of the City</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row>
    <row r="164" spans="1:25" x14ac:dyDescent="0.3">
      <c r="A164" s="38" t="s">
        <v>19</v>
      </c>
      <c r="B164" s="38" t="s">
        <v>8</v>
      </c>
      <c r="C164" s="3">
        <v>255</v>
      </c>
      <c r="D164" s="38" t="s">
        <v>67</v>
      </c>
      <c r="E164" s="38" t="s">
        <v>310</v>
      </c>
      <c r="F164" s="6"/>
      <c r="G164" s="19"/>
      <c r="H164" s="19"/>
      <c r="I164" s="4" t="str">
        <f>IF(LEN(A164) &gt; 0,"Defs","-")</f>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16">
        <f>IF(LEN(Table2[[#This Row],[!Length]]) &gt; 0, Table2[[#This Row],[!Length]], "rg:None")</f>
        <v>255</v>
      </c>
      <c r="U164" s="16" t="str">
        <f>IF(LEN(Table2[[#This Row],[!Name]]) &gt; 0, Table2[[#This Row],[!Name]], "rg:None")</f>
        <v>province</v>
      </c>
      <c r="V164" s="16" t="str">
        <f>IF(LEN(Table2[[#This Row],[!Description]]) &gt; 0, Table2[[#This Row],[!Description]], "rg:None")</f>
        <v>The name of the province of the city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x14ac:dyDescent="0.3">
      <c r="A165" s="56" t="s">
        <v>417</v>
      </c>
      <c r="B165" s="56" t="s">
        <v>5</v>
      </c>
      <c r="C165" s="3"/>
      <c r="D165" s="56" t="s">
        <v>417</v>
      </c>
      <c r="E165" s="56" t="s">
        <v>418</v>
      </c>
      <c r="F165" s="6"/>
      <c r="G165" s="19"/>
      <c r="H165" s="19"/>
      <c r="I165" s="4" t="str">
        <f t="shared" ref="I165:I170" si="5">IF(LEN(A165) &gt; 0,"Defs","-")</f>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16" t="str">
        <f>IF(LEN(Table2[[#This Row],[!Length]]) &gt; 0, Table2[[#This Row],[!Length]], "rg:None")</f>
        <v>rg:None</v>
      </c>
      <c r="U165" s="16" t="str">
        <f>IF(LEN(Table2[[#This Row],[!Name]]) &gt; 0, Table2[[#This Row],[!Name]], "rg:None")</f>
        <v>CCWJurisdiction</v>
      </c>
      <c r="V165" s="16" t="str">
        <f>IF(LEN(Table2[[#This Row],[!Description]]) &gt; 0, Table2[[#This Row],[!Description]], "rg:None")</f>
        <v>The contents of the Jurisdiction table from CCW so that the user can select a Jurisdiction for passing to CCW on certain Out of Province School Bus Web Service calls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x14ac:dyDescent="0.3">
      <c r="A166" s="56" t="s">
        <v>417</v>
      </c>
      <c r="B166" s="56" t="s">
        <v>7</v>
      </c>
      <c r="C166" s="3"/>
      <c r="D166" s="56" t="s">
        <v>7</v>
      </c>
      <c r="E166" s="57" t="s">
        <v>420</v>
      </c>
      <c r="F166" s="6"/>
      <c r="G166" s="60" t="s">
        <v>142</v>
      </c>
      <c r="H166" s="60" t="s">
        <v>142</v>
      </c>
      <c r="I166" s="4" t="str">
        <f t="shared" si="5"/>
        <v>Defs</v>
      </c>
      <c r="J166" s="16" t="str">
        <f>IF(Table2[[#This Row],[!Type]]=J$1, J$1,"rg:None")</f>
        <v>rg:None</v>
      </c>
      <c r="K166" s="33" t="str">
        <f>IF(Table2[[#This Row],[!Type]]=K$1, K$1,"rg:None")</f>
        <v>rg:None</v>
      </c>
      <c r="L166" s="16" t="str">
        <f>IF(Table2[[#This Row],[!Type]]=L$1, L$1,"rg:None")</f>
        <v>rg:None</v>
      </c>
      <c r="M166" s="16" t="str">
        <f>IF(Table2[[#This Row],[!Type]]=M$1, M$1,"rg:None")</f>
        <v>id</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id</v>
      </c>
      <c r="V166" s="16" t="str">
        <f>IF(LEN(Table2[[#This Row],[!Description]]) &gt; 0, Table2[[#This Row],[!Description]], "rg:None")</f>
        <v>A system-generated unique identifier for a CCWJurisdiction</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rg:True</v>
      </c>
    </row>
    <row r="167" spans="1:25" x14ac:dyDescent="0.3">
      <c r="A167" s="56" t="s">
        <v>417</v>
      </c>
      <c r="B167" s="56" t="s">
        <v>33</v>
      </c>
      <c r="C167" s="3"/>
      <c r="D167" s="56" t="s">
        <v>419</v>
      </c>
      <c r="E167" s="56" t="s">
        <v>421</v>
      </c>
      <c r="F167" s="6"/>
      <c r="G167" s="19"/>
      <c r="H167" s="19"/>
      <c r="I167" s="4" t="str">
        <f t="shared" si="5"/>
        <v>Defs</v>
      </c>
      <c r="J167" s="16" t="str">
        <f>IF(Table2[[#This Row],[!Type]]=J$1, J$1,"rg:None")</f>
        <v>rg:None</v>
      </c>
      <c r="K167" s="33" t="str">
        <f>IF(Table2[[#This Row],[!Type]]=K$1, K$1,"rg:None")</f>
        <v>rg:None</v>
      </c>
      <c r="L167" s="16" t="str">
        <f>IF(Table2[[#This Row],[!Type]]=L$1, L$1,"rg:None")</f>
        <v>rg:None</v>
      </c>
      <c r="M167" s="16" t="str">
        <f>IF(Table2[[#This Row],[!Type]]=M$1, M$1,"rg:None")</f>
        <v>rg:None</v>
      </c>
      <c r="N167" s="16" t="str">
        <f>IF(Table2[[#This Row],[!Type]]=N$1, N$1,"rg:None")</f>
        <v>integer</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jurisdictionId</v>
      </c>
      <c r="V167" s="16" t="str">
        <f>IF(LEN(Table2[[#This Row],[!Description]]) &gt; 0, Table2[[#This Row],[!Description]], "rg:None")</f>
        <v>The CCW system-generated unique identifier for a CCWJurisdiction. Needed for updating the table from CCW if necessary.</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x14ac:dyDescent="0.3">
      <c r="A168" s="56" t="s">
        <v>417</v>
      </c>
      <c r="B168" s="56" t="s">
        <v>25</v>
      </c>
      <c r="C168" s="3"/>
      <c r="D168" s="56" t="s">
        <v>131</v>
      </c>
      <c r="E168" s="57" t="s">
        <v>422</v>
      </c>
      <c r="F168" s="6"/>
      <c r="G168" s="19"/>
      <c r="H168" s="19"/>
      <c r="I168" s="4" t="str">
        <f t="shared" si="5"/>
        <v>Defs</v>
      </c>
      <c r="J168" s="16" t="str">
        <f>IF(Table2[[#This Row],[!Type]]=J$1, J$1,"rg:None")</f>
        <v>rg:None</v>
      </c>
      <c r="K168" s="33" t="str">
        <f>IF(Table2[[#This Row],[!Type]]=K$1, K$1,"rg:None")</f>
        <v>rg:None</v>
      </c>
      <c r="L168" s="16" t="str">
        <f>IF(Table2[[#This Row],[!Type]]=L$1, L$1,"rg:None")</f>
        <v>datetime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effectiveDate</v>
      </c>
      <c r="V168" s="16" t="str">
        <f>IF(LEN(Table2[[#This Row],[!Description]]) &gt; 0, Table2[[#This Row],[!Description]], "rg:None")</f>
        <v>The effective date of the CCWJurisdiction record -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
      <c r="A169" s="56" t="s">
        <v>417</v>
      </c>
      <c r="B169" s="56" t="s">
        <v>25</v>
      </c>
      <c r="C169" s="3"/>
      <c r="D169" s="56" t="s">
        <v>132</v>
      </c>
      <c r="E169" s="57" t="s">
        <v>423</v>
      </c>
      <c r="F169" s="6"/>
      <c r="G169" s="19"/>
      <c r="H169" s="19"/>
      <c r="I169" s="4" t="str">
        <f t="shared" si="5"/>
        <v>Defs</v>
      </c>
      <c r="J169" s="16" t="str">
        <f>IF(Table2[[#This Row],[!Type]]=J$1, J$1,"rg:None")</f>
        <v>rg:None</v>
      </c>
      <c r="K169" s="33" t="str">
        <f>IF(Table2[[#This Row],[!Type]]=K$1, K$1,"rg:None")</f>
        <v>rg:None</v>
      </c>
      <c r="L169" s="16" t="str">
        <f>IF(Table2[[#This Row],[!Type]]=L$1, L$1,"rg:None")</f>
        <v>datetime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expiryDate</v>
      </c>
      <c r="V169" s="16" t="str">
        <f>IF(LEN(Table2[[#This Row],[!Description]]) &gt; 0, Table2[[#This Row],[!Description]], "rg:None")</f>
        <v>The end date of the CCWJurisdiction record; null if active -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
      <c r="A170" s="56" t="s">
        <v>417</v>
      </c>
      <c r="B170" s="56" t="s">
        <v>14</v>
      </c>
      <c r="C170" s="3"/>
      <c r="D170" s="56" t="s">
        <v>424</v>
      </c>
      <c r="E170" s="56" t="s">
        <v>425</v>
      </c>
      <c r="F170" s="6"/>
      <c r="G170" s="19"/>
      <c r="H170" s="19"/>
      <c r="I170" s="4" t="str">
        <f t="shared" si="5"/>
        <v>Defs</v>
      </c>
      <c r="J170" s="16" t="str">
        <f>IF(Table2[[#This Row],[!Type]]=J$1, J$1,"rg:None")</f>
        <v>boolean</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16" t="str">
        <f>IF(LEN(Table2[[#This Row],[!Length]]) &gt; 0, Table2[[#This Row],[!Length]], "rg:None")</f>
        <v>rg:None</v>
      </c>
      <c r="U170" s="16" t="str">
        <f>IF(LEN(Table2[[#This Row],[!Name]]) &gt; 0, Table2[[#This Row],[!Name]], "rg:None")</f>
        <v>activeFlag</v>
      </c>
      <c r="V170" s="16" t="str">
        <f>IF(LEN(Table2[[#This Row],[!Description]]) &gt; 0, Table2[[#This Row],[!Description]], "rg:None")</f>
        <v>Flag from CCW indicating if the record is still active - Y indicating it is active. NOT CURRENTLY ENFORCED IN SCHOOL BUS</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x14ac:dyDescent="0.3">
      <c r="A171" s="56" t="s">
        <v>417</v>
      </c>
      <c r="B171" s="56" t="s">
        <v>8</v>
      </c>
      <c r="C171" s="3">
        <v>10</v>
      </c>
      <c r="D171" s="56" t="s">
        <v>138</v>
      </c>
      <c r="E171" s="56" t="s">
        <v>426</v>
      </c>
      <c r="F171" s="6"/>
      <c r="G171" s="19"/>
      <c r="H171" s="19"/>
      <c r="I171" s="4" t="str">
        <f t="shared" ref="I171:I172" si="6">IF(LEN(A171) &gt; 0,"Defs","-")</f>
        <v>Defs</v>
      </c>
      <c r="J171" s="16" t="str">
        <f>IF(Table2[[#This Row],[!Type]]=J$1, J$1,"rg:None")</f>
        <v>rg:None</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16">
        <f>IF(LEN(Table2[[#This Row],[!Length]]) &gt; 0, Table2[[#This Row],[!Length]], "rg:None")</f>
        <v>10</v>
      </c>
      <c r="U171" s="16" t="str">
        <f>IF(LEN(Table2[[#This Row],[!Name]]) &gt; 0, Table2[[#This Row],[!Name]], "rg:None")</f>
        <v>code</v>
      </c>
      <c r="V171" s="16" t="str">
        <f>IF(LEN(Table2[[#This Row],[!Description]]) &gt; 0, Table2[[#This Row],[!Description]], "rg:None")</f>
        <v>A short version of the Jurisdiction - the familiar two-letter province or state code</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x14ac:dyDescent="0.3">
      <c r="A172" s="56" t="s">
        <v>417</v>
      </c>
      <c r="B172" s="56" t="s">
        <v>8</v>
      </c>
      <c r="C172" s="3">
        <v>50</v>
      </c>
      <c r="D172" s="56" t="s">
        <v>44</v>
      </c>
      <c r="E172" s="56" t="s">
        <v>427</v>
      </c>
      <c r="F172" s="6"/>
      <c r="G172" s="19"/>
      <c r="H172" s="19"/>
      <c r="I172" s="4" t="str">
        <f t="shared" si="6"/>
        <v>Defs</v>
      </c>
      <c r="J172" s="16" t="str">
        <f>IF(Table2[[#This Row],[!Type]]=J$1, J$1,"rg:None")</f>
        <v>rg:None</v>
      </c>
      <c r="K172" s="33" t="str">
        <f>IF(Table2[[#This Row],[!Type]]=K$1, K$1,"rg:None")</f>
        <v>rg:None</v>
      </c>
      <c r="L172" s="16" t="str">
        <f>IF(Table2[[#This Row],[!Type]]=L$1, L$1,"rg:None")</f>
        <v>rg:None</v>
      </c>
      <c r="M172" s="16" t="str">
        <f>IF(Table2[[#This Row],[!Type]]=M$1, M$1,"rg:None")</f>
        <v>rg:None</v>
      </c>
      <c r="N172" s="16" t="str">
        <f>IF(Table2[[#This Row],[!Type]]=N$1, N$1,"rg:None")</f>
        <v>rg:None</v>
      </c>
      <c r="O172" s="16"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16">
        <f>IF(LEN(Table2[[#This Row],[!Length]]) &gt; 0, Table2[[#This Row],[!Length]], "rg:None")</f>
        <v>50</v>
      </c>
      <c r="U172" s="16" t="str">
        <f>IF(LEN(Table2[[#This Row],[!Name]]) &gt; 0, Table2[[#This Row],[!Name]], "rg:None")</f>
        <v>description</v>
      </c>
      <c r="V172" s="16" t="str">
        <f>IF(LEN(Table2[[#This Row],[!Description]]) &gt; 0, Table2[[#This Row],[!Description]], "rg:None")</f>
        <v>The full version of the Jurisdiction name.</v>
      </c>
      <c r="W172" s="16" t="str">
        <f>IF(LEN(Table2[[#This Row],[!FK]])&gt;0,Table2[[#This Row],[!FK]],"rg:None")</f>
        <v>rg:None</v>
      </c>
      <c r="X172" s="16" t="str">
        <f>IF(LEN(concatif2(A:A,Table2[[#This Row],[!Table]],G:G,"Y",D:D,",")) &gt; 0,"rg:[ { 'req' : '"&amp;concatif2(A:A,Table2[[#This Row],[!Table]],G:G,"Y",D:D,"' }, { 'req': '")&amp;"'} ]","rg:[]")</f>
        <v>rg:[ { 'req' : 'id'} ]</v>
      </c>
      <c r="Y172" s="16" t="str">
        <f>IF(LEN(Table2[[#This Row],[!Unique]])&gt;0,"rg:True","rg:None")</f>
        <v>rg:None</v>
      </c>
    </row>
    <row r="173" spans="1:25" x14ac:dyDescent="0.3">
      <c r="A173" s="3" t="s">
        <v>108</v>
      </c>
      <c r="B173" s="3" t="s">
        <v>5</v>
      </c>
      <c r="C173" s="3"/>
      <c r="D173" s="3" t="s">
        <v>108</v>
      </c>
      <c r="E173" s="43" t="s">
        <v>368</v>
      </c>
      <c r="F173" s="3" t="s">
        <v>6</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table</v>
      </c>
      <c r="T173" s="10" t="str">
        <f>IF(LEN(Table2[[#This Row],[!Length]]) &gt; 0, Table2[[#This Row],[!Length]], "rg:None")</f>
        <v>rg:None</v>
      </c>
      <c r="U173" s="10" t="str">
        <f>IF(LEN(Table2[[#This Row],[!Name]]) &gt; 0, Table2[[#This Row],[!Name]], "rg:None")</f>
        <v>Notification</v>
      </c>
      <c r="V173"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x14ac:dyDescent="0.3">
      <c r="A174" s="3" t="s">
        <v>108</v>
      </c>
      <c r="B174" s="3" t="s">
        <v>7</v>
      </c>
      <c r="C174" s="3"/>
      <c r="D174" s="3" t="s">
        <v>7</v>
      </c>
      <c r="E174" s="27" t="s">
        <v>298</v>
      </c>
      <c r="F174" s="3" t="s">
        <v>6</v>
      </c>
      <c r="G174" s="4" t="s">
        <v>142</v>
      </c>
      <c r="H174" s="45" t="s">
        <v>142</v>
      </c>
      <c r="I174" s="5" t="str">
        <f t="shared" si="3"/>
        <v>Defs</v>
      </c>
      <c r="J174" t="str">
        <f>IF(Table2[[#This Row],[!Type]]=J$1, J$1,"rg:None")</f>
        <v>rg:None</v>
      </c>
      <c r="K174" t="str">
        <f>IF(Table2[[#This Row],[!Type]]=K$1, K$1,"rg:None")</f>
        <v>rg:None</v>
      </c>
      <c r="L174" t="str">
        <f>IF(Table2[[#This Row],[!Type]]=L$1, L$1,"rg:None")</f>
        <v>rg:None</v>
      </c>
      <c r="M174" t="str">
        <f>IF(Table2[[#This Row],[!Type]]=M$1, M$1,"rg:None")</f>
        <v>id</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id</v>
      </c>
      <c r="V174" s="10" t="str">
        <f>IF(LEN(Table2[[#This Row],[!Description]]) &gt; 0, Table2[[#This Row],[!Description]], "rg:None")</f>
        <v>A system-generated unique identifier for a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rg:True</v>
      </c>
    </row>
    <row r="175" spans="1:25" x14ac:dyDescent="0.3">
      <c r="A175" s="3" t="s">
        <v>108</v>
      </c>
      <c r="B175" s="3" t="s">
        <v>9</v>
      </c>
      <c r="C175" s="3"/>
      <c r="D175" s="3" t="s">
        <v>109</v>
      </c>
      <c r="E175" s="27"/>
      <c r="F175" s="3" t="s">
        <v>110</v>
      </c>
      <c r="G175" s="4"/>
      <c r="H175" s="4"/>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ref</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v>
      </c>
      <c r="V175" s="10" t="str">
        <f>IF(LEN(Table2[[#This Row],[!Description]]) &gt; 0, Table2[[#This Row],[!Description]], "rg:None")</f>
        <v>rg:None</v>
      </c>
      <c r="W175" s="10" t="str">
        <f>IF(LEN(Table2[[#This Row],[!FK]])&gt;0,Table2[[#This Row],[!FK]],"rg:None")</f>
        <v>NotificationEvent</v>
      </c>
      <c r="X175" s="10" t="str">
        <f>IF(LEN(concatif2(A:A,Table2[[#This Row],[!Table]],G:G,"Y",D:D,",")) &gt; 0,"rg:[ { 'req' : '"&amp;concatif2(A:A,Table2[[#This Row],[!Table]],G:G,"Y",D:D,"' }, { 'req': '")&amp;"'} ]","rg:[]")</f>
        <v>rg:[ { 'req' : 'id'} ]</v>
      </c>
      <c r="Y175" s="10" t="str">
        <f>IF(LEN(Table2[[#This Row],[!Unique]])&gt;0,"rg:True","rg:None")</f>
        <v>rg:None</v>
      </c>
    </row>
    <row r="176" spans="1:25" x14ac:dyDescent="0.3">
      <c r="A176" s="3" t="s">
        <v>108</v>
      </c>
      <c r="B176" s="3" t="s">
        <v>9</v>
      </c>
      <c r="C176" s="3"/>
      <c r="D176" s="3" t="s">
        <v>111</v>
      </c>
      <c r="E176" s="27"/>
      <c r="F176" s="3" t="s">
        <v>110</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event2</v>
      </c>
      <c r="V176" s="10" t="str">
        <f>IF(LEN(Table2[[#This Row],[!Description]]) &gt; 0, Table2[[#This Row],[!Description]], "rg:None")</f>
        <v>rg:None</v>
      </c>
      <c r="W176" s="10" t="str">
        <f>IF(LEN(Table2[[#This Row],[!FK]])&gt;0,Table2[[#This Row],[!FK]],"rg:None")</f>
        <v>NotificationEvent</v>
      </c>
      <c r="X176" s="10" t="str">
        <f>IF(LEN(concatif2(A:A,Table2[[#This Row],[!Table]],G:G,"Y",D:D,",")) &gt; 0,"rg:[ { 'req' : '"&amp;concatif2(A:A,Table2[[#This Row],[!Table]],G:G,"Y",D:D,"' }, { 'req': '")&amp;"'} ]","rg:[]")</f>
        <v>rg:[ { 'req' : 'id'} ]</v>
      </c>
      <c r="Y176" s="10" t="str">
        <f>IF(LEN(Table2[[#This Row],[!Unique]])&gt;0,"rg:True","rg:None")</f>
        <v>rg:None</v>
      </c>
    </row>
    <row r="177" spans="1:25" x14ac:dyDescent="0.3">
      <c r="A177" s="3" t="s">
        <v>108</v>
      </c>
      <c r="B177" s="3" t="s">
        <v>14</v>
      </c>
      <c r="C177" s="3"/>
      <c r="D177" s="3" t="s">
        <v>112</v>
      </c>
      <c r="E177" s="43" t="s">
        <v>365</v>
      </c>
      <c r="F177" s="3" t="s">
        <v>6</v>
      </c>
      <c r="G177" s="4"/>
      <c r="H177" s="4"/>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hasBeenViewed</v>
      </c>
      <c r="V177" s="10" t="str">
        <f>IF(LEN(Table2[[#This Row],[!Description]]) &gt; 0, Table2[[#This Row],[!Description]], "rg:None")</f>
        <v>True if the user linked to the inspection has read the notification</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x14ac:dyDescent="0.3">
      <c r="A178" s="3" t="s">
        <v>108</v>
      </c>
      <c r="B178" s="3" t="s">
        <v>14</v>
      </c>
      <c r="C178" s="3"/>
      <c r="D178" s="3" t="s">
        <v>113</v>
      </c>
      <c r="E178" s="43" t="s">
        <v>366</v>
      </c>
      <c r="F178" s="3" t="s">
        <v>6</v>
      </c>
      <c r="G178" s="4"/>
      <c r="H178" s="4"/>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isWatchNotification</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108</v>
      </c>
      <c r="B179" s="3" t="s">
        <v>14</v>
      </c>
      <c r="C179" s="3"/>
      <c r="D179" s="3" t="s">
        <v>114</v>
      </c>
      <c r="E179" s="43" t="s">
        <v>366</v>
      </c>
      <c r="F179" s="3" t="s">
        <v>6</v>
      </c>
      <c r="G179" s="4"/>
      <c r="H179" s="4"/>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isExpired</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x14ac:dyDescent="0.3">
      <c r="A180" s="3" t="s">
        <v>108</v>
      </c>
      <c r="B180" s="3" t="s">
        <v>14</v>
      </c>
      <c r="C180" s="3"/>
      <c r="D180" s="3" t="s">
        <v>115</v>
      </c>
      <c r="E180" s="43" t="s">
        <v>366</v>
      </c>
      <c r="F180" s="3" t="s">
        <v>6</v>
      </c>
      <c r="G180" s="4"/>
      <c r="H180" s="4"/>
      <c r="I180" s="5" t="str">
        <f t="shared" si="3"/>
        <v>Defs</v>
      </c>
      <c r="J180" t="str">
        <f>IF(Table2[[#This Row],[!Type]]=J$1, J$1,"rg:None")</f>
        <v>boolean</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isAllDay</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x14ac:dyDescent="0.3">
      <c r="A181" s="3" t="s">
        <v>108</v>
      </c>
      <c r="B181" s="3" t="s">
        <v>8</v>
      </c>
      <c r="C181" s="3">
        <v>255</v>
      </c>
      <c r="D181" s="3" t="s">
        <v>116</v>
      </c>
      <c r="E181" s="43" t="s">
        <v>366</v>
      </c>
      <c r="F181" s="3" t="s">
        <v>6</v>
      </c>
      <c r="G181" s="4"/>
      <c r="H181" s="4"/>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255</v>
      </c>
      <c r="U181" s="10" t="str">
        <f>IF(LEN(Table2[[#This Row],[!Name]]) &gt; 0, Table2[[#This Row],[!Name]], "rg:None")</f>
        <v>priorityCode</v>
      </c>
      <c r="V181" s="10" t="str">
        <f>IF(LEN(Table2[[#This Row],[!Description]]) &gt; 0, Table2[[#This Row],[!Description]], "rg:None")</f>
        <v>TO BE REMOVED</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x14ac:dyDescent="0.3">
      <c r="A182" s="3" t="s">
        <v>108</v>
      </c>
      <c r="B182" s="3" t="s">
        <v>9</v>
      </c>
      <c r="C182" s="3"/>
      <c r="D182" s="3" t="s">
        <v>117</v>
      </c>
      <c r="E182" s="27"/>
      <c r="F182" s="3" t="s">
        <v>0</v>
      </c>
      <c r="G182" s="4"/>
      <c r="H182" s="4"/>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ref</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user</v>
      </c>
      <c r="V182" s="10" t="str">
        <f>IF(LEN(Table2[[#This Row],[!Description]]) &gt; 0, Table2[[#This Row],[!Description]], "rg:None")</f>
        <v>rg:None</v>
      </c>
      <c r="W182" s="10" t="str">
        <f>IF(LEN(Table2[[#This Row],[!FK]])&gt;0,Table2[[#This Row],[!FK]],"rg:None")</f>
        <v>User</v>
      </c>
      <c r="X182" s="10" t="str">
        <f>IF(LEN(concatif2(A:A,Table2[[#This Row],[!Table]],G:G,"Y",D:D,",")) &gt; 0,"rg:[ { 'req' : '"&amp;concatif2(A:A,Table2[[#This Row],[!Table]],G:G,"Y",D:D,"' }, { 'req': '")&amp;"'} ]","rg:[]")</f>
        <v>rg:[ { 'req' : 'id'} ]</v>
      </c>
      <c r="Y182" s="10" t="str">
        <f>IF(LEN(Table2[[#This Row],[!Unique]])&gt;0,"rg:True","rg:None")</f>
        <v>rg:None</v>
      </c>
    </row>
    <row r="183" spans="1:25" x14ac:dyDescent="0.3">
      <c r="A183" s="3" t="s">
        <v>110</v>
      </c>
      <c r="B183" s="3" t="s">
        <v>5</v>
      </c>
      <c r="C183" s="3"/>
      <c r="D183" s="3" t="s">
        <v>110</v>
      </c>
      <c r="E183" s="43" t="s">
        <v>367</v>
      </c>
      <c r="F183" s="3" t="s">
        <v>6</v>
      </c>
      <c r="G183" s="4"/>
      <c r="H183" s="4"/>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10" t="str">
        <f>IF(LEN(Table2[[#This Row],[!Length]]) &gt; 0, Table2[[#This Row],[!Length]], "rg:None")</f>
        <v>rg:None</v>
      </c>
      <c r="U183" s="10" t="str">
        <f>IF(LEN(Table2[[#This Row],[!Name]]) &gt; 0, Table2[[#This Row],[!Name]], "rg:None")</f>
        <v>NotificationEvent</v>
      </c>
      <c r="V183" s="10" t="str">
        <f>IF(LEN(Table2[[#This Row],[!Description]]) &gt; 0, Table2[[#This Row],[!Description]], "rg:None")</f>
        <v>Notifications associated about changes (mostly from CCW data) to information related to a specific school bus - e.g. change of owner at ICBC, change in NSC client rating, etc.</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x14ac:dyDescent="0.3">
      <c r="A184" s="3" t="s">
        <v>110</v>
      </c>
      <c r="B184" s="3" t="s">
        <v>7</v>
      </c>
      <c r="C184" s="3"/>
      <c r="D184" s="3" t="s">
        <v>7</v>
      </c>
      <c r="E184" s="27" t="s">
        <v>299</v>
      </c>
      <c r="F184" s="3" t="s">
        <v>6</v>
      </c>
      <c r="G184" s="4" t="s">
        <v>142</v>
      </c>
      <c r="H184" s="45" t="s">
        <v>142</v>
      </c>
      <c r="I184" s="5" t="str">
        <f t="shared" si="3"/>
        <v>Defs</v>
      </c>
      <c r="J184" t="str">
        <f>IF(Table2[[#This Row],[!Type]]=J$1, J$1,"rg:None")</f>
        <v>rg:None</v>
      </c>
      <c r="K184" t="str">
        <f>IF(Table2[[#This Row],[!Type]]=K$1, K$1,"rg:None")</f>
        <v>rg:None</v>
      </c>
      <c r="L184" t="str">
        <f>IF(Table2[[#This Row],[!Type]]=L$1, L$1,"rg:None")</f>
        <v>rg:None</v>
      </c>
      <c r="M184" t="str">
        <f>IF(Table2[[#This Row],[!Type]]=M$1, M$1,"rg:None")</f>
        <v>id</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id</v>
      </c>
      <c r="V184" s="10" t="str">
        <f>IF(LEN(Table2[[#This Row],[!Description]]) &gt; 0, Table2[[#This Row],[!Description]], "rg:None")</f>
        <v>A system-generated unique identifier for a NotificationEvent</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rg:True</v>
      </c>
    </row>
    <row r="185" spans="1:25" x14ac:dyDescent="0.3">
      <c r="A185" s="3" t="s">
        <v>110</v>
      </c>
      <c r="B185" s="8" t="s">
        <v>25</v>
      </c>
      <c r="C185" s="3"/>
      <c r="D185" s="3" t="s">
        <v>118</v>
      </c>
      <c r="E185" s="43" t="s">
        <v>369</v>
      </c>
      <c r="F185" s="3" t="s">
        <v>6</v>
      </c>
      <c r="G185" s="4"/>
      <c r="H185" s="4"/>
      <c r="I185" s="5" t="str">
        <f t="shared" si="3"/>
        <v>Defs</v>
      </c>
      <c r="J185" t="str">
        <f>IF(Table2[[#This Row],[!Type]]=J$1, J$1,"rg:None")</f>
        <v>rg:None</v>
      </c>
      <c r="K185" t="str">
        <f>IF(Table2[[#This Row],[!Type]]=K$1, K$1,"rg:None")</f>
        <v>rg:None</v>
      </c>
      <c r="L185" t="str">
        <f>IF(Table2[[#This Row],[!Type]]=L$1, L$1,"rg:None")</f>
        <v>datetime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10" t="str">
        <f>IF(LEN(Table2[[#This Row],[!Length]]) &gt; 0, Table2[[#This Row],[!Length]], "rg:None")</f>
        <v>rg:None</v>
      </c>
      <c r="U185" s="10" t="str">
        <f>IF(LEN(Table2[[#This Row],[!Name]]) &gt; 0, Table2[[#This Row],[!Name]], "rg:None")</f>
        <v>eventTime</v>
      </c>
      <c r="V185" s="10" t="str">
        <f>IF(LEN(Table2[[#This Row],[!Description]]) &gt; 0, Table2[[#This Row],[!Description]], "rg:None")</f>
        <v>The date/time of the creation of the event that triggered the creation of the notification.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x14ac:dyDescent="0.3">
      <c r="A186" s="3" t="s">
        <v>110</v>
      </c>
      <c r="B186" s="3" t="s">
        <v>8</v>
      </c>
      <c r="C186" s="3">
        <v>255</v>
      </c>
      <c r="D186" s="3" t="s">
        <v>119</v>
      </c>
      <c r="E186" s="43" t="s">
        <v>378</v>
      </c>
      <c r="F186" s="3" t="s">
        <v>6</v>
      </c>
      <c r="G186" s="4"/>
      <c r="H186" s="4"/>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eventTypeCode</v>
      </c>
      <c r="V186"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
      <c r="A187" s="3" t="s">
        <v>110</v>
      </c>
      <c r="B187" s="3" t="s">
        <v>8</v>
      </c>
      <c r="C187" s="3">
        <v>255</v>
      </c>
      <c r="D187" s="3" t="s">
        <v>120</v>
      </c>
      <c r="E187" s="43" t="s">
        <v>379</v>
      </c>
      <c r="F187" s="3" t="s">
        <v>6</v>
      </c>
      <c r="G187" s="4"/>
      <c r="H187" s="4"/>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eventSubTypeCode</v>
      </c>
      <c r="V187" s="10" t="str">
        <f>IF(LEN(Table2[[#This Row],[!Description]]) &gt; 0, Table2[[#This Row],[!Description]], "rg:None")</f>
        <v>A further categorization of the event for which the notification was created.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x14ac:dyDescent="0.3">
      <c r="A188" s="3" t="s">
        <v>110</v>
      </c>
      <c r="B188" s="3" t="s">
        <v>8</v>
      </c>
      <c r="C188" s="3">
        <v>2048</v>
      </c>
      <c r="D188" s="3" t="s">
        <v>58</v>
      </c>
      <c r="E188" s="43" t="s">
        <v>380</v>
      </c>
      <c r="F188" s="3" t="s">
        <v>6</v>
      </c>
      <c r="G188" s="4"/>
      <c r="H188" s="4"/>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2048</v>
      </c>
      <c r="U188" s="10" t="str">
        <f>IF(LEN(Table2[[#This Row],[!Name]]) &gt; 0, Table2[[#This Row],[!Name]], "rg:None")</f>
        <v>notes</v>
      </c>
      <c r="V188"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x14ac:dyDescent="0.3">
      <c r="A189" s="3" t="s">
        <v>110</v>
      </c>
      <c r="B189" s="3" t="s">
        <v>14</v>
      </c>
      <c r="C189" s="3"/>
      <c r="D189" s="3" t="s">
        <v>121</v>
      </c>
      <c r="E189" s="43" t="s">
        <v>366</v>
      </c>
      <c r="F189" s="3" t="s">
        <v>6</v>
      </c>
      <c r="G189" s="4"/>
      <c r="H189" s="4"/>
      <c r="I189" s="5" t="str">
        <f t="shared" si="3"/>
        <v>Defs</v>
      </c>
      <c r="J189" t="str">
        <f>IF(Table2[[#This Row],[!Type]]=J$1, J$1,"rg:None")</f>
        <v>boolean</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notificationGenerated</v>
      </c>
      <c r="V189" s="10" t="str">
        <f>IF(LEN(Table2[[#This Row],[!Description]]) &gt; 0, Table2[[#This Row],[!Description]], "rg:None")</f>
        <v>TO BE REMOVED</v>
      </c>
      <c r="W189" s="10" t="str">
        <f>IF(LEN(Table2[[#This Row],[!FK]])&gt;0,Table2[[#This Row],[!FK]],"rg:None")</f>
        <v>rg:None</v>
      </c>
      <c r="X189" s="10" t="str">
        <f>IF(LEN(concatif2(A:A,Table2[[#This Row],[!Table]],G:G,"Y",D:D,",")) &gt; 0,"rg:[ { 'req' : '"&amp;concatif2(A:A,Table2[[#This Row],[!Table]],G:G,"Y",D:D,"' }, { 'req': '")&amp;"'} ]","rg:[]")</f>
        <v>rg:[ { 'req' : 'id'} ]</v>
      </c>
      <c r="Y189" s="10" t="str">
        <f>IF(LEN(Table2[[#This Row],[!Unique]])&gt;0,"rg:True","rg:None")</f>
        <v>rg:None</v>
      </c>
    </row>
    <row r="190" spans="1:25" x14ac:dyDescent="0.3">
      <c r="A190" s="3" t="s">
        <v>110</v>
      </c>
      <c r="B190" s="3" t="s">
        <v>9</v>
      </c>
      <c r="C190" s="3"/>
      <c r="D190" s="3" t="s">
        <v>39</v>
      </c>
      <c r="E190" s="27"/>
      <c r="F190" s="3" t="s">
        <v>4</v>
      </c>
      <c r="G190" s="4"/>
      <c r="H190" s="4"/>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ref</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schoolBus</v>
      </c>
      <c r="V190" s="10" t="str">
        <f>IF(LEN(Table2[[#This Row],[!Description]]) &gt; 0, Table2[[#This Row],[!Description]], "rg:None")</f>
        <v>rg:None</v>
      </c>
      <c r="W190" s="10" t="str">
        <f>IF(LEN(Table2[[#This Row],[!FK]])&gt;0,Table2[[#This Row],[!FK]],"rg:None")</f>
        <v>SchoolBus</v>
      </c>
      <c r="X190" s="10" t="str">
        <f>IF(LEN(concatif2(A:A,Table2[[#This Row],[!Table]],G:G,"Y",D:D,",")) &gt; 0,"rg:[ { 'req' : '"&amp;concatif2(A:A,Table2[[#This Row],[!Table]],G:G,"Y",D:D,"' }, { 'req': '")&amp;"'} ]","rg:[]")</f>
        <v>rg:[ { 'req' : 'id'} ]</v>
      </c>
      <c r="Y190" s="10" t="str">
        <f>IF(LEN(Table2[[#This Row],[!Unique]])&gt;0,"rg:True","rg:None")</f>
        <v>rg:None</v>
      </c>
    </row>
    <row r="191" spans="1:25" x14ac:dyDescent="0.3">
      <c r="A191" s="3" t="s">
        <v>0</v>
      </c>
      <c r="B191" s="3" t="s">
        <v>5</v>
      </c>
      <c r="C191" s="3"/>
      <c r="D191" s="3" t="s">
        <v>0</v>
      </c>
      <c r="E191" s="27" t="s">
        <v>181</v>
      </c>
      <c r="F191" s="3" t="s">
        <v>6</v>
      </c>
      <c r="G191" s="4"/>
      <c r="H191" s="4"/>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10" t="str">
        <f>IF(LEN(Table2[[#This Row],[!Length]]) &gt; 0, Table2[[#This Row],[!Length]], "rg:None")</f>
        <v>rg:None</v>
      </c>
      <c r="U191" s="10" t="str">
        <f>IF(LEN(Table2[[#This Row],[!Name]]) &gt; 0, Table2[[#This Row],[!Name]], "rg:None")</f>
        <v>User</v>
      </c>
      <c r="V191" s="10" t="str">
        <f>IF(LEN(Table2[[#This Row],[!Description]]) &gt; 0, Table2[[#This Row],[!Description]], "rg:None")</f>
        <v>Information about the users of the system.</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x14ac:dyDescent="0.3">
      <c r="A192" s="3" t="s">
        <v>0</v>
      </c>
      <c r="B192" s="3" t="s">
        <v>7</v>
      </c>
      <c r="C192" s="3"/>
      <c r="D192" s="3" t="s">
        <v>7</v>
      </c>
      <c r="E192" s="27" t="s">
        <v>300</v>
      </c>
      <c r="F192" s="3" t="s">
        <v>6</v>
      </c>
      <c r="G192" s="4" t="s">
        <v>142</v>
      </c>
      <c r="H192" s="45" t="s">
        <v>142</v>
      </c>
      <c r="I192" s="5" t="str">
        <f t="shared" si="3"/>
        <v>Defs</v>
      </c>
      <c r="J192" t="str">
        <f>IF(Table2[[#This Row],[!Type]]=J$1, J$1,"rg:None")</f>
        <v>rg:None</v>
      </c>
      <c r="K192" t="str">
        <f>IF(Table2[[#This Row],[!Type]]=K$1, K$1,"rg:None")</f>
        <v>rg:None</v>
      </c>
      <c r="L192" t="str">
        <f>IF(Table2[[#This Row],[!Type]]=L$1, L$1,"rg:None")</f>
        <v>rg:None</v>
      </c>
      <c r="M192" t="str">
        <f>IF(Table2[[#This Row],[!Type]]=M$1, M$1,"rg:None")</f>
        <v>id</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id</v>
      </c>
      <c r="V192" s="10" t="str">
        <f>IF(LEN(Table2[[#This Row],[!Description]]) &gt; 0, Table2[[#This Row],[!Description]], "rg:None")</f>
        <v>A system-generated unique identifier for a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rg:True</v>
      </c>
    </row>
    <row r="193" spans="1:25" x14ac:dyDescent="0.3">
      <c r="A193" s="3" t="s">
        <v>0</v>
      </c>
      <c r="B193" s="3" t="s">
        <v>8</v>
      </c>
      <c r="C193" s="3">
        <v>255</v>
      </c>
      <c r="D193" s="3" t="s">
        <v>53</v>
      </c>
      <c r="E193" s="43" t="s">
        <v>371</v>
      </c>
      <c r="F193" s="3" t="s">
        <v>6</v>
      </c>
      <c r="G193" s="45" t="s">
        <v>142</v>
      </c>
      <c r="H193" s="4"/>
      <c r="I193" s="5" t="str">
        <f t="shared" si="3"/>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givenName</v>
      </c>
      <c r="V193" s="10" t="str">
        <f>IF(LEN(Table2[[#This Row],[!Description]]) &gt; 0, Table2[[#This Row],[!Description]], "rg:None")</f>
        <v>Given name of the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x14ac:dyDescent="0.3">
      <c r="A194" s="3" t="s">
        <v>0</v>
      </c>
      <c r="B194" s="3" t="s">
        <v>8</v>
      </c>
      <c r="C194" s="3">
        <v>50</v>
      </c>
      <c r="D194" s="3" t="s">
        <v>55</v>
      </c>
      <c r="E194" s="43" t="s">
        <v>370</v>
      </c>
      <c r="F194" s="3" t="s">
        <v>6</v>
      </c>
      <c r="G194" s="45" t="s">
        <v>142</v>
      </c>
      <c r="H194" s="4"/>
      <c r="I194" s="5" t="str">
        <f t="shared" ref="I194:I232" si="7">IF(LEN(A194) &gt; 0,"Defs","-")</f>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50</v>
      </c>
      <c r="U194" s="10" t="str">
        <f>IF(LEN(Table2[[#This Row],[!Name]]) &gt; 0, Table2[[#This Row],[!Name]], "rg:None")</f>
        <v>surname</v>
      </c>
      <c r="V194" s="10" t="str">
        <f>IF(LEN(Table2[[#This Row],[!Description]]) &gt; 0, Table2[[#This Row],[!Description]], "rg:None")</f>
        <v>Surname of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
      <c r="A195" s="3" t="s">
        <v>0</v>
      </c>
      <c r="B195" s="3" t="s">
        <v>8</v>
      </c>
      <c r="C195" s="3">
        <v>10</v>
      </c>
      <c r="D195" s="3" t="s">
        <v>123</v>
      </c>
      <c r="E195" s="43" t="s">
        <v>372</v>
      </c>
      <c r="F195" s="3" t="s">
        <v>6</v>
      </c>
      <c r="G195" s="4"/>
      <c r="H195" s="4"/>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10</v>
      </c>
      <c r="U195" s="10" t="str">
        <f>IF(LEN(Table2[[#This Row],[!Name]]) &gt; 0, Table2[[#This Row],[!Name]], "rg:None")</f>
        <v>initials</v>
      </c>
      <c r="V195" s="10" t="str">
        <f>IF(LEN(Table2[[#This Row],[!Description]]) &gt; 0, Table2[[#This Row],[!Description]], "rg:None")</f>
        <v>Initials of the user, to be presented where screen space is at a premium.</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
      <c r="A196" s="3" t="s">
        <v>0</v>
      </c>
      <c r="B196" s="3" t="s">
        <v>8</v>
      </c>
      <c r="C196" s="3">
        <v>255</v>
      </c>
      <c r="D196" s="3" t="s">
        <v>124</v>
      </c>
      <c r="E196" s="43" t="s">
        <v>373</v>
      </c>
      <c r="F196" s="3" t="s">
        <v>6</v>
      </c>
      <c r="G196" s="4"/>
      <c r="H196" s="4"/>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email</v>
      </c>
      <c r="V196" s="10" t="str">
        <f>IF(LEN(Table2[[#This Row],[!Description]]) &gt; 0, Table2[[#This Row],[!Description]], "rg:None")</f>
        <v>The email address of the user in the system.</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
      <c r="A197" s="3" t="s">
        <v>0</v>
      </c>
      <c r="B197" s="3" t="s">
        <v>14</v>
      </c>
      <c r="C197" s="3"/>
      <c r="D197" s="3" t="s">
        <v>122</v>
      </c>
      <c r="E197" s="43" t="s">
        <v>381</v>
      </c>
      <c r="F197" s="3" t="s">
        <v>6</v>
      </c>
      <c r="G197" s="4" t="s">
        <v>142</v>
      </c>
      <c r="H197" s="4"/>
      <c r="I197" s="5" t="str">
        <f t="shared" si="7"/>
        <v>Defs</v>
      </c>
      <c r="J197" t="str">
        <f>IF(Table2[[#This Row],[!Type]]=J$1, J$1,"rg:None")</f>
        <v>boolean</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active</v>
      </c>
      <c r="V197" s="10" t="str">
        <f>IF(LEN(Table2[[#This Row],[!Description]]) &gt; 0, Table2[[#This Row],[!Description]], "rg:None")</f>
        <v>A flag indicating the User is active in the system. Set false to remove access to the system for the user.</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
      <c r="A198" s="3" t="s">
        <v>0</v>
      </c>
      <c r="B198" s="3" t="s">
        <v>8</v>
      </c>
      <c r="C198" s="3">
        <v>255</v>
      </c>
      <c r="D198" s="3" t="s">
        <v>125</v>
      </c>
      <c r="E198" s="27" t="s">
        <v>126</v>
      </c>
      <c r="F198" s="3" t="s">
        <v>6</v>
      </c>
      <c r="G198" s="4"/>
      <c r="H198" s="4"/>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smUserId</v>
      </c>
      <c r="V198" s="10" t="str">
        <f>IF(LEN(Table2[[#This Row],[!Description]]) &gt; 0, Table2[[#This Row],[!Description]], "rg:None")</f>
        <v>Security Manager User 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x14ac:dyDescent="0.3">
      <c r="A199" s="3" t="s">
        <v>0</v>
      </c>
      <c r="B199" s="3" t="s">
        <v>8</v>
      </c>
      <c r="C199" s="3">
        <v>255</v>
      </c>
      <c r="D199" s="3" t="s">
        <v>127</v>
      </c>
      <c r="E199" s="43" t="s">
        <v>382</v>
      </c>
      <c r="F199" s="3" t="s">
        <v>6</v>
      </c>
      <c r="G199" s="4"/>
      <c r="H199" s="4"/>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guid</v>
      </c>
      <c r="V199"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x14ac:dyDescent="0.3">
      <c r="A200" s="3" t="s">
        <v>0</v>
      </c>
      <c r="B200" s="3" t="s">
        <v>8</v>
      </c>
      <c r="C200" s="3">
        <v>255</v>
      </c>
      <c r="D200" s="3" t="s">
        <v>128</v>
      </c>
      <c r="E200" s="43" t="s">
        <v>383</v>
      </c>
      <c r="F200" s="3" t="s">
        <v>6</v>
      </c>
      <c r="G200" s="4"/>
      <c r="H200" s="4"/>
      <c r="I200" s="5" t="str">
        <f t="shared" si="7"/>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smAuthorizationDirectory</v>
      </c>
      <c r="V200" s="10" t="str">
        <f>IF(LEN(Table2[[#This Row],[!Description]]) &gt; 0, Table2[[#This Row],[!Description]], "rg:None")</f>
        <v>The user directory service used by Siteminder to authenticate the user - usually IDIR or BCeID.</v>
      </c>
      <c r="W200" s="10" t="str">
        <f>IF(LEN(Table2[[#This Row],[!FK]])&gt;0,Table2[[#This Row],[!FK]],"rg:None")</f>
        <v>rg:None</v>
      </c>
      <c r="X200" s="10" t="str">
        <f>IF(LEN(concatif2(A:A,Table2[[#This Row],[!Table]],G:G,"Y",D:D,",")) &gt; 0,"rg:[ { 'req' : '"&amp;concatif2(A:A,Table2[[#This Row],[!Table]],G:G,"Y",D:D,"' }, { 'req': '")&amp;"'} ]","rg:[]")</f>
        <v>rg:[ { 'req' : 'id' }, { 'req': 'givenName' }, { 'req': 'surname' }, { 'req': 'active'} ]</v>
      </c>
      <c r="Y200" s="10" t="str">
        <f>IF(LEN(Table2[[#This Row],[!Unique]])&gt;0,"rg:True","rg:None")</f>
        <v>rg:None</v>
      </c>
    </row>
    <row r="201" spans="1:25" x14ac:dyDescent="0.3">
      <c r="A201" s="34" t="s">
        <v>0</v>
      </c>
      <c r="B201" s="34" t="s">
        <v>59</v>
      </c>
      <c r="C201" s="3"/>
      <c r="D201" s="35" t="s">
        <v>129</v>
      </c>
      <c r="F201" s="36" t="s">
        <v>130</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links</v>
      </c>
      <c r="Q201" s="4" t="str">
        <f>IF(Table2[[#This Row],[!Type]]=Q$1, Q$1,"rg:None")</f>
        <v>rg:None</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userRoles</v>
      </c>
      <c r="V201" s="16" t="str">
        <f>IF(LEN(Table2[[#This Row],[!Description]]) &gt; 0, Table2[[#This Row],[!Description]], "rg:None")</f>
        <v>rg:None</v>
      </c>
      <c r="W201" s="16" t="str">
        <f>IF(LEN(Table2[[#This Row],[!FK]])&gt;0,Table2[[#This Row],[!FK]],"rg:None")</f>
        <v>UserRole</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x14ac:dyDescent="0.3">
      <c r="A202" s="34" t="s">
        <v>0</v>
      </c>
      <c r="B202" s="34" t="s">
        <v>59</v>
      </c>
      <c r="C202" s="3"/>
      <c r="D202" s="34" t="s">
        <v>282</v>
      </c>
      <c r="F202" s="36" t="s">
        <v>139</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links</v>
      </c>
      <c r="Q202" s="4" t="str">
        <f>IF(Table2[[#This Row],[!Type]]=Q$1, Q$1,"rg:None")</f>
        <v>rg:None</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groupMemberships</v>
      </c>
      <c r="V202" s="16" t="str">
        <f>IF(LEN(Table2[[#This Row],[!Description]]) &gt; 0, Table2[[#This Row],[!Description]], "rg:None")</f>
        <v>rg:None</v>
      </c>
      <c r="W202" s="16" t="str">
        <f>IF(LEN(Table2[[#This Row],[!FK]])&gt;0,Table2[[#This Row],[!FK]],"rg:None")</f>
        <v>GroupMembership</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x14ac:dyDescent="0.3">
      <c r="A203" s="54" t="s">
        <v>0</v>
      </c>
      <c r="B203" s="54" t="s">
        <v>9</v>
      </c>
      <c r="C203" s="3"/>
      <c r="D203" s="54" t="s">
        <v>102</v>
      </c>
      <c r="E203" s="54" t="s">
        <v>416</v>
      </c>
      <c r="F203" s="55" t="s">
        <v>93</v>
      </c>
      <c r="G203" s="19"/>
      <c r="H203" s="19"/>
      <c r="I203" s="4" t="str">
        <f>IF(LEN(A203) &gt; 0,"Defs","-")</f>
        <v>Defs</v>
      </c>
      <c r="J203" s="16" t="str">
        <f>IF(Table2[[#This Row],[!Type]]=J$1, J$1,"rg:None")</f>
        <v>rg:None</v>
      </c>
      <c r="K203" s="33" t="str">
        <f>IF(Table2[[#This Row],[!Type]]=K$1, K$1,"rg:None")</f>
        <v>rg:None</v>
      </c>
      <c r="L203" s="16" t="str">
        <f>IF(Table2[[#This Row],[!Type]]=L$1, L$1,"rg:None")</f>
        <v>rg:None</v>
      </c>
      <c r="M203" s="16" t="str">
        <f>IF(Table2[[#This Row],[!Type]]=M$1, M$1,"rg:None")</f>
        <v>rg:None</v>
      </c>
      <c r="N203" s="16" t="str">
        <f>IF(Table2[[#This Row],[!Type]]=N$1, N$1,"rg:None")</f>
        <v>rg:None</v>
      </c>
      <c r="O203" s="16" t="str">
        <f>IF(Table2[[#This Row],[!Type]]=O$1, O$1,"rg:None")</f>
        <v>rg:None</v>
      </c>
      <c r="P203" s="4" t="str">
        <f>IF(Table2[[#This Row],[!Type]]=P$1, P$1,"rg:None")</f>
        <v>rg:None</v>
      </c>
      <c r="Q203" s="4" t="str">
        <f>IF(Table2[[#This Row],[!Type]]=Q$1, Q$1,"rg:None")</f>
        <v>ref</v>
      </c>
      <c r="R203" s="4" t="str">
        <f>IF(Table2[[#This Row],[!Type]]=R$1, R$1,"rg:None")</f>
        <v>rg:None</v>
      </c>
      <c r="S203" s="4" t="str">
        <f>IF(Table2[[#This Row],[!Type]]=S$1, S$1,"rg:None")</f>
        <v>rg:None</v>
      </c>
      <c r="T203" s="16" t="str">
        <f>IF(LEN(Table2[[#This Row],[!Length]]) &gt; 0, Table2[[#This Row],[!Length]], "rg:None")</f>
        <v>rg:None</v>
      </c>
      <c r="U203" s="16" t="str">
        <f>IF(LEN(Table2[[#This Row],[!Name]]) &gt; 0, Table2[[#This Row],[!Name]], "rg:None")</f>
        <v>district</v>
      </c>
      <c r="V203" s="16" t="str">
        <f>IF(LEN(Table2[[#This Row],[!Description]]) &gt; 0, Table2[[#This Row],[!Description]], "rg:None")</f>
        <v>The District that the User belongs to</v>
      </c>
      <c r="W203" s="16" t="str">
        <f>IF(LEN(Table2[[#This Row],[!FK]])&gt;0,Table2[[#This Row],[!FK]],"rg:None")</f>
        <v>District</v>
      </c>
      <c r="X203" s="16" t="str">
        <f>IF(LEN(concatif2(A:A,Table2[[#This Row],[!Table]],G:G,"Y",D:D,",")) &gt; 0,"rg:[ { 'req' : '"&amp;concatif2(A:A,Table2[[#This Row],[!Table]],G:G,"Y",D:D,"' }, { 'req': '")&amp;"'} ]","rg:[]")</f>
        <v>rg:[ { 'req' : 'id' }, { 'req': 'givenName' }, { 'req': 'surname' }, { 'req': 'active'} ]</v>
      </c>
      <c r="Y203" s="16" t="str">
        <f>IF(LEN(Table2[[#This Row],[!Unique]])&gt;0,"rg:True","rg:None")</f>
        <v>rg:None</v>
      </c>
    </row>
    <row r="204" spans="1:25" x14ac:dyDescent="0.3">
      <c r="A204" s="3" t="s">
        <v>130</v>
      </c>
      <c r="B204" s="3" t="s">
        <v>5</v>
      </c>
      <c r="C204" s="3"/>
      <c r="D204" s="3" t="s">
        <v>130</v>
      </c>
      <c r="E204" s="43" t="s">
        <v>390</v>
      </c>
      <c r="F204" s="3" t="s">
        <v>6</v>
      </c>
      <c r="G204" s="4"/>
      <c r="H204" s="4"/>
      <c r="I204" s="5" t="str">
        <f t="shared" si="7"/>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table</v>
      </c>
      <c r="T204" s="10" t="str">
        <f>IF(LEN(Table2[[#This Row],[!Length]]) &gt; 0, Table2[[#This Row],[!Length]], "rg:None")</f>
        <v>rg:None</v>
      </c>
      <c r="U204" s="10" t="str">
        <f>IF(LEN(Table2[[#This Row],[!Name]]) &gt; 0, Table2[[#This Row],[!Name]], "rg:None")</f>
        <v>UserRole</v>
      </c>
      <c r="V204"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x14ac:dyDescent="0.3">
      <c r="A205" s="3" t="s">
        <v>130</v>
      </c>
      <c r="B205" s="3" t="s">
        <v>7</v>
      </c>
      <c r="C205" s="3"/>
      <c r="D205" s="3" t="s">
        <v>7</v>
      </c>
      <c r="E205" s="27" t="s">
        <v>301</v>
      </c>
      <c r="F205" s="3" t="s">
        <v>6</v>
      </c>
      <c r="G205" s="4" t="s">
        <v>142</v>
      </c>
      <c r="H205" s="4"/>
      <c r="I205" s="5" t="str">
        <f t="shared" si="7"/>
        <v>Defs</v>
      </c>
      <c r="J205" t="str">
        <f>IF(Table2[[#This Row],[!Type]]=J$1, J$1,"rg:None")</f>
        <v>rg:None</v>
      </c>
      <c r="K205" t="str">
        <f>IF(Table2[[#This Row],[!Type]]=K$1, K$1,"rg:None")</f>
        <v>rg:None</v>
      </c>
      <c r="L205" t="str">
        <f>IF(Table2[[#This Row],[!Type]]=L$1, L$1,"rg:None")</f>
        <v>rg:None</v>
      </c>
      <c r="M205" t="str">
        <f>IF(Table2[[#This Row],[!Type]]=M$1, M$1,"rg:None")</f>
        <v>id</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id</v>
      </c>
      <c r="V205" s="10" t="str">
        <f>IF(LEN(Table2[[#This Row],[!Description]]) &gt; 0, Table2[[#This Row],[!Description]], "rg:None")</f>
        <v>A system-generated unique identifier for a UserRole</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x14ac:dyDescent="0.3">
      <c r="A206" s="3" t="s">
        <v>130</v>
      </c>
      <c r="B206" s="3" t="s">
        <v>25</v>
      </c>
      <c r="C206" s="3"/>
      <c r="D206" s="3" t="s">
        <v>131</v>
      </c>
      <c r="E206" s="43" t="s">
        <v>384</v>
      </c>
      <c r="F206" s="3" t="s">
        <v>6</v>
      </c>
      <c r="G206" s="4" t="s">
        <v>142</v>
      </c>
      <c r="H206" s="4"/>
      <c r="I206" s="5" t="str">
        <f t="shared" si="7"/>
        <v>Defs</v>
      </c>
      <c r="J206" t="str">
        <f>IF(Table2[[#This Row],[!Type]]=J$1, J$1,"rg:None")</f>
        <v>rg:None</v>
      </c>
      <c r="K206" t="str">
        <f>IF(Table2[[#This Row],[!Type]]=K$1, K$1,"rg:None")</f>
        <v>rg:None</v>
      </c>
      <c r="L206" t="str">
        <f>IF(Table2[[#This Row],[!Type]]=L$1, L$1,"rg:None")</f>
        <v>datetime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effectiveDate</v>
      </c>
      <c r="V206" s="10" t="str">
        <f>IF(LEN(Table2[[#This Row],[!Description]]) &gt; 0, Table2[[#This Row],[!Description]], "rg:None")</f>
        <v>The date on which the user was given the related role.</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x14ac:dyDescent="0.3">
      <c r="A207" s="3" t="s">
        <v>130</v>
      </c>
      <c r="B207" s="3" t="s">
        <v>25</v>
      </c>
      <c r="C207" s="3"/>
      <c r="D207" s="3" t="s">
        <v>132</v>
      </c>
      <c r="E207" s="43" t="s">
        <v>385</v>
      </c>
      <c r="F207" s="3" t="s">
        <v>6</v>
      </c>
      <c r="G207" s="4"/>
      <c r="H207" s="4"/>
      <c r="I207" s="5" t="str">
        <f t="shared" si="7"/>
        <v>Defs</v>
      </c>
      <c r="J207" t="str">
        <f>IF(Table2[[#This Row],[!Type]]=J$1, J$1,"rg:None")</f>
        <v>rg:None</v>
      </c>
      <c r="K207" t="str">
        <f>IF(Table2[[#This Row],[!Type]]=K$1, K$1,"rg:None")</f>
        <v>rg:None</v>
      </c>
      <c r="L207" t="str">
        <f>IF(Table2[[#This Row],[!Type]]=L$1, L$1,"rg:None")</f>
        <v>datetime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expiryDate</v>
      </c>
      <c r="V207" s="10" t="str">
        <f>IF(LEN(Table2[[#This Row],[!Description]]) &gt; 0, Table2[[#This Row],[!Description]], "rg:None")</f>
        <v>The date on which a role previously assigned to a user was removed from that user.</v>
      </c>
      <c r="W207" s="10" t="str">
        <f>IF(LEN(Table2[[#This Row],[!FK]])&gt;0,Table2[[#This Row],[!FK]],"rg:None")</f>
        <v>rg:None</v>
      </c>
      <c r="X207" s="10" t="str">
        <f>IF(LEN(concatif2(A:A,Table2[[#This Row],[!Table]],G:G,"Y",D:D,",")) &gt; 0,"rg:[ { 'req' : '"&amp;concatif2(A:A,Table2[[#This Row],[!Table]],G:G,"Y",D:D,"' }, { 'req': '")&amp;"'} ]","rg:[]")</f>
        <v>rg:[ { 'req' : 'id' }, { 'req': 'effectiveDate'} ]</v>
      </c>
      <c r="Y207" s="10" t="str">
        <f>IF(LEN(Table2[[#This Row],[!Unique]])&gt;0,"rg:True","rg:None")</f>
        <v>rg:None</v>
      </c>
    </row>
    <row r="208" spans="1:25" x14ac:dyDescent="0.3">
      <c r="A208" s="3" t="s">
        <v>130</v>
      </c>
      <c r="B208" s="3" t="s">
        <v>9</v>
      </c>
      <c r="C208" s="3"/>
      <c r="D208" s="3" t="s">
        <v>57</v>
      </c>
      <c r="E208" s="27"/>
      <c r="F208" s="3" t="s">
        <v>133</v>
      </c>
      <c r="G208" s="4"/>
      <c r="H208" s="4"/>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ref</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role</v>
      </c>
      <c r="V208" s="10" t="str">
        <f>IF(LEN(Table2[[#This Row],[!Description]]) &gt; 0, Table2[[#This Row],[!Description]], "rg:None")</f>
        <v>rg:None</v>
      </c>
      <c r="W208" s="10" t="str">
        <f>IF(LEN(Table2[[#This Row],[!FK]])&gt;0,Table2[[#This Row],[!FK]],"rg:None")</f>
        <v>Role</v>
      </c>
      <c r="X208" s="10" t="str">
        <f>IF(LEN(concatif2(A:A,Table2[[#This Row],[!Table]],G:G,"Y",D:D,",")) &gt; 0,"rg:[ { 'req' : '"&amp;concatif2(A:A,Table2[[#This Row],[!Table]],G:G,"Y",D:D,"' }, { 'req': '")&amp;"'} ]","rg:[]")</f>
        <v>rg:[ { 'req' : 'id' }, { 'req': 'effectiveDate'} ]</v>
      </c>
      <c r="Y208" s="10" t="str">
        <f>IF(LEN(Table2[[#This Row],[!Unique]])&gt;0,"rg:True","rg:None")</f>
        <v>rg:None</v>
      </c>
    </row>
    <row r="209" spans="1:25" x14ac:dyDescent="0.3">
      <c r="A209" s="3" t="s">
        <v>133</v>
      </c>
      <c r="B209" s="3" t="s">
        <v>5</v>
      </c>
      <c r="C209" s="3"/>
      <c r="D209" s="3" t="s">
        <v>133</v>
      </c>
      <c r="E209" s="43" t="s">
        <v>386</v>
      </c>
      <c r="F209" s="3" t="s">
        <v>6</v>
      </c>
      <c r="G209" s="4"/>
      <c r="H209" s="4"/>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table</v>
      </c>
      <c r="T209" s="10" t="str">
        <f>IF(LEN(Table2[[#This Row],[!Length]]) &gt; 0, Table2[[#This Row],[!Length]], "rg:None")</f>
        <v>rg:None</v>
      </c>
      <c r="U209" s="10" t="str">
        <f>IF(LEN(Table2[[#This Row],[!Name]]) &gt; 0, Table2[[#This Row],[!Name]], "rg:None")</f>
        <v>Role</v>
      </c>
      <c r="V209"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x14ac:dyDescent="0.3">
      <c r="A210" s="3" t="s">
        <v>133</v>
      </c>
      <c r="B210" s="3" t="s">
        <v>7</v>
      </c>
      <c r="C210" s="3"/>
      <c r="D210" s="3" t="s">
        <v>7</v>
      </c>
      <c r="E210" s="27" t="s">
        <v>302</v>
      </c>
      <c r="F210" s="3" t="s">
        <v>6</v>
      </c>
      <c r="G210" s="4" t="s">
        <v>142</v>
      </c>
      <c r="H210" s="4"/>
      <c r="I210" s="5" t="str">
        <f t="shared" si="7"/>
        <v>Defs</v>
      </c>
      <c r="J210" t="str">
        <f>IF(Table2[[#This Row],[!Type]]=J$1, J$1,"rg:None")</f>
        <v>rg:None</v>
      </c>
      <c r="K210" t="str">
        <f>IF(Table2[[#This Row],[!Type]]=K$1, K$1,"rg:None")</f>
        <v>rg:None</v>
      </c>
      <c r="L210" t="str">
        <f>IF(Table2[[#This Row],[!Type]]=L$1, L$1,"rg:None")</f>
        <v>rg:None</v>
      </c>
      <c r="M210" t="str">
        <f>IF(Table2[[#This Row],[!Type]]=M$1, M$1,"rg:None")</f>
        <v>id</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id</v>
      </c>
      <c r="V210" s="10" t="str">
        <f>IF(LEN(Table2[[#This Row],[!Description]]) &gt; 0, Table2[[#This Row],[!Description]], "rg:None")</f>
        <v>A system-generated unique identifier for a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
      <c r="A211" s="3" t="s">
        <v>133</v>
      </c>
      <c r="B211" s="3" t="s">
        <v>8</v>
      </c>
      <c r="C211" s="3">
        <v>255</v>
      </c>
      <c r="D211" s="3" t="s">
        <v>46</v>
      </c>
      <c r="E211" s="43" t="s">
        <v>387</v>
      </c>
      <c r="F211" s="3" t="s">
        <v>6</v>
      </c>
      <c r="G211" s="4" t="s">
        <v>142</v>
      </c>
      <c r="H211" s="4"/>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name</v>
      </c>
      <c r="V211" s="10" t="str">
        <f>IF(LEN(Table2[[#This Row],[!Description]]) &gt; 0, Table2[[#This Row],[!Description]], "rg:None")</f>
        <v>The name of the Role, as established by the user creating the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
      <c r="A212" s="3" t="s">
        <v>133</v>
      </c>
      <c r="B212" s="3" t="s">
        <v>8</v>
      </c>
      <c r="C212" s="3">
        <v>255</v>
      </c>
      <c r="D212" s="3" t="s">
        <v>44</v>
      </c>
      <c r="E212" s="43" t="s">
        <v>388</v>
      </c>
      <c r="F212" s="3" t="s">
        <v>6</v>
      </c>
      <c r="G212" s="4" t="s">
        <v>142</v>
      </c>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description</v>
      </c>
      <c r="V212" s="10" t="str">
        <f>IF(LEN(Table2[[#This Row],[!Description]]) &gt; 0, Table2[[#This Row],[!Description]], "rg:None")</f>
        <v>A description of the role as set by the user creating/updating the role.</v>
      </c>
      <c r="W212" s="10" t="str">
        <f>IF(LEN(Table2[[#This Row],[!FK]])&gt;0,Table2[[#This Row],[!FK]],"rg:None")</f>
        <v>rg:None</v>
      </c>
      <c r="X212" s="10" t="str">
        <f>IF(LEN(concatif2(A:A,Table2[[#This Row],[!Table]],G:G,"Y",D:D,",")) &gt; 0,"rg:[ { 'req' : '"&amp;concatif2(A:A,Table2[[#This Row],[!Table]],G:G,"Y",D:D,"' }, { 'req': '")&amp;"'} ]","rg:[]")</f>
        <v>rg:[ { 'req' : 'id' }, { 'req': 'name' }, { 'req': 'description'} ]</v>
      </c>
      <c r="Y212" s="10" t="str">
        <f>IF(LEN(Table2[[#This Row],[!Unique]])&gt;0,"rg:True","rg:None")</f>
        <v>rg:None</v>
      </c>
    </row>
    <row r="213" spans="1:25" x14ac:dyDescent="0.3">
      <c r="A213" s="3" t="s">
        <v>133</v>
      </c>
      <c r="B213" s="3" t="s">
        <v>59</v>
      </c>
      <c r="C213" s="3"/>
      <c r="D213" s="3" t="s">
        <v>134</v>
      </c>
      <c r="E213" s="27"/>
      <c r="F213" s="3" t="s">
        <v>135</v>
      </c>
      <c r="G213" s="4"/>
      <c r="H213" s="4"/>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links</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rolePermissions</v>
      </c>
      <c r="V213" s="10" t="str">
        <f>IF(LEN(Table2[[#This Row],[!Description]]) &gt; 0, Table2[[#This Row],[!Description]], "rg:None")</f>
        <v>rg:None</v>
      </c>
      <c r="W213" s="10" t="str">
        <f>IF(LEN(Table2[[#This Row],[!FK]])&gt;0,Table2[[#This Row],[!FK]],"rg:None")</f>
        <v>RolePermission</v>
      </c>
      <c r="X213" s="10" t="str">
        <f>IF(LEN(concatif2(A:A,Table2[[#This Row],[!Table]],G:G,"Y",D:D,",")) &gt; 0,"rg:[ { 'req' : '"&amp;concatif2(A:A,Table2[[#This Row],[!Table]],G:G,"Y",D:D,"' }, { 'req': '")&amp;"'} ]","rg:[]")</f>
        <v>rg:[ { 'req' : 'id' }, { 'req': 'name' }, { 'req': 'description'} ]</v>
      </c>
      <c r="Y213" s="10" t="str">
        <f>IF(LEN(Table2[[#This Row],[!Unique]])&gt;0,"rg:True","rg:None")</f>
        <v>rg:None</v>
      </c>
    </row>
    <row r="214" spans="1:25" x14ac:dyDescent="0.3">
      <c r="A214" s="3" t="s">
        <v>133</v>
      </c>
      <c r="B214" s="3" t="s">
        <v>59</v>
      </c>
      <c r="C214" s="3"/>
      <c r="D214" s="3" t="s">
        <v>129</v>
      </c>
      <c r="E214" s="27"/>
      <c r="F214" s="3" t="s">
        <v>130</v>
      </c>
      <c r="G214" s="4"/>
      <c r="H214" s="4"/>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links</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userRoles</v>
      </c>
      <c r="V214" s="10" t="str">
        <f>IF(LEN(Table2[[#This Row],[!Description]]) &gt; 0, Table2[[#This Row],[!Description]], "rg:None")</f>
        <v>rg:None</v>
      </c>
      <c r="W214" s="10" t="str">
        <f>IF(LEN(Table2[[#This Row],[!FK]])&gt;0,Table2[[#This Row],[!FK]],"rg:None")</f>
        <v>UserRole</v>
      </c>
      <c r="X214" s="10" t="str">
        <f>IF(LEN(concatif2(A:A,Table2[[#This Row],[!Table]],G:G,"Y",D:D,",")) &gt; 0,"rg:[ { 'req' : '"&amp;concatif2(A:A,Table2[[#This Row],[!Table]],G:G,"Y",D:D,"' }, { 'req': '")&amp;"'} ]","rg:[]")</f>
        <v>rg:[ { 'req' : 'id' }, { 'req': 'name' }, { 'req': 'description'} ]</v>
      </c>
      <c r="Y214" s="10" t="str">
        <f>IF(LEN(Table2[[#This Row],[!Unique]])&gt;0,"rg:True","rg:None")</f>
        <v>rg:None</v>
      </c>
    </row>
    <row r="215" spans="1:25" x14ac:dyDescent="0.3">
      <c r="A215" s="3" t="s">
        <v>135</v>
      </c>
      <c r="B215" s="3" t="s">
        <v>5</v>
      </c>
      <c r="C215" s="3"/>
      <c r="D215" s="3" t="s">
        <v>135</v>
      </c>
      <c r="E215" s="43" t="s">
        <v>389</v>
      </c>
      <c r="F215" s="3" t="s">
        <v>6</v>
      </c>
      <c r="G215" s="4"/>
      <c r="H215" s="4"/>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RolePermission</v>
      </c>
      <c r="V215" s="10" t="str">
        <f>IF(LEN(Table2[[#This Row],[!Description]]) &gt; 0, Table2[[#This Row],[!Description]], "rg:None")</f>
        <v>The collection of permissions included in a role.</v>
      </c>
      <c r="W215" s="10" t="str">
        <f>IF(LEN(Table2[[#This Row],[!FK]])&gt;0,Table2[[#This Row],[!FK]],"rg:None")</f>
        <v>rg:None</v>
      </c>
      <c r="X215" s="10" t="str">
        <f>IF(LEN(concatif2(A:A,Table2[[#This Row],[!Table]],G:G,"Y",D:D,",")) &gt; 0,"rg:[ { 'req' : '"&amp;concatif2(A:A,Table2[[#This Row],[!Table]],G:G,"Y",D:D,"' }, { 'req': '")&amp;"'} ]","rg:[]")</f>
        <v>rg:[ { 'req' : 'id'} ]</v>
      </c>
      <c r="Y215" s="10" t="str">
        <f>IF(LEN(Table2[[#This Row],[!Unique]])&gt;0,"rg:True","rg:None")</f>
        <v>rg:None</v>
      </c>
    </row>
    <row r="216" spans="1:25" x14ac:dyDescent="0.3">
      <c r="A216" s="3" t="s">
        <v>135</v>
      </c>
      <c r="B216" s="3" t="s">
        <v>7</v>
      </c>
      <c r="C216" s="3"/>
      <c r="D216" s="3" t="s">
        <v>7</v>
      </c>
      <c r="E216" s="27" t="s">
        <v>303</v>
      </c>
      <c r="F216" s="3" t="s">
        <v>6</v>
      </c>
      <c r="G216" s="4" t="s">
        <v>142</v>
      </c>
      <c r="H216" s="4"/>
      <c r="I216" s="5" t="str">
        <f t="shared" si="7"/>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RolePermission</v>
      </c>
      <c r="W216" s="10" t="str">
        <f>IF(LEN(Table2[[#This Row],[!FK]])&gt;0,Table2[[#This Row],[!FK]],"rg:None")</f>
        <v>rg:None</v>
      </c>
      <c r="X216" s="10" t="str">
        <f>IF(LEN(concatif2(A:A,Table2[[#This Row],[!Table]],G:G,"Y",D:D,",")) &gt; 0,"rg:[ { 'req' : '"&amp;concatif2(A:A,Table2[[#This Row],[!Table]],G:G,"Y",D:D,"' }, { 'req': '")&amp;"'} ]","rg:[]")</f>
        <v>rg:[ { 'req' : 'id'} ]</v>
      </c>
      <c r="Y216" s="10" t="str">
        <f>IF(LEN(Table2[[#This Row],[!Unique]])&gt;0,"rg:True","rg:None")</f>
        <v>rg:None</v>
      </c>
    </row>
    <row r="217" spans="1:25" x14ac:dyDescent="0.3">
      <c r="A217" s="3" t="s">
        <v>135</v>
      </c>
      <c r="B217" s="3" t="s">
        <v>9</v>
      </c>
      <c r="C217" s="3"/>
      <c r="D217" s="3" t="s">
        <v>57</v>
      </c>
      <c r="E217" s="27"/>
      <c r="F217" s="3" t="s">
        <v>133</v>
      </c>
      <c r="G217" s="4"/>
      <c r="H217" s="4"/>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role</v>
      </c>
      <c r="V217" s="10" t="str">
        <f>IF(LEN(Table2[[#This Row],[!Description]]) &gt; 0, Table2[[#This Row],[!Description]], "rg:None")</f>
        <v>rg:None</v>
      </c>
      <c r="W217" s="10" t="str">
        <f>IF(LEN(Table2[[#This Row],[!FK]])&gt;0,Table2[[#This Row],[!FK]],"rg:None")</f>
        <v>Role</v>
      </c>
      <c r="X217" s="10" t="str">
        <f>IF(LEN(concatif2(A:A,Table2[[#This Row],[!Table]],G:G,"Y",D:D,",")) &gt; 0,"rg:[ { 'req' : '"&amp;concatif2(A:A,Table2[[#This Row],[!Table]],G:G,"Y",D:D,"' }, { 'req': '")&amp;"'} ]","rg:[]")</f>
        <v>rg:[ { 'req' : 'id'} ]</v>
      </c>
      <c r="Y217" s="10" t="str">
        <f>IF(LEN(Table2[[#This Row],[!Unique]])&gt;0,"rg:True","rg:None")</f>
        <v>rg:None</v>
      </c>
    </row>
    <row r="218" spans="1:25" x14ac:dyDescent="0.3">
      <c r="A218" s="3" t="s">
        <v>135</v>
      </c>
      <c r="B218" s="3" t="s">
        <v>9</v>
      </c>
      <c r="C218" s="3"/>
      <c r="D218" s="3" t="s">
        <v>136</v>
      </c>
      <c r="E218" s="27"/>
      <c r="F218" s="3" t="s">
        <v>137</v>
      </c>
      <c r="G218" s="4"/>
      <c r="H218" s="4"/>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permission</v>
      </c>
      <c r="V218" s="10" t="str">
        <f>IF(LEN(Table2[[#This Row],[!Description]]) &gt; 0, Table2[[#This Row],[!Description]], "rg:None")</f>
        <v>rg:None</v>
      </c>
      <c r="W218" s="10" t="str">
        <f>IF(LEN(Table2[[#This Row],[!FK]])&gt;0,Table2[[#This Row],[!FK]],"rg:None")</f>
        <v>Permission</v>
      </c>
      <c r="X218" s="10" t="str">
        <f>IF(LEN(concatif2(A:A,Table2[[#This Row],[!Table]],G:G,"Y",D:D,",")) &gt; 0,"rg:[ { 'req' : '"&amp;concatif2(A:A,Table2[[#This Row],[!Table]],G:G,"Y",D:D,"' }, { 'req': '")&amp;"'} ]","rg:[]")</f>
        <v>rg:[ { 'req' : 'id'} ]</v>
      </c>
      <c r="Y218" s="10" t="str">
        <f>IF(LEN(Table2[[#This Row],[!Unique]])&gt;0,"rg:True","rg:None")</f>
        <v>rg:None</v>
      </c>
    </row>
    <row r="219" spans="1:25" x14ac:dyDescent="0.3">
      <c r="A219" s="3" t="s">
        <v>137</v>
      </c>
      <c r="B219" s="3" t="s">
        <v>5</v>
      </c>
      <c r="C219" s="3"/>
      <c r="D219" s="3" t="s">
        <v>137</v>
      </c>
      <c r="E219" s="43" t="s">
        <v>391</v>
      </c>
      <c r="F219" s="3" t="s">
        <v>6</v>
      </c>
      <c r="G219" s="4"/>
      <c r="H219" s="4"/>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10" t="str">
        <f>IF(LEN(Table2[[#This Row],[!Length]]) &gt; 0, Table2[[#This Row],[!Length]], "rg:None")</f>
        <v>rg:None</v>
      </c>
      <c r="U219" s="10" t="str">
        <f>IF(LEN(Table2[[#This Row],[!Name]]) &gt; 0, Table2[[#This Row],[!Name]], "rg:None")</f>
        <v>Permission</v>
      </c>
      <c r="V219"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x14ac:dyDescent="0.3">
      <c r="A220" s="3" t="s">
        <v>137</v>
      </c>
      <c r="B220" s="3" t="s">
        <v>7</v>
      </c>
      <c r="C220" s="3"/>
      <c r="D220" s="3" t="s">
        <v>7</v>
      </c>
      <c r="E220" s="27" t="s">
        <v>304</v>
      </c>
      <c r="F220" s="3" t="s">
        <v>6</v>
      </c>
      <c r="G220" s="4" t="s">
        <v>142</v>
      </c>
      <c r="H220" s="4"/>
      <c r="I220" s="5" t="str">
        <f t="shared" si="7"/>
        <v>Defs</v>
      </c>
      <c r="J220" t="str">
        <f>IF(Table2[[#This Row],[!Type]]=J$1, J$1,"rg:None")</f>
        <v>rg:None</v>
      </c>
      <c r="K220" t="str">
        <f>IF(Table2[[#This Row],[!Type]]=K$1, K$1,"rg:None")</f>
        <v>rg:None</v>
      </c>
      <c r="L220" t="str">
        <f>IF(Table2[[#This Row],[!Type]]=L$1, L$1,"rg:None")</f>
        <v>rg:None</v>
      </c>
      <c r="M220" t="str">
        <f>IF(Table2[[#This Row],[!Type]]=M$1, M$1,"rg:None")</f>
        <v>id</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10" t="str">
        <f>IF(LEN(Table2[[#This Row],[!Length]]) &gt; 0, Table2[[#This Row],[!Length]], "rg:None")</f>
        <v>rg:None</v>
      </c>
      <c r="U220" s="10" t="str">
        <f>IF(LEN(Table2[[#This Row],[!Name]]) &gt; 0, Table2[[#This Row],[!Name]], "rg:None")</f>
        <v>id</v>
      </c>
      <c r="V220" s="10" t="str">
        <f>IF(LEN(Table2[[#This Row],[!Description]]) &gt; 0, Table2[[#This Row],[!Description]], "rg:None")</f>
        <v>A system-generated unique identifier for a Permission</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
      <c r="A221" s="3" t="s">
        <v>137</v>
      </c>
      <c r="B221" s="3" t="s">
        <v>8</v>
      </c>
      <c r="C221" s="3">
        <v>255</v>
      </c>
      <c r="D221" s="3" t="s">
        <v>138</v>
      </c>
      <c r="E221" s="43" t="s">
        <v>392</v>
      </c>
      <c r="F221" s="3" t="s">
        <v>6</v>
      </c>
      <c r="G221" s="4" t="s">
        <v>142</v>
      </c>
      <c r="H221" s="4"/>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code</v>
      </c>
      <c r="V221" s="10" t="str">
        <f>IF(LEN(Table2[[#This Row],[!Description]]) &gt; 0, Table2[[#This Row],[!Description]], "rg:None")</f>
        <v>The name of the permission referenced in the software of the application.</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x14ac:dyDescent="0.3">
      <c r="A222" s="3" t="s">
        <v>137</v>
      </c>
      <c r="B222" s="3" t="s">
        <v>8</v>
      </c>
      <c r="C222" s="3">
        <v>255</v>
      </c>
      <c r="D222" s="3" t="s">
        <v>46</v>
      </c>
      <c r="E222" s="43" t="s">
        <v>393</v>
      </c>
      <c r="F222" s="3" t="s">
        <v>6</v>
      </c>
      <c r="G222" s="4" t="s">
        <v>142</v>
      </c>
      <c r="H222" s="4"/>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name</v>
      </c>
      <c r="V222" s="10" t="str">
        <f>IF(LEN(Table2[[#This Row],[!Description]]) &gt; 0, Table2[[#This Row],[!Description]], "rg:None")</f>
        <v>The 'user friendly' name of the permission exposed to the user selecting the permissions to be included in a Role.</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x14ac:dyDescent="0.3">
      <c r="A223" s="3" t="s">
        <v>137</v>
      </c>
      <c r="B223" s="3" t="s">
        <v>8</v>
      </c>
      <c r="C223" s="3">
        <v>255</v>
      </c>
      <c r="D223" s="3" t="s">
        <v>44</v>
      </c>
      <c r="E223" s="43" t="s">
        <v>394</v>
      </c>
      <c r="F223" s="3" t="s">
        <v>6</v>
      </c>
      <c r="G223" s="4" t="s">
        <v>142</v>
      </c>
      <c r="H223" s="4"/>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10">
        <f>IF(LEN(Table2[[#This Row],[!Length]]) &gt; 0, Table2[[#This Row],[!Length]], "rg:None")</f>
        <v>255</v>
      </c>
      <c r="U223" s="10" t="str">
        <f>IF(LEN(Table2[[#This Row],[!Name]]) &gt; 0, Table2[[#This Row],[!Name]], "rg:None")</f>
        <v>description</v>
      </c>
      <c r="V223" s="10" t="str">
        <f>IF(LEN(Table2[[#This Row],[!Description]]) &gt; 0, Table2[[#This Row],[!Description]], "rg:None")</f>
        <v>A description of the purpose of the permission and exposed to the user selecting the permissions to be included in a Role.</v>
      </c>
      <c r="W223" s="10" t="str">
        <f>IF(LEN(Table2[[#This Row],[!FK]])&gt;0,Table2[[#This Row],[!FK]],"rg:None")</f>
        <v>rg:None</v>
      </c>
      <c r="X223" s="10" t="str">
        <f>IF(LEN(concatif2(A:A,Table2[[#This Row],[!Table]],G:G,"Y",D:D,",")) &gt; 0,"rg:[ { 'req' : '"&amp;concatif2(A:A,Table2[[#This Row],[!Table]],G:G,"Y",D:D,"' }, { 'req': '")&amp;"'} ]","rg:[]")</f>
        <v>rg:[ { 'req' : 'id' }, { 'req': 'code' }, { 'req': 'name' }, { 'req': 'description'} ]</v>
      </c>
      <c r="Y223" s="10" t="str">
        <f>IF(LEN(Table2[[#This Row],[!Unique]])&gt;0,"rg:True","rg:None")</f>
        <v>rg:None</v>
      </c>
    </row>
    <row r="224" spans="1:25" x14ac:dyDescent="0.3">
      <c r="A224" s="3" t="s">
        <v>139</v>
      </c>
      <c r="B224" s="3" t="s">
        <v>5</v>
      </c>
      <c r="C224" s="3"/>
      <c r="D224" s="3" t="s">
        <v>139</v>
      </c>
      <c r="E224" s="43" t="s">
        <v>395</v>
      </c>
      <c r="F224" s="3" t="s">
        <v>6</v>
      </c>
      <c r="G224" s="4"/>
      <c r="H224" s="4"/>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table</v>
      </c>
      <c r="T224" s="10" t="str">
        <f>IF(LEN(Table2[[#This Row],[!Length]]) &gt; 0, Table2[[#This Row],[!Length]], "rg:None")</f>
        <v>rg:None</v>
      </c>
      <c r="U224" s="10" t="str">
        <f>IF(LEN(Table2[[#This Row],[!Name]]) &gt; 0, Table2[[#This Row],[!Name]], "rg:None")</f>
        <v>GroupMembership</v>
      </c>
      <c r="V224" s="10" t="str">
        <f>IF(LEN(Table2[[#This Row],[!Description]]) &gt; 0, Table2[[#This Row],[!Description]], "rg:None")</f>
        <v>The users associated with a given group that has been defined in the application.</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25" x14ac:dyDescent="0.3">
      <c r="A225" s="3" t="s">
        <v>139</v>
      </c>
      <c r="B225" s="3" t="s">
        <v>7</v>
      </c>
      <c r="C225" s="3"/>
      <c r="D225" s="3" t="s">
        <v>7</v>
      </c>
      <c r="E225" s="27" t="s">
        <v>305</v>
      </c>
      <c r="F225" s="3" t="s">
        <v>6</v>
      </c>
      <c r="G225" s="4" t="s">
        <v>142</v>
      </c>
      <c r="H225" s="4"/>
      <c r="I225" s="5" t="str">
        <f t="shared" si="7"/>
        <v>Defs</v>
      </c>
      <c r="J225" t="str">
        <f>IF(Table2[[#This Row],[!Type]]=J$1, J$1,"rg:None")</f>
        <v>rg:None</v>
      </c>
      <c r="K225" t="str">
        <f>IF(Table2[[#This Row],[!Type]]=K$1, K$1,"rg:None")</f>
        <v>rg:None</v>
      </c>
      <c r="L225" t="str">
        <f>IF(Table2[[#This Row],[!Type]]=L$1, L$1,"rg:None")</f>
        <v>rg:None</v>
      </c>
      <c r="M225" t="str">
        <f>IF(Table2[[#This Row],[!Type]]=M$1, M$1,"rg:None")</f>
        <v>id</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id</v>
      </c>
      <c r="V225" s="10" t="str">
        <f>IF(LEN(Table2[[#This Row],[!Description]]) &gt; 0, Table2[[#This Row],[!Description]], "rg:None")</f>
        <v>A system-generated unique identifier for a GroupMembership</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25" x14ac:dyDescent="0.3">
      <c r="A226" s="3" t="s">
        <v>139</v>
      </c>
      <c r="B226" s="3" t="s">
        <v>14</v>
      </c>
      <c r="C226" s="3"/>
      <c r="D226" s="3" t="s">
        <v>122</v>
      </c>
      <c r="E226" s="43" t="s">
        <v>396</v>
      </c>
      <c r="F226" s="3" t="s">
        <v>6</v>
      </c>
      <c r="G226" s="4" t="s">
        <v>142</v>
      </c>
      <c r="H226" s="4"/>
      <c r="I226" s="5" t="str">
        <f t="shared" si="7"/>
        <v>Defs</v>
      </c>
      <c r="J226" t="str">
        <f>IF(Table2[[#This Row],[!Type]]=J$1, J$1,"rg:None")</f>
        <v>boolean</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active</v>
      </c>
      <c r="V226" s="10" t="str">
        <f>IF(LEN(Table2[[#This Row],[!Description]]) &gt; 0, Table2[[#This Row],[!Description]], "rg:None")</f>
        <v>A flag indicating the User is active in the group. Set false to remove the user from the designated group.</v>
      </c>
      <c r="W226" s="10" t="str">
        <f>IF(LEN(Table2[[#This Row],[!FK]])&gt;0,Table2[[#This Row],[!FK]],"rg:None")</f>
        <v>rg:None</v>
      </c>
      <c r="X226" s="10" t="str">
        <f>IF(LEN(concatif2(A:A,Table2[[#This Row],[!Table]],G:G,"Y",D:D,",")) &gt; 0,"rg:[ { 'req' : '"&amp;concatif2(A:A,Table2[[#This Row],[!Table]],G:G,"Y",D:D,"' }, { 'req': '")&amp;"'} ]","rg:[]")</f>
        <v>rg:[ { 'req' : 'id' }, { 'req': 'active'} ]</v>
      </c>
      <c r="Y226" s="10" t="str">
        <f>IF(LEN(Table2[[#This Row],[!Unique]])&gt;0,"rg:True","rg:None")</f>
        <v>rg:None</v>
      </c>
    </row>
    <row r="227" spans="1:25" x14ac:dyDescent="0.3">
      <c r="A227" s="3" t="s">
        <v>139</v>
      </c>
      <c r="B227" s="3" t="s">
        <v>9</v>
      </c>
      <c r="C227" s="3"/>
      <c r="D227" s="3" t="s">
        <v>140</v>
      </c>
      <c r="E227" s="27"/>
      <c r="F227" s="3" t="s">
        <v>141</v>
      </c>
      <c r="G227" s="4"/>
      <c r="H227" s="4"/>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ref</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group</v>
      </c>
      <c r="V227" s="10" t="str">
        <f>IF(LEN(Table2[[#This Row],[!Description]]) &gt; 0, Table2[[#This Row],[!Description]], "rg:None")</f>
        <v>rg:None</v>
      </c>
      <c r="W227" s="10" t="str">
        <f>IF(LEN(Table2[[#This Row],[!FK]])&gt;0,Table2[[#This Row],[!FK]],"rg:None")</f>
        <v>Group</v>
      </c>
      <c r="X227" s="10" t="str">
        <f>IF(LEN(concatif2(A:A,Table2[[#This Row],[!Table]],G:G,"Y",D:D,",")) &gt; 0,"rg:[ { 'req' : '"&amp;concatif2(A:A,Table2[[#This Row],[!Table]],G:G,"Y",D:D,"' }, { 'req': '")&amp;"'} ]","rg:[]")</f>
        <v>rg:[ { 'req' : 'id' }, { 'req': 'active'} ]</v>
      </c>
      <c r="Y227" s="10" t="str">
        <f>IF(LEN(Table2[[#This Row],[!Unique]])&gt;0,"rg:True","rg:None")</f>
        <v>rg:None</v>
      </c>
    </row>
    <row r="228" spans="1:25" x14ac:dyDescent="0.3">
      <c r="A228" s="3" t="s">
        <v>139</v>
      </c>
      <c r="B228" s="3" t="s">
        <v>9</v>
      </c>
      <c r="C228" s="3"/>
      <c r="D228" s="3" t="s">
        <v>117</v>
      </c>
      <c r="E228" s="27"/>
      <c r="F228" s="3" t="s">
        <v>0</v>
      </c>
      <c r="G228" s="4"/>
      <c r="H228" s="4"/>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ref</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user</v>
      </c>
      <c r="V228" s="10" t="str">
        <f>IF(LEN(Table2[[#This Row],[!Description]]) &gt; 0, Table2[[#This Row],[!Description]], "rg:None")</f>
        <v>rg:None</v>
      </c>
      <c r="W228" s="10" t="str">
        <f>IF(LEN(Table2[[#This Row],[!FK]])&gt;0,Table2[[#This Row],[!FK]],"rg:None")</f>
        <v>User</v>
      </c>
      <c r="X228" s="10" t="str">
        <f>IF(LEN(concatif2(A:A,Table2[[#This Row],[!Table]],G:G,"Y",D:D,",")) &gt; 0,"rg:[ { 'req' : '"&amp;concatif2(A:A,Table2[[#This Row],[!Table]],G:G,"Y",D:D,"' }, { 'req': '")&amp;"'} ]","rg:[]")</f>
        <v>rg:[ { 'req' : 'id' }, { 'req': 'active'} ]</v>
      </c>
      <c r="Y228" s="10" t="str">
        <f>IF(LEN(Table2[[#This Row],[!Unique]])&gt;0,"rg:True","rg:None")</f>
        <v>rg:None</v>
      </c>
    </row>
    <row r="229" spans="1:25" x14ac:dyDescent="0.3">
      <c r="A229" s="3" t="s">
        <v>141</v>
      </c>
      <c r="B229" s="3" t="s">
        <v>5</v>
      </c>
      <c r="C229" s="3"/>
      <c r="D229" s="3" t="s">
        <v>141</v>
      </c>
      <c r="E229" s="43" t="s">
        <v>397</v>
      </c>
      <c r="F229" s="3" t="s">
        <v>6</v>
      </c>
      <c r="G229" s="4"/>
      <c r="H229" s="4"/>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table</v>
      </c>
      <c r="T229" s="10" t="str">
        <f>IF(LEN(Table2[[#This Row],[!Length]]) &gt; 0, Table2[[#This Row],[!Length]], "rg:None")</f>
        <v>rg:None</v>
      </c>
      <c r="U229" s="10" t="str">
        <f>IF(LEN(Table2[[#This Row],[!Name]]) &gt; 0, Table2[[#This Row],[!Name]], "rg:None")</f>
        <v>Group</v>
      </c>
      <c r="V229"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25" x14ac:dyDescent="0.3">
      <c r="A230" s="3" t="s">
        <v>141</v>
      </c>
      <c r="B230" s="3" t="s">
        <v>7</v>
      </c>
      <c r="C230" s="3"/>
      <c r="D230" s="3" t="s">
        <v>7</v>
      </c>
      <c r="E230" s="27" t="s">
        <v>306</v>
      </c>
      <c r="F230" s="3" t="s">
        <v>6</v>
      </c>
      <c r="G230" s="4" t="s">
        <v>142</v>
      </c>
      <c r="H230" s="4"/>
      <c r="I230" s="5" t="str">
        <f t="shared" si="7"/>
        <v>Defs</v>
      </c>
      <c r="J230" t="str">
        <f>IF(Table2[[#This Row],[!Type]]=J$1, J$1,"rg:None")</f>
        <v>rg:None</v>
      </c>
      <c r="K230" t="str">
        <f>IF(Table2[[#This Row],[!Type]]=K$1, K$1,"rg:None")</f>
        <v>rg:None</v>
      </c>
      <c r="L230" t="str">
        <f>IF(Table2[[#This Row],[!Type]]=L$1, L$1,"rg:None")</f>
        <v>rg:None</v>
      </c>
      <c r="M230" t="str">
        <f>IF(Table2[[#This Row],[!Type]]=M$1, M$1,"rg:None")</f>
        <v>id</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10" t="str">
        <f>IF(LEN(Table2[[#This Row],[!Length]]) &gt; 0, Table2[[#This Row],[!Length]], "rg:None")</f>
        <v>rg:None</v>
      </c>
      <c r="U230" s="10" t="str">
        <f>IF(LEN(Table2[[#This Row],[!Name]]) &gt; 0, Table2[[#This Row],[!Name]], "rg:None")</f>
        <v>id</v>
      </c>
      <c r="V230" s="10" t="str">
        <f>IF(LEN(Table2[[#This Row],[!Description]]) &gt; 0, Table2[[#This Row],[!Description]], "rg:None")</f>
        <v>A system-generated unique identifier for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25" x14ac:dyDescent="0.3">
      <c r="A231" s="3" t="s">
        <v>141</v>
      </c>
      <c r="B231" s="3" t="s">
        <v>8</v>
      </c>
      <c r="C231" s="3">
        <v>255</v>
      </c>
      <c r="D231" s="3" t="s">
        <v>46</v>
      </c>
      <c r="E231" s="43" t="s">
        <v>398</v>
      </c>
      <c r="F231" s="3" t="s">
        <v>6</v>
      </c>
      <c r="G231" s="4" t="s">
        <v>142</v>
      </c>
      <c r="H231" s="4"/>
      <c r="I231" s="5" t="str">
        <f t="shared" si="7"/>
        <v>Defs</v>
      </c>
      <c r="J231" t="str">
        <f>IF(Table2[[#This Row],[!Type]]=J$1, J$1,"rg:None")</f>
        <v>rg:None</v>
      </c>
      <c r="K231" t="str">
        <f>IF(Table2[[#This Row],[!Type]]=K$1, K$1,"rg:None")</f>
        <v>rg:None</v>
      </c>
      <c r="L231" t="str">
        <f>IF(Table2[[#This Row],[!Type]]=L$1, L$1,"rg:None")</f>
        <v>rg:None</v>
      </c>
      <c r="M231" t="str">
        <f>IF(Table2[[#This Row],[!Type]]=M$1, M$1,"rg:None")</f>
        <v>rg:None</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string</v>
      </c>
      <c r="S231" s="5" t="str">
        <f>IF(Table2[[#This Row],[!Type]]=S$1, S$1,"rg:None")</f>
        <v>rg:None</v>
      </c>
      <c r="T231" s="10">
        <f>IF(LEN(Table2[[#This Row],[!Length]]) &gt; 0, Table2[[#This Row],[!Length]], "rg:None")</f>
        <v>255</v>
      </c>
      <c r="U231" s="10" t="str">
        <f>IF(LEN(Table2[[#This Row],[!Name]]) &gt; 0, Table2[[#This Row],[!Name]], "rg:None")</f>
        <v>name</v>
      </c>
      <c r="V231" s="10" t="str">
        <f>IF(LEN(Table2[[#This Row],[!Description]]) &gt; 0, Table2[[#This Row],[!Description]], "rg:None")</f>
        <v>The name of the group, as refenced in the code.</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row r="232" spans="1:25" x14ac:dyDescent="0.3">
      <c r="A232" s="3" t="s">
        <v>141</v>
      </c>
      <c r="B232" s="3" t="s">
        <v>8</v>
      </c>
      <c r="C232" s="3">
        <v>255</v>
      </c>
      <c r="D232" s="3" t="s">
        <v>44</v>
      </c>
      <c r="E232" s="43" t="s">
        <v>399</v>
      </c>
      <c r="F232" s="3" t="s">
        <v>6</v>
      </c>
      <c r="G232" s="4" t="s">
        <v>142</v>
      </c>
      <c r="H232" s="4"/>
      <c r="I232" s="5" t="str">
        <f t="shared" si="7"/>
        <v>Defs</v>
      </c>
      <c r="J232" t="str">
        <f>IF(Table2[[#This Row],[!Type]]=J$1, J$1,"rg:None")</f>
        <v>rg:None</v>
      </c>
      <c r="K232" t="str">
        <f>IF(Table2[[#This Row],[!Type]]=K$1, K$1,"rg:None")</f>
        <v>rg:None</v>
      </c>
      <c r="L232" t="str">
        <f>IF(Table2[[#This Row],[!Type]]=L$1, L$1,"rg:None")</f>
        <v>rg:None</v>
      </c>
      <c r="M232" t="str">
        <f>IF(Table2[[#This Row],[!Type]]=M$1, M$1,"rg:None")</f>
        <v>rg:None</v>
      </c>
      <c r="N232" s="10" t="str">
        <f>IF(Table2[[#This Row],[!Type]]=N$1, N$1,"rg:None")</f>
        <v>rg:None</v>
      </c>
      <c r="O232" s="10"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10">
        <f>IF(LEN(Table2[[#This Row],[!Length]]) &gt; 0, Table2[[#This Row],[!Length]], "rg:None")</f>
        <v>255</v>
      </c>
      <c r="U232" s="10" t="str">
        <f>IF(LEN(Table2[[#This Row],[!Name]]) &gt; 0, Table2[[#This Row],[!Name]], "rg:None")</f>
        <v>description</v>
      </c>
      <c r="V232" s="10" t="str">
        <f>IF(LEN(Table2[[#This Row],[!Description]]) &gt; 0, Table2[[#This Row],[!Description]], "rg:None")</f>
        <v>A description of the group that is presented to the user when they are setting a user into a group.</v>
      </c>
      <c r="W232" s="10" t="str">
        <f>IF(LEN(Table2[[#This Row],[!FK]])&gt;0,Table2[[#This Row],[!FK]],"rg:None")</f>
        <v>rg:None</v>
      </c>
      <c r="X232" s="10" t="str">
        <f>IF(LEN(concatif2(A:A,Table2[[#This Row],[!Table]],G:G,"Y",D:D,",")) &gt; 0,"rg:[ { 'req' : '"&amp;concatif2(A:A,Table2[[#This Row],[!Table]],G:G,"Y",D:D,"' }, { 'req': '")&amp;"'} ]","rg:[]")</f>
        <v>rg:[ { 'req' : 'id' }, { 'req': 'name' }, { 'req': 'description'} ]</v>
      </c>
      <c r="Y232"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6" activePane="bottomLeft" state="frozen"/>
      <selection pane="bottomLeft" activeCell="D36" sqref="D36"/>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201</v>
      </c>
      <c r="B1" s="1" t="s">
        <v>202</v>
      </c>
      <c r="C1" s="1" t="s">
        <v>203</v>
      </c>
      <c r="D1" s="1" t="s">
        <v>204</v>
      </c>
      <c r="E1" s="2" t="s">
        <v>205</v>
      </c>
      <c r="F1" s="1" t="s">
        <v>206</v>
      </c>
      <c r="G1" s="11" t="s">
        <v>182</v>
      </c>
      <c r="H1" s="11" t="s">
        <v>192</v>
      </c>
      <c r="I1" s="11" t="s">
        <v>193</v>
      </c>
      <c r="J1" s="11" t="s">
        <v>194</v>
      </c>
      <c r="K1" s="11" t="s">
        <v>195</v>
      </c>
      <c r="L1" s="11" t="s">
        <v>196</v>
      </c>
      <c r="M1" s="11" t="s">
        <v>197</v>
      </c>
      <c r="N1" s="11" t="s">
        <v>198</v>
      </c>
      <c r="O1" s="11" t="s">
        <v>199</v>
      </c>
      <c r="P1" s="11" t="s">
        <v>188</v>
      </c>
      <c r="Q1" s="11" t="s">
        <v>189</v>
      </c>
      <c r="R1" s="11" t="s">
        <v>190</v>
      </c>
      <c r="S1" s="11" t="s">
        <v>191</v>
      </c>
      <c r="T1" s="11" t="s">
        <v>1</v>
      </c>
    </row>
    <row r="2" spans="1:20" x14ac:dyDescent="0.3">
      <c r="A2" s="9" t="s">
        <v>192</v>
      </c>
      <c r="B2" s="9" t="s">
        <v>200</v>
      </c>
      <c r="C2" s="3" t="s">
        <v>71</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194</v>
      </c>
      <c r="B3" s="48" t="s">
        <v>200</v>
      </c>
      <c r="C3" s="50" t="s">
        <v>71</v>
      </c>
      <c r="D3" s="51" t="s">
        <v>71</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192</v>
      </c>
      <c r="B4" s="12" t="s">
        <v>213</v>
      </c>
      <c r="C4" s="3" t="s">
        <v>73</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194</v>
      </c>
      <c r="B5" s="48" t="s">
        <v>213</v>
      </c>
      <c r="C5" s="50" t="s">
        <v>73</v>
      </c>
      <c r="D5" s="51" t="s">
        <v>73</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192</v>
      </c>
      <c r="B6" s="12" t="s">
        <v>214</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194</v>
      </c>
      <c r="B7" s="48" t="s">
        <v>214</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192</v>
      </c>
      <c r="B8" s="32" t="s">
        <v>58</v>
      </c>
      <c r="C8" s="32" t="s">
        <v>240</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194</v>
      </c>
      <c r="B9" s="48" t="s">
        <v>58</v>
      </c>
      <c r="C9" s="50" t="s">
        <v>240</v>
      </c>
      <c r="D9" s="51" t="s">
        <v>240</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192</v>
      </c>
      <c r="B10" s="32" t="s">
        <v>241</v>
      </c>
      <c r="C10" s="32" t="s">
        <v>242</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194</v>
      </c>
      <c r="B11" s="48" t="s">
        <v>241</v>
      </c>
      <c r="C11" s="50" t="s">
        <v>242</v>
      </c>
      <c r="D11" s="51" t="s">
        <v>242</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192</v>
      </c>
      <c r="B12" s="32" t="s">
        <v>281</v>
      </c>
      <c r="C12" s="32" t="s">
        <v>244</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194</v>
      </c>
      <c r="B13" s="48" t="s">
        <v>281</v>
      </c>
      <c r="C13" s="50" t="s">
        <v>244</v>
      </c>
      <c r="D13" s="51" t="s">
        <v>244</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192</v>
      </c>
      <c r="B14" s="12" t="s">
        <v>216</v>
      </c>
      <c r="C14" s="3" t="s">
        <v>108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194</v>
      </c>
      <c r="B15" s="48" t="s">
        <v>216</v>
      </c>
      <c r="C15" s="50" t="s">
        <v>108</v>
      </c>
      <c r="D15" s="51" t="s">
        <v>108</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192</v>
      </c>
      <c r="B16" s="12" t="s">
        <v>215</v>
      </c>
      <c r="C16" s="3" t="s">
        <v>110</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194</v>
      </c>
      <c r="B17" s="48" t="s">
        <v>215</v>
      </c>
      <c r="C17" s="50" t="s">
        <v>110</v>
      </c>
      <c r="D17" s="51" t="s">
        <v>110</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192</v>
      </c>
      <c r="B18" s="12" t="s">
        <v>217</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194</v>
      </c>
      <c r="B19" s="48" t="s">
        <v>217</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192</v>
      </c>
      <c r="B20" s="32" t="s">
        <v>52</v>
      </c>
      <c r="C20" s="32" t="s">
        <v>250</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194</v>
      </c>
      <c r="B21" s="48" t="s">
        <v>52</v>
      </c>
      <c r="C21" s="50" t="s">
        <v>250</v>
      </c>
      <c r="D21" s="51" t="s">
        <v>250</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192</v>
      </c>
      <c r="B22" s="12" t="s">
        <v>218</v>
      </c>
      <c r="C22" s="3" t="s">
        <v>141</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194</v>
      </c>
      <c r="B23" s="48" t="s">
        <v>218</v>
      </c>
      <c r="C23" s="50" t="s">
        <v>141</v>
      </c>
      <c r="D23" s="51" t="s">
        <v>141</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192</v>
      </c>
      <c r="B24" s="12" t="s">
        <v>219</v>
      </c>
      <c r="C24" s="3" t="s">
        <v>137</v>
      </c>
      <c r="D24" s="17" t="s">
        <v>230</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194</v>
      </c>
      <c r="B25" s="39" t="s">
        <v>219</v>
      </c>
      <c r="C25" s="40" t="s">
        <v>137</v>
      </c>
      <c r="D25" s="41" t="s">
        <v>137</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192</v>
      </c>
      <c r="B26" s="12" t="s">
        <v>220</v>
      </c>
      <c r="C26" s="3" t="s">
        <v>133</v>
      </c>
      <c r="D26" s="17" t="s">
        <v>231</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194</v>
      </c>
      <c r="B27" s="39" t="s">
        <v>220</v>
      </c>
      <c r="C27" s="40" t="s">
        <v>133</v>
      </c>
      <c r="D27" s="41" t="s">
        <v>133</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194</v>
      </c>
      <c r="B28" s="12" t="s">
        <v>227</v>
      </c>
      <c r="C28" s="49" t="s">
        <v>133</v>
      </c>
      <c r="D28" s="17" t="s">
        <v>135</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194</v>
      </c>
      <c r="B29" s="13" t="s">
        <v>228</v>
      </c>
      <c r="C29" s="18" t="s">
        <v>0</v>
      </c>
      <c r="D29" s="17" t="s">
        <v>139</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194</v>
      </c>
      <c r="B30" s="12" t="s">
        <v>221</v>
      </c>
      <c r="C30" s="17" t="s">
        <v>0</v>
      </c>
      <c r="D30" s="17" t="s">
        <v>130</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192</v>
      </c>
      <c r="B31" s="12" t="s">
        <v>222</v>
      </c>
      <c r="C31" s="3" t="s">
        <v>87</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194</v>
      </c>
      <c r="B32" s="48" t="s">
        <v>222</v>
      </c>
      <c r="C32" s="50" t="s">
        <v>87</v>
      </c>
      <c r="D32" s="51" t="s">
        <v>87</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192</v>
      </c>
      <c r="B33" s="12" t="s">
        <v>223</v>
      </c>
      <c r="C33" s="3" t="s">
        <v>93</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194</v>
      </c>
      <c r="B34" s="48" t="s">
        <v>223</v>
      </c>
      <c r="C34" s="50" t="s">
        <v>93</v>
      </c>
      <c r="D34" s="51" t="s">
        <v>93</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56" t="s">
        <v>192</v>
      </c>
      <c r="B35" s="56" t="s">
        <v>429</v>
      </c>
      <c r="C35" s="59" t="s">
        <v>417</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56" t="s">
        <v>194</v>
      </c>
      <c r="B36" s="56" t="s">
        <v>429</v>
      </c>
      <c r="C36" s="59" t="s">
        <v>417</v>
      </c>
      <c r="D36" s="59" t="s">
        <v>417</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
      <c r="A37" s="9" t="s">
        <v>192</v>
      </c>
      <c r="B37" s="12" t="s">
        <v>224</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194</v>
      </c>
      <c r="B38" s="48" t="s">
        <v>224</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
      <c r="A39" s="9" t="s">
        <v>192</v>
      </c>
      <c r="B39" s="12" t="s">
        <v>225</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194</v>
      </c>
      <c r="B40" s="48" t="s">
        <v>225</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
      <c r="A41" s="9" t="s">
        <v>192</v>
      </c>
      <c r="B41" s="12" t="s">
        <v>226</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
      <c r="A42" s="48" t="s">
        <v>194</v>
      </c>
      <c r="B42" s="48" t="s">
        <v>226</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182</v>
      </c>
      <c r="B1" t="s">
        <v>185</v>
      </c>
    </row>
    <row r="2" spans="1:2" x14ac:dyDescent="0.3">
      <c r="A2" t="s">
        <v>187</v>
      </c>
      <c r="B2"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182</v>
      </c>
      <c r="B1" s="7" t="s">
        <v>185</v>
      </c>
    </row>
    <row r="2" spans="1:2" x14ac:dyDescent="0.3">
      <c r="A2" t="s">
        <v>187</v>
      </c>
      <c r="B2" t="s">
        <v>232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2017-02-19T21:29:59Z</dcterms:modified>
</cp:coreProperties>
</file>