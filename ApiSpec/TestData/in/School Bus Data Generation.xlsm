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8780" windowHeight="10032" firstSheet="9" activeTab="17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" sheetId="35" r:id="rId7"/>
    <sheet name="Owners.csv" sheetId="2" r:id="rId8"/>
    <sheet name="schoolDistricts.csv" sheetId="17" r:id="rId9"/>
    <sheet name="Regions.csv" sheetId="19" r:id="rId10"/>
    <sheet name="Districts.csv" sheetId="22" r:id="rId11"/>
    <sheet name="ServiceAreas.csv" sheetId="25" r:id="rId12"/>
    <sheet name="CCW.csv" sheetId="26" r:id="rId13"/>
    <sheet name="SchoolBus.csv" sheetId="27" r:id="rId14"/>
    <sheet name="OwnerContacts" sheetId="15" r:id="rId15"/>
    <sheet name="Names" sheetId="28" r:id="rId16"/>
    <sheet name="Notifications" sheetId="16" r:id="rId17"/>
    <sheet name="Lookups" sheetId="9" r:id="rId18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1" i="27" l="1"/>
  <c r="I31" i="27"/>
  <c r="K30" i="27"/>
  <c r="I30" i="27"/>
  <c r="K29" i="27"/>
  <c r="I29" i="27"/>
  <c r="K28" i="27"/>
  <c r="I28" i="27"/>
  <c r="K27" i="27"/>
  <c r="I27" i="27"/>
  <c r="K26" i="27"/>
  <c r="I26" i="27"/>
  <c r="K25" i="27"/>
  <c r="I25" i="27"/>
  <c r="K24" i="27"/>
  <c r="I24" i="27"/>
  <c r="K23" i="27"/>
  <c r="I23" i="27"/>
  <c r="K22" i="27"/>
  <c r="I22" i="27"/>
  <c r="K21" i="27"/>
  <c r="I21" i="27"/>
  <c r="K20" i="27"/>
  <c r="I20" i="27"/>
  <c r="K19" i="27"/>
  <c r="I19" i="27"/>
  <c r="K18" i="27"/>
  <c r="I18" i="27"/>
  <c r="K17" i="27"/>
  <c r="I17" i="27"/>
  <c r="K16" i="27"/>
  <c r="I16" i="27"/>
  <c r="K15" i="27"/>
  <c r="I15" i="27"/>
  <c r="K14" i="27"/>
  <c r="I14" i="27"/>
  <c r="K13" i="27"/>
  <c r="I13" i="27"/>
  <c r="K12" i="27"/>
  <c r="I12" i="27"/>
  <c r="K11" i="27"/>
  <c r="I11" i="27"/>
  <c r="K10" i="27"/>
  <c r="I10" i="27"/>
  <c r="K9" i="27"/>
  <c r="I9" i="27"/>
  <c r="K8" i="27"/>
  <c r="I8" i="27"/>
  <c r="K7" i="27"/>
  <c r="I7" i="27"/>
  <c r="K6" i="27"/>
  <c r="I6" i="27"/>
  <c r="K5" i="27"/>
  <c r="I5" i="27"/>
  <c r="K4" i="27"/>
  <c r="I4" i="27"/>
  <c r="K3" i="27"/>
  <c r="I3" i="27"/>
  <c r="K2" i="27"/>
  <c r="I2" i="27"/>
  <c r="Q31" i="27"/>
  <c r="Q30" i="27"/>
  <c r="Q29" i="27"/>
  <c r="Q28" i="27"/>
  <c r="Q27" i="27"/>
  <c r="Q26" i="27"/>
  <c r="Q25" i="27"/>
  <c r="Q24" i="27"/>
  <c r="Q23" i="27"/>
  <c r="Q22" i="27"/>
  <c r="Q21" i="27"/>
  <c r="Q20" i="27"/>
  <c r="Q19" i="27"/>
  <c r="Q18" i="27"/>
  <c r="Q17" i="27"/>
  <c r="Q16" i="27"/>
  <c r="Q15" i="27"/>
  <c r="Q14" i="27"/>
  <c r="Q13" i="27"/>
  <c r="Q12" i="27"/>
  <c r="Q11" i="27"/>
  <c r="Q10" i="27"/>
  <c r="Q9" i="27"/>
  <c r="Q8" i="27"/>
  <c r="Q7" i="27"/>
  <c r="Q6" i="27"/>
  <c r="Q5" i="27"/>
  <c r="Q4" i="27"/>
  <c r="Q3" i="27"/>
  <c r="Q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D43" i="34"/>
  <c r="A43" i="34"/>
  <c r="D42" i="34"/>
  <c r="A42" i="34"/>
  <c r="D41" i="34"/>
  <c r="A41" i="34"/>
  <c r="D40" i="34"/>
  <c r="A40" i="34"/>
  <c r="D39" i="34"/>
  <c r="A39" i="34"/>
  <c r="D38" i="34"/>
  <c r="A38" i="34"/>
  <c r="D37" i="34"/>
  <c r="A37" i="34"/>
  <c r="D36" i="34"/>
  <c r="A36" i="34"/>
  <c r="D35" i="34"/>
  <c r="A35" i="34"/>
  <c r="D34" i="34"/>
  <c r="A34" i="34"/>
  <c r="D33" i="34"/>
  <c r="A33" i="34"/>
  <c r="D32" i="34"/>
  <c r="A32" i="34"/>
  <c r="D31" i="34"/>
  <c r="A31" i="34"/>
  <c r="D30" i="34"/>
  <c r="A30" i="34"/>
  <c r="D29" i="34"/>
  <c r="A29" i="34"/>
  <c r="D28" i="34"/>
  <c r="A28" i="34"/>
  <c r="D27" i="34"/>
  <c r="A27" i="34"/>
  <c r="D26" i="34"/>
  <c r="A26" i="34"/>
  <c r="D25" i="34"/>
  <c r="A25" i="34"/>
  <c r="D24" i="34"/>
  <c r="A24" i="34"/>
  <c r="D23" i="34"/>
  <c r="A23" i="34"/>
  <c r="D22" i="34"/>
  <c r="A22" i="34"/>
  <c r="D21" i="34"/>
  <c r="A21" i="34"/>
  <c r="D20" i="34"/>
  <c r="A20" i="34"/>
  <c r="D19" i="34"/>
  <c r="A19" i="34"/>
  <c r="D18" i="34"/>
  <c r="A18" i="34"/>
  <c r="D17" i="34"/>
  <c r="A17" i="34"/>
  <c r="D16" i="34"/>
  <c r="A16" i="34"/>
  <c r="D15" i="34"/>
  <c r="A15" i="34"/>
  <c r="D14" i="34"/>
  <c r="A14" i="34"/>
  <c r="D13" i="34"/>
  <c r="A13" i="34"/>
  <c r="D12" i="34"/>
  <c r="A12" i="34"/>
  <c r="D11" i="34"/>
  <c r="A11" i="34"/>
  <c r="D10" i="34"/>
  <c r="A10" i="34"/>
  <c r="D9" i="34"/>
  <c r="A9" i="34"/>
  <c r="D8" i="34"/>
  <c r="A8" i="34"/>
  <c r="D7" i="34"/>
  <c r="A7" i="34"/>
  <c r="D6" i="34"/>
  <c r="A6" i="34"/>
  <c r="D5" i="34"/>
  <c r="B5" i="34"/>
  <c r="B6" i="34" s="1"/>
  <c r="B7" i="34" s="1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A5" i="34"/>
  <c r="D4" i="34"/>
  <c r="B4" i="34"/>
  <c r="A4" i="34"/>
  <c r="D3" i="34"/>
  <c r="B3" i="34"/>
  <c r="A3" i="34"/>
  <c r="C40" i="36"/>
  <c r="B40" i="36"/>
  <c r="F40" i="36" s="1"/>
  <c r="F39" i="36"/>
  <c r="C39" i="36"/>
  <c r="B39" i="36"/>
  <c r="C38" i="36"/>
  <c r="B38" i="36"/>
  <c r="F38" i="36" s="1"/>
  <c r="C37" i="36"/>
  <c r="B37" i="36"/>
  <c r="F37" i="36" s="1"/>
  <c r="C36" i="36"/>
  <c r="B36" i="36"/>
  <c r="F36" i="36" s="1"/>
  <c r="F35" i="36"/>
  <c r="C35" i="36"/>
  <c r="B35" i="36"/>
  <c r="C34" i="36"/>
  <c r="B34" i="36"/>
  <c r="F34" i="36" s="1"/>
  <c r="C33" i="36"/>
  <c r="B33" i="36"/>
  <c r="F33" i="36" s="1"/>
  <c r="C32" i="36"/>
  <c r="B32" i="36"/>
  <c r="F32" i="36" s="1"/>
  <c r="F31" i="36"/>
  <c r="C31" i="36"/>
  <c r="B31" i="36"/>
  <c r="C30" i="36"/>
  <c r="B30" i="36"/>
  <c r="F30" i="36" s="1"/>
  <c r="C29" i="36"/>
  <c r="B29" i="36"/>
  <c r="F29" i="36" s="1"/>
  <c r="C28" i="36"/>
  <c r="F28" i="36" s="1"/>
  <c r="B28" i="36"/>
  <c r="F27" i="36"/>
  <c r="C27" i="36"/>
  <c r="B27" i="36"/>
  <c r="C26" i="36"/>
  <c r="B26" i="36"/>
  <c r="F26" i="36" s="1"/>
  <c r="C25" i="36"/>
  <c r="B25" i="36"/>
  <c r="F25" i="36" s="1"/>
  <c r="C24" i="36"/>
  <c r="F24" i="36" s="1"/>
  <c r="B24" i="36"/>
  <c r="F23" i="36"/>
  <c r="C23" i="36"/>
  <c r="B23" i="36"/>
  <c r="C22" i="36"/>
  <c r="B22" i="36"/>
  <c r="F22" i="36" s="1"/>
  <c r="C21" i="36"/>
  <c r="B21" i="36"/>
  <c r="F21" i="36" s="1"/>
  <c r="C20" i="36"/>
  <c r="F20" i="36" s="1"/>
  <c r="B20" i="36"/>
  <c r="F19" i="36"/>
  <c r="C19" i="36"/>
  <c r="B19" i="36"/>
  <c r="C18" i="36"/>
  <c r="B18" i="36"/>
  <c r="F18" i="36" s="1"/>
  <c r="C17" i="36"/>
  <c r="B17" i="36"/>
  <c r="F17" i="36" s="1"/>
  <c r="F16" i="36"/>
  <c r="C16" i="36"/>
  <c r="B16" i="36"/>
  <c r="F15" i="36"/>
  <c r="C15" i="36"/>
  <c r="B15" i="36"/>
  <c r="C14" i="36"/>
  <c r="B14" i="36"/>
  <c r="F14" i="36" s="1"/>
  <c r="C13" i="36"/>
  <c r="B13" i="36"/>
  <c r="F13" i="36" s="1"/>
  <c r="F12" i="36"/>
  <c r="C12" i="36"/>
  <c r="B12" i="36"/>
  <c r="F11" i="36"/>
  <c r="C11" i="36"/>
  <c r="B11" i="36"/>
  <c r="C10" i="36"/>
  <c r="B10" i="36"/>
  <c r="F10" i="36" s="1"/>
  <c r="C9" i="36"/>
  <c r="B9" i="36"/>
  <c r="F9" i="36" s="1"/>
  <c r="F8" i="36"/>
  <c r="C8" i="36"/>
  <c r="B8" i="36"/>
  <c r="F7" i="36"/>
  <c r="C7" i="36"/>
  <c r="B7" i="36"/>
  <c r="C6" i="36"/>
  <c r="B6" i="36"/>
  <c r="F6" i="36" s="1"/>
  <c r="C5" i="36"/>
  <c r="B5" i="36"/>
  <c r="F5" i="36" s="1"/>
  <c r="F4" i="36"/>
  <c r="C4" i="36"/>
  <c r="B4" i="36"/>
  <c r="F3" i="36"/>
  <c r="C3" i="36"/>
  <c r="B3" i="36"/>
  <c r="F2" i="36"/>
  <c r="C2" i="36"/>
  <c r="B2" i="36"/>
  <c r="D2" i="34" l="1"/>
  <c r="B2" i="34"/>
  <c r="A2" i="34"/>
  <c r="B5" i="15"/>
  <c r="B4" i="15"/>
  <c r="B3" i="15"/>
  <c r="E31" i="27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L6" i="27" l="1"/>
  <c r="N6" i="27"/>
  <c r="J6" i="27"/>
  <c r="M6" i="27"/>
  <c r="L10" i="27"/>
  <c r="N10" i="27"/>
  <c r="J10" i="27"/>
  <c r="M10" i="27"/>
  <c r="L14" i="27"/>
  <c r="N14" i="27"/>
  <c r="J14" i="27"/>
  <c r="M14" i="27"/>
  <c r="L18" i="27"/>
  <c r="N18" i="27"/>
  <c r="J18" i="27"/>
  <c r="M18" i="27"/>
  <c r="L22" i="27"/>
  <c r="N22" i="27"/>
  <c r="J22" i="27"/>
  <c r="M22" i="27"/>
  <c r="L26" i="27"/>
  <c r="N26" i="27"/>
  <c r="J26" i="27"/>
  <c r="M26" i="27"/>
  <c r="L30" i="27"/>
  <c r="N30" i="27"/>
  <c r="J30" i="27"/>
  <c r="M30" i="27"/>
  <c r="N3" i="27"/>
  <c r="J3" i="27"/>
  <c r="M3" i="27"/>
  <c r="L3" i="27"/>
  <c r="N11" i="27"/>
  <c r="J11" i="27"/>
  <c r="M11" i="27"/>
  <c r="L11" i="27"/>
  <c r="N15" i="27"/>
  <c r="J15" i="27"/>
  <c r="M15" i="27"/>
  <c r="L15" i="27"/>
  <c r="N19" i="27"/>
  <c r="J19" i="27"/>
  <c r="M19" i="27"/>
  <c r="L19" i="27"/>
  <c r="N23" i="27"/>
  <c r="J23" i="27"/>
  <c r="M23" i="27"/>
  <c r="L23" i="27"/>
  <c r="N27" i="27"/>
  <c r="J27" i="27"/>
  <c r="M27" i="27"/>
  <c r="L27" i="27"/>
  <c r="N31" i="27"/>
  <c r="J31" i="27"/>
  <c r="M31" i="27"/>
  <c r="L31" i="27"/>
  <c r="L4" i="27"/>
  <c r="N4" i="27"/>
  <c r="J4" i="27"/>
  <c r="M4" i="27"/>
  <c r="L8" i="27"/>
  <c r="N8" i="27"/>
  <c r="J8" i="27"/>
  <c r="M8" i="27"/>
  <c r="L12" i="27"/>
  <c r="N12" i="27"/>
  <c r="J12" i="27"/>
  <c r="M12" i="27"/>
  <c r="L16" i="27"/>
  <c r="N16" i="27"/>
  <c r="J16" i="27"/>
  <c r="M16" i="27"/>
  <c r="L20" i="27"/>
  <c r="N20" i="27"/>
  <c r="J20" i="27"/>
  <c r="M20" i="27"/>
  <c r="L24" i="27"/>
  <c r="N24" i="27"/>
  <c r="J24" i="27"/>
  <c r="M24" i="27"/>
  <c r="L28" i="27"/>
  <c r="N28" i="27"/>
  <c r="J28" i="27"/>
  <c r="M28" i="27"/>
  <c r="N7" i="27"/>
  <c r="J7" i="27"/>
  <c r="M7" i="27"/>
  <c r="L7" i="27"/>
  <c r="N5" i="27"/>
  <c r="J5" i="27"/>
  <c r="M5" i="27"/>
  <c r="L5" i="27"/>
  <c r="N9" i="27"/>
  <c r="J9" i="27"/>
  <c r="M9" i="27"/>
  <c r="L9" i="27"/>
  <c r="N13" i="27"/>
  <c r="J13" i="27"/>
  <c r="M13" i="27"/>
  <c r="L13" i="27"/>
  <c r="N17" i="27"/>
  <c r="J17" i="27"/>
  <c r="M17" i="27"/>
  <c r="L17" i="27"/>
  <c r="N21" i="27"/>
  <c r="J21" i="27"/>
  <c r="M21" i="27"/>
  <c r="L21" i="27"/>
  <c r="N25" i="27"/>
  <c r="J25" i="27"/>
  <c r="M25" i="27"/>
  <c r="L25" i="27"/>
  <c r="N29" i="27"/>
  <c r="J29" i="27"/>
  <c r="M29" i="27"/>
  <c r="L29" i="27"/>
  <c r="L2" i="27"/>
  <c r="N2" i="27"/>
  <c r="M2" i="27"/>
  <c r="J2" i="27"/>
  <c r="B2" i="1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F19" i="2" l="1"/>
  <c r="D19" i="2"/>
  <c r="F18" i="2"/>
  <c r="D18" i="2"/>
  <c r="F17" i="2"/>
  <c r="D17" i="2"/>
  <c r="F16" i="2"/>
  <c r="D16" i="2"/>
  <c r="F15" i="2"/>
  <c r="D15" i="2"/>
  <c r="F14" i="2"/>
  <c r="D14" i="2"/>
  <c r="F13" i="2"/>
  <c r="D13" i="2"/>
  <c r="F12" i="2"/>
  <c r="D12" i="2"/>
  <c r="F11" i="2"/>
  <c r="D11" i="2"/>
  <c r="F10" i="2"/>
  <c r="D10" i="2"/>
  <c r="F9" i="2"/>
  <c r="D9" i="2"/>
  <c r="F8" i="2"/>
  <c r="D8" i="2"/>
  <c r="F7" i="2"/>
  <c r="D7" i="2"/>
  <c r="F6" i="2"/>
  <c r="D6" i="2"/>
  <c r="F5" i="2"/>
  <c r="D5" i="2"/>
  <c r="F4" i="2"/>
  <c r="D4" i="2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6" i="19"/>
  <c r="D5" i="19"/>
  <c r="D4" i="19"/>
  <c r="D3" i="19"/>
  <c r="D2" i="19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F2" i="2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P9" i="27"/>
  <c r="P8" i="27"/>
  <c r="P7" i="27"/>
  <c r="P6" i="27"/>
  <c r="P5" i="27"/>
  <c r="P4" i="27"/>
  <c r="P3" i="27"/>
  <c r="P2" i="27"/>
  <c r="F3" i="2"/>
  <c r="D3" i="2"/>
  <c r="D2" i="2"/>
  <c r="B2" i="2"/>
  <c r="W31" i="27"/>
  <c r="T31" i="27"/>
  <c r="R31" i="27"/>
  <c r="S31" i="27" s="1"/>
  <c r="D31" i="27"/>
  <c r="C31" i="27"/>
  <c r="W30" i="27"/>
  <c r="T30" i="27"/>
  <c r="R30" i="27"/>
  <c r="S30" i="27" s="1"/>
  <c r="D30" i="27"/>
  <c r="C30" i="27"/>
  <c r="W29" i="27"/>
  <c r="T29" i="27"/>
  <c r="R29" i="27"/>
  <c r="S29" i="27" s="1"/>
  <c r="D29" i="27"/>
  <c r="C29" i="27"/>
  <c r="W28" i="27"/>
  <c r="T28" i="27"/>
  <c r="R28" i="27"/>
  <c r="S28" i="27" s="1"/>
  <c r="D28" i="27"/>
  <c r="C28" i="27"/>
  <c r="W27" i="27"/>
  <c r="T27" i="27"/>
  <c r="R27" i="27"/>
  <c r="S27" i="27" s="1"/>
  <c r="D27" i="27"/>
  <c r="C27" i="27"/>
  <c r="W26" i="27"/>
  <c r="T26" i="27"/>
  <c r="R26" i="27"/>
  <c r="S26" i="27" s="1"/>
  <c r="D26" i="27"/>
  <c r="C26" i="27"/>
  <c r="W25" i="27"/>
  <c r="T25" i="27"/>
  <c r="R25" i="27"/>
  <c r="S25" i="27" s="1"/>
  <c r="D25" i="27"/>
  <c r="C25" i="27"/>
  <c r="W24" i="27"/>
  <c r="T24" i="27"/>
  <c r="R24" i="27"/>
  <c r="S24" i="27" s="1"/>
  <c r="D24" i="27"/>
  <c r="C24" i="27"/>
  <c r="W23" i="27"/>
  <c r="T23" i="27"/>
  <c r="R23" i="27"/>
  <c r="S23" i="27" s="1"/>
  <c r="D23" i="27"/>
  <c r="C23" i="27"/>
  <c r="W22" i="27"/>
  <c r="T22" i="27"/>
  <c r="R22" i="27"/>
  <c r="S22" i="27" s="1"/>
  <c r="D22" i="27"/>
  <c r="C22" i="27"/>
  <c r="W21" i="27"/>
  <c r="T21" i="27"/>
  <c r="R21" i="27"/>
  <c r="S21" i="27" s="1"/>
  <c r="D21" i="27"/>
  <c r="C21" i="27"/>
  <c r="W20" i="27"/>
  <c r="T20" i="27"/>
  <c r="R20" i="27"/>
  <c r="S20" i="27" s="1"/>
  <c r="D20" i="27"/>
  <c r="C20" i="27"/>
  <c r="W19" i="27"/>
  <c r="T19" i="27"/>
  <c r="R19" i="27"/>
  <c r="S19" i="27" s="1"/>
  <c r="D19" i="27"/>
  <c r="C19" i="27"/>
  <c r="W18" i="27"/>
  <c r="T18" i="27"/>
  <c r="R18" i="27"/>
  <c r="S18" i="27" s="1"/>
  <c r="D18" i="27"/>
  <c r="C18" i="27"/>
  <c r="W17" i="27"/>
  <c r="T17" i="27"/>
  <c r="R17" i="27"/>
  <c r="S17" i="27" s="1"/>
  <c r="D17" i="27"/>
  <c r="C17" i="27"/>
  <c r="W16" i="27"/>
  <c r="T16" i="27"/>
  <c r="R16" i="27"/>
  <c r="S16" i="27" s="1"/>
  <c r="D16" i="27"/>
  <c r="C16" i="27"/>
  <c r="W15" i="27"/>
  <c r="T15" i="27"/>
  <c r="R15" i="27"/>
  <c r="S15" i="27" s="1"/>
  <c r="D15" i="27"/>
  <c r="C15" i="27"/>
  <c r="W14" i="27"/>
  <c r="T14" i="27"/>
  <c r="R14" i="27"/>
  <c r="S14" i="27" s="1"/>
  <c r="D14" i="27"/>
  <c r="C14" i="27"/>
  <c r="W13" i="27"/>
  <c r="T13" i="27"/>
  <c r="R13" i="27"/>
  <c r="S13" i="27" s="1"/>
  <c r="D13" i="27"/>
  <c r="C13" i="27"/>
  <c r="W12" i="27"/>
  <c r="T12" i="27"/>
  <c r="R12" i="27"/>
  <c r="S12" i="27" s="1"/>
  <c r="D12" i="27"/>
  <c r="C12" i="27"/>
  <c r="W11" i="27"/>
  <c r="T11" i="27"/>
  <c r="R11" i="27"/>
  <c r="S11" i="27" s="1"/>
  <c r="D11" i="27"/>
  <c r="C11" i="27"/>
  <c r="W10" i="27"/>
  <c r="T10" i="27"/>
  <c r="R10" i="27"/>
  <c r="S10" i="27" s="1"/>
  <c r="D10" i="27"/>
  <c r="C10" i="27"/>
  <c r="W9" i="27"/>
  <c r="T9" i="27"/>
  <c r="R9" i="27"/>
  <c r="S9" i="27" s="1"/>
  <c r="D9" i="27"/>
  <c r="C9" i="27"/>
  <c r="W8" i="27"/>
  <c r="T8" i="27"/>
  <c r="R8" i="27"/>
  <c r="S8" i="27" s="1"/>
  <c r="D8" i="27"/>
  <c r="C8" i="27"/>
  <c r="W7" i="27"/>
  <c r="T7" i="27"/>
  <c r="R7" i="27"/>
  <c r="S7" i="27" s="1"/>
  <c r="D7" i="27"/>
  <c r="C7" i="27"/>
  <c r="W6" i="27"/>
  <c r="T6" i="27"/>
  <c r="R6" i="27"/>
  <c r="S6" i="27" s="1"/>
  <c r="D6" i="27"/>
  <c r="C6" i="27"/>
  <c r="W5" i="27"/>
  <c r="T5" i="27"/>
  <c r="R5" i="27"/>
  <c r="S5" i="27" s="1"/>
  <c r="D5" i="27"/>
  <c r="C5" i="27"/>
  <c r="W4" i="27"/>
  <c r="T4" i="27"/>
  <c r="R4" i="27"/>
  <c r="S4" i="27" s="1"/>
  <c r="D4" i="27"/>
  <c r="C4" i="27"/>
  <c r="W3" i="27"/>
  <c r="T3" i="27"/>
  <c r="R3" i="27"/>
  <c r="S3" i="27" s="1"/>
  <c r="D3" i="27"/>
  <c r="C3" i="27"/>
  <c r="T2" i="27"/>
  <c r="R2" i="27"/>
  <c r="S2" i="27" s="1"/>
  <c r="W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C2" i="27"/>
  <c r="V8" i="27" l="1"/>
  <c r="V20" i="27"/>
  <c r="V12" i="27"/>
  <c r="V28" i="27"/>
  <c r="V5" i="27"/>
  <c r="V9" i="27"/>
  <c r="V13" i="27"/>
  <c r="V17" i="27"/>
  <c r="V21" i="27"/>
  <c r="V25" i="27"/>
  <c r="V29" i="27"/>
  <c r="V24" i="27"/>
  <c r="V2" i="27"/>
  <c r="V6" i="27"/>
  <c r="V10" i="27"/>
  <c r="V14" i="27"/>
  <c r="V18" i="27"/>
  <c r="V22" i="27"/>
  <c r="V26" i="27"/>
  <c r="V30" i="27"/>
  <c r="V4" i="27"/>
  <c r="V16" i="27"/>
  <c r="V3" i="27"/>
  <c r="V7" i="27"/>
  <c r="V11" i="27"/>
  <c r="V15" i="27"/>
  <c r="V19" i="27"/>
  <c r="V23" i="27"/>
  <c r="V27" i="27"/>
  <c r="V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A4" i="9" l="1"/>
  <c r="B19" i="2"/>
  <c r="B15" i="2"/>
  <c r="J11" i="26"/>
  <c r="J20" i="26"/>
  <c r="J14" i="26"/>
  <c r="J36" i="26"/>
  <c r="J38" i="26"/>
  <c r="U4" i="27"/>
  <c r="B5" i="27"/>
  <c r="B4" i="27"/>
  <c r="U2" i="27"/>
  <c r="B6" i="27"/>
  <c r="U8" i="27"/>
  <c r="U11" i="27"/>
  <c r="B12" i="27"/>
  <c r="U15" i="27"/>
  <c r="B16" i="27"/>
  <c r="U17" i="27"/>
  <c r="B19" i="27"/>
  <c r="U20" i="27"/>
  <c r="B22" i="27"/>
  <c r="B25" i="27"/>
  <c r="U26" i="27"/>
  <c r="B28" i="27"/>
  <c r="U29" i="27"/>
  <c r="B31" i="27"/>
  <c r="B3" i="27"/>
  <c r="U3" i="27"/>
  <c r="U5" i="27"/>
  <c r="U7" i="27"/>
  <c r="B8" i="27"/>
  <c r="U9" i="27"/>
  <c r="B11" i="27"/>
  <c r="U13" i="27"/>
  <c r="B15" i="27"/>
  <c r="B17" i="27"/>
  <c r="B20" i="27"/>
  <c r="U23" i="27"/>
  <c r="B26" i="27"/>
  <c r="B29" i="27"/>
  <c r="U30" i="27"/>
  <c r="B7" i="27"/>
  <c r="B9" i="27"/>
  <c r="U10" i="27"/>
  <c r="B13" i="27"/>
  <c r="U14" i="27"/>
  <c r="U18" i="27"/>
  <c r="U21" i="27"/>
  <c r="B23" i="27"/>
  <c r="U24" i="27"/>
  <c r="U27" i="27"/>
  <c r="B30" i="27"/>
  <c r="U6" i="27"/>
  <c r="B10" i="27"/>
  <c r="U12" i="27"/>
  <c r="B14" i="27"/>
  <c r="U16" i="27"/>
  <c r="B18" i="27"/>
  <c r="U19" i="27"/>
  <c r="B21" i="27"/>
  <c r="U22" i="27"/>
  <c r="B24" i="27"/>
  <c r="U25" i="27"/>
  <c r="B27" i="27"/>
  <c r="U28" i="27"/>
  <c r="U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B5" i="2" l="1"/>
  <c r="J42" i="26"/>
  <c r="B14" i="2"/>
  <c r="J24" i="26"/>
  <c r="J27" i="26"/>
  <c r="J44" i="26"/>
  <c r="J13" i="26"/>
  <c r="J6" i="26"/>
  <c r="AD40" i="26"/>
  <c r="AD46" i="26"/>
  <c r="AD38" i="26"/>
  <c r="J33" i="26"/>
  <c r="AD30" i="26"/>
  <c r="AD10" i="26"/>
  <c r="A6" i="9"/>
  <c r="B9" i="2" s="1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B6" i="2" l="1"/>
  <c r="B17" i="2"/>
  <c r="B10" i="2"/>
  <c r="A7" i="9"/>
  <c r="AD2" i="26"/>
  <c r="AD24" i="26"/>
  <c r="AD25" i="26"/>
  <c r="AD8" i="26"/>
  <c r="I9" i="26" l="1"/>
  <c r="I26" i="26"/>
  <c r="B12" i="2"/>
  <c r="B16" i="2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B7" i="2" l="1"/>
  <c r="B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A10" i="9" l="1"/>
  <c r="AD20" i="26"/>
  <c r="AD7" i="26"/>
  <c r="AD43" i="26"/>
  <c r="AD17" i="26"/>
  <c r="I10" i="26"/>
  <c r="E5" i="16"/>
  <c r="E7" i="16"/>
  <c r="E6" i="16"/>
  <c r="H2" i="16"/>
  <c r="H8" i="16"/>
  <c r="H6" i="16"/>
  <c r="H4" i="16"/>
  <c r="H1" i="16"/>
  <c r="H7" i="16"/>
  <c r="H5" i="16"/>
  <c r="H3" i="16"/>
  <c r="I8" i="26" l="1"/>
  <c r="I28" i="26"/>
  <c r="I32" i="26"/>
  <c r="A11" i="9"/>
  <c r="D5" i="15"/>
  <c r="D4" i="15"/>
  <c r="D3" i="15"/>
  <c r="D2" i="15"/>
  <c r="I48" i="26" l="1"/>
  <c r="A12" i="9"/>
  <c r="AD41" i="26"/>
  <c r="I27" i="26"/>
  <c r="H1" i="15"/>
  <c r="I41" i="26" l="1"/>
  <c r="A13" i="9"/>
  <c r="G11" i="9"/>
  <c r="G10" i="9"/>
  <c r="G9" i="9"/>
  <c r="G8" i="9"/>
  <c r="G7" i="9"/>
  <c r="G6" i="9"/>
  <c r="G5" i="9"/>
  <c r="G4" i="9"/>
  <c r="G3" i="9"/>
  <c r="G2" i="9"/>
  <c r="C5" i="15"/>
  <c r="C4" i="15"/>
  <c r="C3" i="15"/>
  <c r="C2" i="15"/>
  <c r="H3" i="15"/>
  <c r="H2" i="15"/>
  <c r="H5" i="15"/>
  <c r="H4" i="15"/>
  <c r="I38" i="26" l="1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F11" i="9"/>
  <c r="F10" i="9"/>
  <c r="F9" i="9"/>
  <c r="F8" i="9"/>
  <c r="F7" i="9"/>
  <c r="F6" i="9"/>
  <c r="F5" i="9"/>
  <c r="F4" i="9"/>
  <c r="F3" i="9"/>
  <c r="F2" i="9"/>
  <c r="B3" i="2"/>
  <c r="N3" i="26" l="1"/>
  <c r="N36" i="26"/>
  <c r="N44" i="26"/>
  <c r="N35" i="26"/>
  <c r="N8" i="26"/>
  <c r="N20" i="26"/>
  <c r="N28" i="26"/>
  <c r="I37" i="26"/>
  <c r="I40" i="26"/>
  <c r="I45" i="26"/>
  <c r="B18" i="2"/>
  <c r="B11" i="2"/>
  <c r="B4" i="2"/>
  <c r="B13" i="2"/>
  <c r="B8" i="2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H5" i="2" l="1"/>
  <c r="G5" i="2"/>
  <c r="G2" i="2"/>
  <c r="G3" i="2"/>
  <c r="G4" i="2"/>
  <c r="H3" i="2"/>
  <c r="H4" i="2"/>
  <c r="H2" i="2"/>
  <c r="H6" i="2"/>
  <c r="G6" i="2"/>
  <c r="H7" i="2"/>
  <c r="G7" i="2"/>
  <c r="H8" i="2"/>
  <c r="G8" i="2"/>
  <c r="H9" i="2"/>
  <c r="G9" i="2"/>
  <c r="H10" i="2"/>
  <c r="G10" i="2"/>
  <c r="H11" i="2"/>
  <c r="G11" i="2"/>
  <c r="H12" i="2"/>
  <c r="G12" i="2"/>
  <c r="H13" i="2"/>
  <c r="G13" i="2"/>
  <c r="H14" i="2"/>
  <c r="G14" i="2"/>
  <c r="H15" i="2"/>
  <c r="G15" i="2"/>
  <c r="H16" i="2"/>
  <c r="G16" i="2"/>
  <c r="H17" i="2"/>
  <c r="G17" i="2"/>
  <c r="G18" i="2"/>
  <c r="H18" i="2"/>
  <c r="G19" i="2"/>
  <c r="H19" i="2"/>
</calcChain>
</file>

<file path=xl/sharedStrings.xml><?xml version="1.0" encoding="utf-8"?>
<sst xmlns="http://schemas.openxmlformats.org/spreadsheetml/2006/main" count="8949" uniqueCount="5542">
  <si>
    <t>City</t>
  </si>
  <si>
    <t>Edwards &amp; Co</t>
  </si>
  <si>
    <t>Victoria</t>
  </si>
  <si>
    <t>ID</t>
  </si>
  <si>
    <t>John Williams</t>
  </si>
  <si>
    <t>Emily Watchford</t>
  </si>
  <si>
    <t>Adrien D'Antonio</t>
  </si>
  <si>
    <t>Marco Jameson</t>
  </si>
  <si>
    <t>Kathryn Edwards</t>
  </si>
  <si>
    <t>Jennifer Collins</t>
  </si>
  <si>
    <t>Rob Anderson</t>
  </si>
  <si>
    <t>Dasjinder Singh</t>
  </si>
  <si>
    <t>Ann Watson</t>
  </si>
  <si>
    <t>Glenn Fordham</t>
  </si>
  <si>
    <t>Area</t>
  </si>
  <si>
    <t>Saanich</t>
  </si>
  <si>
    <t>Inspector</t>
  </si>
  <si>
    <t>Carriers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</si>
  <si>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</si>
  <si>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</si>
  <si>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</si>
  <si>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</si>
  <si>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</si>
  <si>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</si>
  <si>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</si>
  <si>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</si>
  <si>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</si>
  <si>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</si>
  <si>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</si>
  <si>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</si>
  <si>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</si>
  <si>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</si>
  <si>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</si>
  <si>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</si>
  <si>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</si>
  <si>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</si>
  <si>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</si>
  <si>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</si>
  <si>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</si>
  <si>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</si>
  <si>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</si>
  <si>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</si>
  <si>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</si>
  <si>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</si>
  <si>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</si>
  <si>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</si>
  <si>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</si>
  <si>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</si>
  <si>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</si>
  <si>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</si>
  <si>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</si>
  <si>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</si>
  <si>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</si>
  <si>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</si>
  <si>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</si>
  <si>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</si>
  <si>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</si>
  <si>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</si>
  <si>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</si>
  <si>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</si>
  <si>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</si>
  <si>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</si>
  <si>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</si>
  <si>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</si>
  <si>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</si>
  <si>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</si>
  <si>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</si>
  <si>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</si>
  <si>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</si>
  <si>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</si>
  <si>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</si>
  <si>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</si>
  <si>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</si>
  <si>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</si>
  <si>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Phone Number</t>
  </si>
  <si>
    <t>Email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</si>
  <si>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</si>
  <si>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</si>
  <si>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</si>
  <si>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</si>
  <si>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</si>
  <si>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</si>
  <si>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</si>
  <si>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</si>
  <si>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</si>
  <si>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</si>
  <si>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</si>
  <si>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</si>
  <si>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Administrator</t>
  </si>
  <si>
    <t>Yard Supervisor</t>
  </si>
  <si>
    <t>General Manager</t>
  </si>
  <si>
    <t>Fleet Unit #</t>
  </si>
  <si>
    <t>0}</t>
  </si>
  <si>
    <t>{0C</t>
  </si>
  <si>
    <t>[Edit](School Bus Contact Edit)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</si>
  <si>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</si>
  <si>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</si>
  <si>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</si>
  <si>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</si>
  <si>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</si>
  <si>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</si>
  <si>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</si>
  <si>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</si>
  <si>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</si>
  <si>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</si>
  <si>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</si>
  <si>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</si>
  <si>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</si>
  <si>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</si>
  <si>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</si>
  <si>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</si>
  <si>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</si>
  <si>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</si>
  <si>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</si>
  <si>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</si>
  <si>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</si>
  <si>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</si>
  <si>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</si>
  <si>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</si>
  <si>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</si>
  <si>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</si>
  <si>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</si>
  <si>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</si>
  <si>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</si>
  <si>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</si>
  <si>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</si>
  <si>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</si>
  <si>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</si>
  <si>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</si>
  <si>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</si>
  <si>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</si>
  <si>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</si>
  <si>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</si>
  <si>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</si>
  <si>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</si>
  <si>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</si>
  <si>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</si>
  <si>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</si>
  <si>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</si>
  <si>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</si>
  <si>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</si>
  <si>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</si>
  <si>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</si>
  <si>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</si>
  <si>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</si>
  <si>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</si>
  <si>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</si>
  <si>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</si>
  <si>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</si>
  <si>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</si>
  <si>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</si>
  <si>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</si>
  <si>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</si>
  <si>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</si>
  <si>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</si>
  <si>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</si>
  <si>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</si>
  <si>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</si>
  <si>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</si>
  <si>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</si>
  <si>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</si>
  <si>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</si>
  <si>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</si>
  <si>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</si>
  <si>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</si>
  <si>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</si>
  <si>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</si>
  <si>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</si>
  <si>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</si>
  <si>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</si>
  <si>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</si>
  <si>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</si>
  <si>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</si>
  <si>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</si>
  <si>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</si>
  <si>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</si>
  <si>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</si>
  <si>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</si>
  <si>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</si>
  <si>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</si>
  <si>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</si>
  <si>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</si>
  <si>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</si>
  <si>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</si>
  <si>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</si>
  <si>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</si>
  <si>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</si>
  <si>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</si>
  <si>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</si>
  <si>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</si>
  <si>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</si>
  <si>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</si>
  <si>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</si>
  <si>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</si>
  <si>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</si>
  <si>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</si>
  <si>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</si>
  <si>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</si>
  <si>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</si>
  <si>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</si>
  <si>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</si>
  <si>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</si>
  <si>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</si>
  <si>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</si>
  <si>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</si>
  <si>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</si>
  <si>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</si>
  <si>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</si>
  <si>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</si>
  <si>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</si>
  <si>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</si>
  <si>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</si>
  <si>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</si>
  <si>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</si>
  <si>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</si>
  <si>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</si>
  <si>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</si>
  <si>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</si>
  <si>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</si>
  <si>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</si>
  <si>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</si>
  <si>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</si>
  <si>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</si>
  <si>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</si>
  <si>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</si>
  <si>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</si>
  <si>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</si>
  <si>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</si>
  <si>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</si>
  <si>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</si>
  <si>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</si>
  <si>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</si>
  <si>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</si>
  <si>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</si>
  <si>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</si>
  <si>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</si>
  <si>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</si>
  <si>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</si>
  <si>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</si>
  <si>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</si>
  <si>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</si>
  <si>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</si>
  <si>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</si>
  <si>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</si>
  <si>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</si>
  <si>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</si>
  <si>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</si>
  <si>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</si>
  <si>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</si>
  <si>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</si>
  <si>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</si>
  <si>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</si>
  <si>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</si>
  <si>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</si>
  <si>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</si>
  <si>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</si>
  <si>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</si>
  <si>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</si>
  <si>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</si>
  <si>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</si>
  <si>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</si>
  <si>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</si>
  <si>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</si>
  <si>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</si>
  <si>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</si>
  <si>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</si>
  <si>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</si>
  <si>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</si>
  <si>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</si>
  <si>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</si>
  <si>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</si>
  <si>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</si>
  <si>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</si>
  <si>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</si>
  <si>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</si>
  <si>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</si>
  <si>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</si>
  <si>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</si>
  <si>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</si>
  <si>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</si>
  <si>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</si>
  <si>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</si>
  <si>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</si>
  <si>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</si>
  <si>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</si>
  <si>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</si>
  <si>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</si>
  <si>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</si>
  <si>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</si>
  <si>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</si>
  <si>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</si>
  <si>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</si>
  <si>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</si>
  <si>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</si>
  <si>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</si>
  <si>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</si>
  <si>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</si>
  <si>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</si>
  <si>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</si>
  <si>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</si>
  <si>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</si>
  <si>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</si>
  <si>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</si>
  <si>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</si>
  <si>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</si>
  <si>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</si>
  <si>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</si>
  <si>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</si>
  <si>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</si>
  <si>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</si>
  <si>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</si>
  <si>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</si>
  <si>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</si>
  <si>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</si>
  <si>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</si>
  <si>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</si>
  <si>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</si>
  <si>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</si>
  <si>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</si>
  <si>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</si>
  <si>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</si>
  <si>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</si>
  <si>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</si>
  <si>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</si>
  <si>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</si>
  <si>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</si>
  <si>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</si>
  <si>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</si>
  <si>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</si>
  <si>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</si>
  <si>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</si>
  <si>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</si>
  <si>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</si>
  <si>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</si>
  <si>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</si>
  <si>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</si>
  <si>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</si>
  <si>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</si>
  <si>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</si>
  <si>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</si>
  <si>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</si>
  <si>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</si>
  <si>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</si>
  <si>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</si>
  <si>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</si>
  <si>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</si>
  <si>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</si>
  <si>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</si>
  <si>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</si>
  <si>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</si>
  <si>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</si>
  <si>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</si>
  <si>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</si>
  <si>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</si>
  <si>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</si>
  <si>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</si>
  <si>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</si>
  <si>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</si>
  <si>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</si>
  <si>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</si>
  <si>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</si>
  <si>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</si>
  <si>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</si>
  <si>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</si>
  <si>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</si>
  <si>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</si>
  <si>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</si>
  <si>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</si>
  <si>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</si>
  <si>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</si>
  <si>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</si>
  <si>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</si>
  <si>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</si>
  <si>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</si>
  <si>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</si>
  <si>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</si>
  <si>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</si>
  <si>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</si>
  <si>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</si>
  <si>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</si>
  <si>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</si>
  <si>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</si>
  <si>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</si>
  <si>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</si>
  <si>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</si>
  <si>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</si>
  <si>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</si>
  <si>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</si>
  <si>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</si>
  <si>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</si>
  <si>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</si>
  <si>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</si>
  <si>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</si>
  <si>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</si>
  <si>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</si>
  <si>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</si>
  <si>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</si>
  <si>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</si>
  <si>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</si>
  <si>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</si>
  <si>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</si>
  <si>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</si>
  <si>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</si>
  <si>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</si>
  <si>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</si>
  <si>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</si>
  <si>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</si>
  <si>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</si>
  <si>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</si>
  <si>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</si>
  <si>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</si>
  <si>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</si>
  <si>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</si>
  <si>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</si>
  <si>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</si>
  <si>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</si>
  <si>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</si>
  <si>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</si>
  <si>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</si>
  <si>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</si>
  <si>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</si>
  <si>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</si>
  <si>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</si>
  <si>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</si>
  <si>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</si>
  <si>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</si>
  <si>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</si>
  <si>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</si>
  <si>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</si>
  <si>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</si>
  <si>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</si>
  <si>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</si>
  <si>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</si>
  <si>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</si>
  <si>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</si>
  <si>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</si>
  <si>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</si>
  <si>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</si>
  <si>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</si>
  <si>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</si>
  <si>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</si>
  <si>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mobiityAidCapacity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</si>
  <si>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</si>
  <si>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</si>
  <si>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</si>
  <si>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</si>
  <si>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</si>
  <si>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</si>
  <si>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</si>
  <si>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</si>
  <si>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</si>
  <si>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</si>
  <si>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</si>
  <si>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</si>
  <si>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</si>
  <si>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</si>
  <si>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</si>
  <si>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</si>
  <si>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</si>
  <si>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</si>
  <si>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</si>
  <si>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</si>
  <si>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</si>
  <si>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</si>
  <si>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</si>
  <si>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</si>
  <si>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</si>
  <si>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</si>
  <si>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</si>
  <si>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</si>
  <si>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</si>
  <si>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</si>
  <si>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</si>
  <si>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</si>
  <si>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</si>
  <si>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</si>
  <si>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</si>
  <si>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</si>
  <si>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</si>
  <si>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</si>
  <si>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</si>
  <si>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</si>
  <si>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</si>
  <si>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</si>
  <si>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</si>
  <si>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</si>
  <si>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</si>
  <si>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</si>
  <si>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</si>
  <si>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</si>
  <si>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</si>
  <si>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</si>
  <si>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</si>
  <si>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</si>
  <si>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</si>
  <si>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</si>
  <si>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</si>
  <si>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</si>
  <si>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</si>
  <si>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</si>
  <si>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</si>
  <si>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</si>
  <si>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</si>
  <si>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</si>
  <si>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</si>
  <si>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</si>
  <si>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</si>
  <si>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</si>
  <si>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</si>
  <si>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</si>
  <si>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</si>
  <si>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</si>
  <si>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</si>
  <si>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</si>
  <si>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</si>
  <si>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</si>
  <si>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</si>
  <si>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</si>
  <si>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</si>
  <si>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</si>
  <si>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</si>
  <si>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</si>
  <si>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</si>
  <si>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</si>
  <si>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</si>
  <si>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</si>
  <si>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</si>
  <si>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</si>
  <si>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</si>
  <si>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</si>
  <si>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</si>
  <si>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</si>
  <si>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</si>
  <si>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</si>
  <si>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</si>
  <si>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</si>
  <si>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</si>
  <si>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</si>
  <si>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</si>
  <si>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</si>
  <si>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</si>
  <si>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</si>
  <si>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</si>
  <si>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</si>
  <si>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</si>
  <si>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</si>
  <si>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</si>
  <si>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</si>
  <si>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</si>
  <si>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</si>
  <si>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</si>
  <si>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</si>
  <si>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</si>
  <si>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</si>
  <si>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</si>
  <si>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</si>
  <si>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</si>
  <si>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</si>
  <si>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</si>
  <si>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</si>
  <si>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</si>
  <si>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</si>
  <si>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</si>
  <si>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</si>
  <si>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</si>
  <si>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</si>
  <si>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</si>
  <si>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</si>
  <si>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</si>
  <si>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</si>
  <si>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</si>
  <si>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</si>
  <si>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</si>
  <si>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</si>
  <si>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</si>
  <si>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</si>
  <si>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</si>
  <si>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</si>
  <si>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</si>
  <si>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</si>
  <si>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</si>
  <si>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</si>
  <si>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</si>
  <si>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</si>
  <si>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</si>
  <si>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</si>
  <si>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</si>
  <si>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</si>
  <si>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</si>
  <si>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</si>
  <si>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</si>
  <si>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</si>
  <si>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</si>
  <si>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</si>
  <si>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</si>
  <si>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</si>
  <si>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</si>
  <si>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</si>
  <si>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</si>
  <si>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</si>
  <si>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</si>
  <si>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</si>
  <si>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</si>
  <si>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</si>
  <si>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</si>
  <si>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</si>
  <si>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</si>
  <si>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</si>
  <si>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</si>
  <si>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</si>
  <si>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</si>
  <si>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</si>
  <si>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</si>
  <si>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</si>
  <si>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</si>
  <si>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</si>
  <si>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</si>
  <si>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</si>
  <si>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</si>
  <si>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</si>
  <si>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</si>
  <si>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</si>
  <si>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</si>
  <si>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</si>
  <si>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</si>
  <si>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</si>
  <si>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</si>
  <si>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</si>
  <si>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</si>
  <si>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</si>
  <si>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</si>
  <si>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</si>
  <si>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</si>
  <si>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</si>
  <si>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</si>
  <si>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</si>
  <si>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</si>
  <si>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</si>
  <si>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</si>
  <si>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</si>
  <si>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</si>
  <si>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</si>
  <si>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</si>
  <si>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</si>
  <si>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</si>
  <si>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</si>
  <si>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</si>
  <si>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</si>
  <si>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</si>
  <si>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</si>
  <si>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</si>
  <si>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</si>
  <si>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</si>
  <si>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</si>
  <si>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</si>
  <si>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</si>
  <si>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</si>
  <si>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</si>
  <si>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</si>
  <si>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</si>
  <si>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</si>
  <si>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</si>
  <si>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</si>
  <si>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</si>
  <si>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</si>
  <si>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</si>
  <si>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</si>
  <si>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</si>
  <si>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</si>
  <si>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</si>
  <si>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</si>
  <si>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</si>
  <si>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</si>
  <si>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</si>
  <si>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</si>
  <si>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</si>
  <si>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</si>
  <si>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</si>
  <si>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</si>
  <si>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</si>
  <si>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</si>
  <si>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</si>
  <si>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</si>
  <si>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</si>
  <si>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</si>
  <si>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</si>
  <si>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</si>
  <si>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</si>
  <si>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</si>
  <si>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</si>
  <si>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</si>
  <si>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</si>
  <si>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</si>
  <si>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</si>
  <si>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</si>
  <si>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</si>
  <si>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</si>
  <si>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</si>
  <si>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</si>
  <si>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</si>
  <si>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</si>
  <si>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</si>
  <si>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</si>
  <si>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</si>
  <si>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</si>
  <si>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</si>
  <si>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</si>
  <si>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</si>
  <si>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</si>
  <si>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</si>
  <si>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</si>
  <si>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</si>
  <si>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</si>
  <si>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</si>
  <si>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</si>
  <si>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</si>
  <si>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</si>
  <si>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</si>
  <si>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</si>
  <si>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</si>
  <si>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</si>
  <si>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</si>
  <si>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</si>
  <si>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</si>
  <si>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</si>
  <si>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</si>
  <si>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</si>
  <si>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</si>
  <si>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</si>
  <si>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</si>
  <si>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</si>
  <si>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</si>
  <si>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</si>
  <si>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</si>
  <si>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</si>
  <si>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</si>
  <si>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</si>
  <si>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</si>
  <si>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</si>
  <si>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</si>
  <si>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</si>
  <si>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</si>
  <si>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</si>
  <si>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</si>
  <si>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</si>
  <si>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</si>
  <si>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</si>
  <si>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</si>
  <si>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</si>
  <si>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</si>
  <si>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</si>
  <si>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</si>
  <si>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</si>
  <si>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</si>
  <si>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</si>
  <si>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</si>
  <si>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</si>
  <si>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</si>
  <si>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</si>
  <si>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</si>
  <si>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</si>
  <si>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</si>
  <si>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</si>
  <si>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</si>
  <si>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</si>
  <si>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</si>
  <si>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</si>
  <si>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</si>
  <si>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</si>
  <si>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</si>
  <si>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</si>
  <si>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</si>
  <si>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</si>
  <si>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</si>
  <si>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</si>
  <si>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</si>
  <si>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</si>
  <si>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</si>
  <si>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</si>
  <si>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</si>
  <si>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</si>
  <si>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</si>
  <si>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</si>
  <si>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</si>
  <si>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</si>
  <si>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</si>
  <si>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</si>
  <si>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</si>
  <si>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</si>
  <si>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</si>
  <si>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</si>
  <si>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</si>
  <si>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</si>
  <si>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</si>
  <si>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</si>
  <si>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</si>
  <si>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</si>
  <si>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</si>
  <si>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</si>
  <si>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</si>
  <si>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</si>
  <si>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</si>
  <si>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</si>
  <si>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</si>
  <si>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</si>
  <si>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</si>
  <si>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</si>
  <si>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</si>
  <si>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</si>
  <si>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</si>
  <si>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</si>
  <si>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</si>
  <si>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</si>
  <si>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</si>
  <si>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</si>
  <si>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</si>
  <si>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</si>
  <si>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</si>
  <si>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</si>
  <si>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</si>
  <si>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</si>
  <si>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</si>
  <si>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</si>
  <si>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</si>
  <si>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</si>
  <si>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</si>
  <si>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</si>
  <si>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</si>
  <si>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</si>
  <si>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</si>
  <si>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</si>
  <si>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</si>
  <si>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</si>
  <si>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</si>
  <si>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</si>
  <si>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</si>
  <si>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</si>
  <si>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</si>
  <si>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</si>
  <si>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</si>
  <si>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</si>
  <si>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</si>
  <si>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</si>
  <si>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</si>
  <si>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</si>
  <si>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</si>
  <si>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</si>
  <si>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</si>
  <si>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</si>
  <si>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</si>
  <si>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</si>
  <si>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</si>
  <si>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</si>
  <si>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</si>
  <si>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</si>
  <si>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</si>
  <si>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</si>
  <si>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</si>
  <si>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</si>
  <si>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</si>
  <si>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</si>
  <si>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</si>
  <si>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</si>
  <si>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</si>
  <si>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</si>
  <si>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</si>
  <si>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</si>
  <si>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</si>
  <si>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</si>
  <si>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</si>
  <si>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</si>
  <si>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</si>
  <si>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</si>
  <si>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</si>
  <si>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</si>
  <si>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</si>
  <si>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</si>
  <si>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</si>
  <si>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</si>
  <si>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</si>
  <si>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</si>
  <si>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</si>
  <si>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</si>
  <si>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</si>
  <si>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</si>
  <si>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</si>
  <si>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</si>
  <si>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</si>
  <si>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</si>
  <si>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</si>
  <si>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</si>
  <si>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</si>
  <si>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</si>
  <si>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</si>
  <si>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</si>
  <si>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</si>
  <si>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</si>
  <si>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</si>
  <si>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</si>
  <si>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</si>
  <si>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</si>
  <si>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</si>
  <si>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</si>
  <si>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</si>
  <si>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</si>
  <si>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</si>
  <si>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</si>
  <si>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</si>
  <si>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</si>
  <si>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</si>
  <si>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</si>
  <si>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</si>
  <si>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</si>
  <si>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</si>
  <si>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</si>
  <si>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</si>
  <si>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</si>
  <si>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</si>
  <si>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</si>
  <si>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</si>
  <si>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</si>
  <si>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</si>
  <si>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</si>
  <si>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</si>
  <si>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</si>
  <si>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</si>
  <si>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</si>
  <si>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</si>
  <si>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</si>
  <si>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</si>
  <si>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</si>
  <si>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</si>
  <si>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</si>
  <si>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</si>
  <si>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</si>
  <si>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</si>
  <si>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</si>
  <si>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</si>
  <si>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</si>
  <si>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</si>
  <si>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</si>
  <si>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</si>
  <si>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</si>
  <si>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</si>
  <si>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</si>
  <si>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</si>
  <si>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</si>
  <si>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</si>
  <si>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</si>
  <si>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</si>
  <si>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</si>
  <si>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</si>
  <si>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</si>
  <si>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</si>
  <si>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</si>
  <si>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</si>
  <si>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</si>
  <si>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</si>
  <si>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</si>
  <si>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</si>
  <si>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</si>
  <si>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</si>
  <si>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</si>
  <si>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</si>
  <si>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</si>
  <si>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</si>
  <si>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</si>
  <si>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</si>
  <si>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</si>
  <si>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</si>
  <si>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</si>
  <si>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</si>
  <si>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</si>
  <si>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</si>
  <si>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</si>
  <si>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</si>
  <si>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</si>
  <si>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</si>
  <si>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</si>
  <si>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</si>
  <si>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</si>
  <si>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</si>
  <si>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</si>
  <si>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</si>
  <si>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</si>
  <si>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</si>
  <si>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</si>
  <si>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</si>
  <si>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</si>
  <si>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</si>
  <si>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</si>
  <si>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</si>
  <si>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</si>
  <si>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</si>
  <si>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</si>
  <si>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</si>
  <si>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</si>
  <si>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</si>
  <si>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</si>
  <si>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</si>
  <si>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</si>
  <si>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</si>
  <si>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</si>
  <si>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</si>
  <si>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</si>
  <si>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</si>
  <si>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</si>
  <si>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</si>
  <si>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</si>
  <si>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</si>
  <si>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</si>
  <si>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</si>
  <si>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</si>
  <si>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</si>
  <si>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</si>
  <si>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</si>
  <si>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</si>
  <si>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</si>
  <si>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</si>
  <si>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</si>
  <si>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</si>
  <si>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</si>
  <si>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</si>
  <si>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</si>
  <si>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</si>
  <si>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</si>
  <si>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</si>
  <si>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</si>
  <si>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</si>
  <si>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</si>
  <si>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</si>
  <si>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</si>
  <si>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</si>
  <si>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</si>
  <si>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</si>
  <si>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</si>
  <si>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</si>
  <si>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</si>
  <si>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</si>
  <si>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</si>
  <si>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</si>
  <si>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</si>
  <si>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</si>
  <si>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</si>
  <si>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</si>
  <si>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</si>
  <si>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</si>
  <si>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</si>
  <si>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</si>
  <si>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</si>
  <si>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</si>
  <si>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</si>
  <si>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</si>
  <si>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</si>
  <si>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</si>
  <si>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</si>
  <si>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</si>
  <si>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</si>
  <si>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</si>
  <si>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</si>
  <si>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</si>
  <si>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</si>
  <si>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</si>
  <si>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</si>
  <si>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</si>
  <si>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</si>
  <si>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</si>
  <si>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</si>
  <si>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</si>
  <si>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</si>
  <si>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</si>
  <si>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</si>
  <si>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</si>
  <si>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</si>
  <si>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</si>
  <si>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</si>
  <si>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</si>
  <si>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</si>
  <si>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</si>
  <si>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</si>
  <si>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</si>
  <si>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</si>
  <si>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</si>
  <si>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</si>
  <si>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</si>
  <si>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</si>
  <si>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</si>
  <si>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</si>
  <si>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</si>
  <si>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</si>
  <si>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</si>
  <si>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</si>
  <si>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</si>
  <si>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</si>
  <si>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</si>
  <si>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</si>
  <si>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</si>
  <si>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</si>
  <si>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</si>
  <si>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</si>
  <si>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</si>
  <si>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</si>
  <si>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</si>
  <si>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</si>
  <si>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</si>
  <si>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</si>
  <si>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</si>
  <si>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</si>
  <si>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</si>
  <si>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</si>
  <si>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</si>
  <si>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</si>
  <si>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</si>
  <si>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</si>
  <si>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</si>
  <si>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</si>
  <si>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</si>
  <si>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</si>
  <si>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</si>
  <si>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</si>
  <si>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</si>
  <si>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</si>
  <si>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</si>
  <si>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</si>
  <si>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</si>
  <si>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</si>
  <si>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</si>
  <si>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</si>
  <si>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</si>
  <si>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</si>
  <si>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</si>
  <si>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</si>
  <si>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</si>
  <si>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</si>
  <si>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</si>
  <si>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</si>
  <si>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</si>
  <si>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</si>
  <si>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</si>
  <si>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</si>
  <si>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</si>
  <si>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</si>
  <si>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</si>
  <si>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</si>
  <si>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</si>
  <si>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</si>
  <si>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</si>
  <si>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</si>
  <si>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</si>
  <si>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</si>
  <si>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</si>
  <si>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</si>
  <si>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</si>
  <si>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</si>
  <si>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</si>
  <si>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</si>
  <si>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</si>
  <si>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</si>
  <si>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</si>
  <si>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</si>
  <si>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</si>
  <si>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</si>
  <si>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</si>
  <si>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</si>
  <si>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</si>
  <si>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</si>
  <si>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</si>
  <si>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</si>
  <si>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</si>
  <si>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</si>
  <si>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</si>
  <si>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</si>
  <si>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</si>
  <si>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</si>
  <si>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</si>
  <si>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</si>
  <si>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</si>
  <si>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</si>
  <si>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</si>
  <si>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</si>
  <si>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</si>
  <si>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</si>
  <si>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</si>
  <si>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</si>
  <si>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</si>
  <si>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</si>
  <si>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</si>
  <si>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</si>
  <si>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</si>
  <si>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</si>
  <si>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</si>
  <si>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</si>
  <si>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</si>
  <si>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</si>
  <si>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</si>
  <si>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</si>
  <si>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</si>
  <si>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</si>
  <si>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</si>
  <si>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</si>
  <si>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</si>
  <si>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</si>
  <si>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</si>
  <si>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</si>
  <si>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</si>
  <si>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</si>
  <si>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</si>
  <si>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</si>
  <si>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</si>
  <si>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</si>
  <si>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</si>
  <si>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</si>
  <si>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</si>
  <si>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</si>
  <si>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</si>
  <si>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</si>
  <si>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</si>
  <si>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</si>
  <si>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</si>
  <si>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</si>
  <si>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</si>
  <si>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</si>
  <si>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</si>
  <si>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</si>
  <si>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</si>
  <si>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</si>
  <si>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</si>
  <si>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</si>
  <si>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</si>
  <si>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</si>
  <si>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</si>
  <si>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</si>
  <si>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</si>
  <si>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</si>
  <si>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</si>
  <si>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</si>
  <si>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</si>
  <si>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</si>
  <si>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</si>
  <si>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</si>
  <si>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</si>
  <si>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</si>
  <si>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</si>
  <si>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</si>
  <si>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</si>
  <si>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</si>
  <si>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</si>
  <si>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</si>
  <si>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</si>
  <si>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</si>
  <si>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</si>
  <si>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</si>
  <si>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</si>
  <si>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</si>
  <si>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</si>
  <si>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</si>
  <si>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</si>
  <si>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</si>
  <si>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</si>
  <si>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</si>
  <si>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</si>
  <si>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</si>
  <si>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</si>
  <si>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</si>
  <si>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</si>
  <si>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</si>
  <si>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</si>
  <si>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</si>
  <si>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</si>
  <si>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</si>
  <si>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</si>
  <si>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</si>
  <si>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</si>
  <si>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</si>
  <si>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</si>
  <si>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</si>
  <si>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</si>
  <si>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</si>
  <si>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</si>
  <si>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</si>
  <si>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</si>
  <si>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</si>
  <si>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</si>
  <si>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</si>
  <si>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</si>
  <si>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</si>
  <si>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</si>
  <si>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</si>
  <si>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</si>
  <si>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</si>
  <si>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</si>
  <si>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</si>
  <si>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</si>
  <si>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</si>
  <si>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</si>
  <si>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</si>
  <si>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</si>
  <si>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</si>
  <si>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</si>
  <si>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</si>
  <si>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</si>
  <si>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</si>
  <si>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</si>
  <si>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</si>
  <si>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</si>
  <si>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</si>
  <si>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</si>
  <si>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</si>
  <si>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</si>
  <si>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</si>
  <si>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</si>
  <si>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</si>
  <si>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</si>
  <si>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</si>
  <si>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</si>
  <si>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</si>
  <si>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</si>
  <si>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</si>
  <si>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</si>
  <si>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</si>
  <si>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</si>
  <si>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</si>
  <si>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</si>
  <si>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</si>
  <si>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</si>
  <si>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</si>
  <si>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</si>
  <si>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</si>
  <si>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</si>
  <si>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</si>
  <si>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</si>
  <si>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</si>
  <si>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</si>
  <si>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</si>
  <si>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</si>
  <si>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</si>
  <si>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</si>
  <si>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</si>
  <si>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</si>
  <si>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</si>
  <si>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</si>
  <si>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</si>
  <si>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</si>
  <si>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</si>
  <si>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</si>
  <si>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</si>
  <si>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</si>
  <si>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</si>
  <si>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</si>
  <si>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</si>
  <si>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</si>
  <si>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</si>
  <si>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</si>
  <si>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</si>
  <si>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</si>
  <si>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</si>
  <si>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</si>
  <si>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</si>
  <si>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</si>
  <si>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</si>
  <si>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</si>
  <si>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</si>
  <si>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</si>
  <si>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</si>
  <si>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</si>
  <si>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</si>
  <si>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</si>
  <si>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</si>
  <si>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</si>
  <si>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</si>
  <si>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</si>
  <si>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</si>
  <si>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</si>
  <si>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</si>
  <si>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</si>
  <si>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</si>
  <si>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</si>
  <si>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</si>
  <si>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</si>
  <si>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</si>
  <si>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</si>
  <si>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</si>
  <si>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</si>
  <si>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</si>
  <si>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</si>
  <si>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</si>
  <si>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</si>
  <si>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</si>
  <si>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</si>
  <si>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</si>
  <si>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</si>
  <si>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</si>
  <si>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</si>
  <si>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</si>
  <si>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</si>
  <si>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</si>
  <si>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</si>
  <si>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</si>
  <si>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</si>
  <si>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</si>
  <si>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</si>
  <si>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</si>
  <si>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</si>
  <si>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</si>
  <si>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</si>
  <si>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</si>
  <si>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</si>
  <si>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</si>
  <si>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</si>
  <si>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</si>
  <si>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</si>
  <si>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</si>
  <si>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</si>
  <si>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</si>
  <si>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</si>
  <si>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</si>
  <si>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</si>
  <si>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</si>
  <si>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</si>
  <si>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</si>
  <si>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</si>
  <si>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</si>
  <si>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</si>
  <si>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</si>
  <si>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</si>
  <si>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</si>
  <si>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</si>
  <si>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</si>
  <si>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</si>
  <si>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</si>
  <si>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</si>
  <si>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</si>
  <si>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</si>
  <si>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</si>
  <si>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</si>
  <si>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</si>
  <si>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</si>
  <si>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</si>
  <si>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</si>
  <si>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</si>
  <si>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</si>
  <si>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</si>
  <si>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</si>
  <si>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</si>
  <si>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</si>
  <si>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</si>
  <si>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</si>
  <si>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</si>
  <si>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</si>
  <si>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</si>
  <si>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</si>
  <si>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</si>
  <si>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</si>
  <si>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</si>
  <si>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</si>
  <si>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</si>
  <si>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</si>
  <si>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</si>
  <si>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</si>
  <si>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</si>
  <si>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</si>
  <si>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</si>
  <si>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</si>
  <si>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</si>
  <si>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</si>
  <si>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</si>
  <si>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</si>
  <si>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</si>
  <si>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</si>
  <si>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</si>
  <si>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</si>
  <si>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</si>
  <si>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</si>
  <si>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</si>
  <si>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</si>
  <si>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</si>
  <si>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</si>
  <si>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</si>
  <si>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</si>
  <si>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</si>
  <si>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</si>
  <si>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</si>
  <si>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</si>
  <si>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</si>
  <si>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</si>
  <si>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</si>
  <si>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</si>
  <si>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</si>
  <si>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</si>
  <si>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</si>
  <si>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</si>
  <si>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</si>
  <si>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</si>
  <si>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</si>
  <si>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</si>
  <si>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</si>
  <si>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</si>
  <si>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</si>
  <si>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</si>
  <si>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</si>
  <si>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</si>
  <si>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</si>
  <si>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</si>
  <si>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</si>
  <si>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</si>
  <si>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</si>
  <si>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</si>
  <si>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</si>
  <si>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</si>
  <si>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</si>
  <si>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</si>
  <si>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</si>
  <si>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</si>
  <si>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</si>
  <si>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</si>
  <si>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</si>
  <si>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</si>
  <si>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</si>
  <si>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</si>
  <si>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</si>
  <si>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</si>
  <si>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</si>
  <si>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</si>
  <si>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</si>
  <si>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</si>
  <si>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</si>
  <si>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</si>
  <si>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</si>
  <si>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</si>
  <si>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</si>
  <si>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</si>
  <si>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</si>
  <si>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</si>
  <si>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</si>
  <si>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</si>
  <si>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</si>
  <si>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</si>
  <si>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</si>
  <si>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</si>
  <si>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</si>
  <si>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</si>
  <si>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</si>
  <si>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</si>
  <si>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</si>
  <si>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</si>
  <si>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</si>
  <si>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</si>
  <si>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</si>
  <si>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</si>
  <si>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</si>
  <si>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</si>
  <si>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</si>
  <si>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</si>
  <si>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</si>
  <si>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</si>
  <si>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</si>
  <si>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</si>
  <si>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</si>
  <si>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</si>
  <si>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</si>
  <si>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</si>
  <si>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</si>
  <si>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</si>
  <si>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</si>
  <si>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</si>
  <si>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</si>
  <si>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</si>
  <si>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</si>
  <si>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</si>
  <si>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</si>
  <si>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</si>
  <si>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</si>
  <si>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</si>
  <si>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</si>
  <si>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</si>
  <si>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</si>
  <si>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</si>
  <si>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</si>
  <si>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</si>
  <si>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</si>
  <si>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</si>
  <si>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</si>
  <si>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</si>
  <si>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</si>
  <si>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</si>
  <si>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</si>
  <si>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</si>
  <si>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</si>
  <si>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</si>
  <si>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</si>
  <si>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</si>
  <si>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</si>
  <si>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</si>
  <si>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</si>
  <si>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</si>
  <si>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</si>
  <si>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</si>
  <si>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</si>
  <si>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</si>
  <si>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</si>
  <si>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</si>
  <si>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</si>
  <si>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</si>
  <si>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</si>
  <si>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</si>
  <si>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</si>
  <si>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</si>
  <si>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</si>
  <si>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</si>
  <si>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</si>
  <si>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</si>
  <si>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</si>
  <si>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</si>
  <si>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</si>
  <si>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</si>
  <si>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</si>
  <si>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</si>
  <si>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</si>
  <si>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</si>
  <si>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</si>
  <si>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</si>
  <si>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</si>
  <si>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</si>
  <si>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</si>
  <si>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</si>
  <si>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</si>
  <si>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</si>
  <si>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</si>
  <si>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</si>
  <si>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</si>
  <si>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</si>
  <si>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</si>
  <si>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</si>
  <si>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</si>
  <si>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</si>
  <si>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</si>
  <si>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</si>
  <si>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</si>
  <si>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</si>
  <si>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</si>
  <si>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</si>
  <si>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</si>
  <si>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</si>
  <si>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</si>
  <si>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</si>
  <si>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</si>
  <si>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</si>
  <si>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</si>
  <si>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</si>
  <si>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</si>
  <si>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</si>
  <si>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</si>
  <si>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</si>
  <si>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</si>
  <si>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</si>
  <si>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</si>
  <si>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</si>
  <si>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</si>
  <si>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</si>
  <si>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</si>
  <si>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</si>
  <si>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</si>
  <si>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</si>
  <si>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</si>
  <si>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</si>
  <si>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</si>
  <si>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</si>
  <si>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</si>
  <si>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</si>
  <si>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</si>
  <si>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</si>
  <si>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</si>
  <si>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</si>
  <si>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</si>
  <si>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</si>
  <si>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</si>
  <si>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</si>
  <si>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</si>
  <si>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</si>
  <si>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</si>
  <si>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</si>
  <si>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</si>
  <si>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</si>
  <si>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</si>
  <si>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</si>
  <si>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</si>
  <si>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</si>
  <si>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</si>
  <si>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</si>
  <si>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</si>
  <si>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</si>
  <si>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</si>
  <si>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</si>
  <si>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</si>
  <si>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</si>
  <si>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</si>
  <si>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</si>
  <si>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</si>
  <si>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</si>
  <si>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</si>
  <si>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</si>
  <si>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</si>
  <si>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</si>
  <si>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</si>
  <si>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</si>
  <si>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</si>
  <si>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</si>
  <si>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</si>
  <si>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</si>
  <si>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</si>
  <si>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</si>
  <si>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</si>
  <si>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</si>
  <si>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</si>
  <si>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</si>
  <si>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</si>
  <si>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</si>
  <si>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</si>
  <si>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</si>
  <si>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</si>
  <si>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</si>
  <si>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</si>
  <si>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</si>
  <si>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</si>
  <si>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</si>
  <si>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</si>
  <si>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</si>
  <si>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</si>
  <si>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</si>
  <si>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</si>
  <si>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</si>
  <si>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</si>
  <si>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</si>
  <si>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</si>
  <si>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</si>
  <si>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</si>
  <si>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</si>
  <si>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</si>
  <si>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</si>
  <si>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</si>
  <si>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</si>
  <si>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</si>
  <si>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</si>
  <si>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</si>
  <si>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</si>
  <si>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</si>
  <si>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</si>
  <si>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</si>
  <si>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</si>
  <si>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</si>
  <si>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</si>
  <si>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</si>
  <si>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</si>
  <si>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</si>
  <si>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</si>
  <si>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</si>
  <si>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</si>
  <si>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</si>
  <si>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</si>
  <si>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</si>
  <si>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</si>
  <si>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</si>
  <si>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</si>
  <si>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</si>
  <si>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</si>
  <si>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</si>
  <si>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</si>
  <si>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</si>
  <si>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</si>
  <si>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</si>
  <si>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</si>
  <si>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</si>
  <si>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</si>
  <si>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</si>
  <si>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</si>
  <si>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</si>
  <si>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</si>
  <si>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</si>
  <si>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</si>
  <si>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</si>
  <si>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</si>
  <si>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</si>
  <si>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</si>
  <si>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</si>
  <si>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</si>
  <si>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</si>
  <si>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</si>
  <si>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</si>
  <si>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</si>
  <si>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</si>
  <si>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</si>
  <si>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</si>
  <si>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</si>
  <si>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</si>
  <si>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</si>
  <si>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</si>
  <si>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</si>
  <si>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</si>
  <si>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</si>
  <si>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</si>
  <si>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</si>
  <si>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</si>
  <si>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</si>
  <si>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</si>
  <si>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</si>
  <si>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</si>
  <si>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</si>
  <si>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</si>
  <si>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</si>
  <si>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</si>
  <si>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</si>
  <si>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</si>
  <si>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</si>
  <si>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</si>
  <si>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</si>
  <si>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</si>
  <si>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</si>
  <si>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</si>
  <si>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</si>
  <si>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</si>
  <si>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</si>
  <si>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</si>
  <si>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</si>
  <si>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</si>
  <si>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</si>
  <si>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</si>
  <si>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</si>
  <si>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</si>
  <si>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</si>
  <si>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</si>
  <si>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</si>
  <si>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</si>
  <si>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</si>
  <si>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</si>
  <si>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</si>
  <si>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</si>
  <si>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</si>
  <si>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</si>
  <si>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</si>
  <si>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</si>
  <si>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</si>
  <si>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</si>
  <si>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</si>
  <si>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</si>
  <si>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</si>
  <si>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</si>
  <si>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</si>
  <si>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</si>
  <si>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</si>
  <si>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</si>
  <si>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</si>
  <si>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</si>
  <si>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</si>
  <si>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</si>
  <si>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</si>
  <si>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</si>
  <si>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</si>
  <si>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</si>
  <si>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</si>
  <si>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</si>
  <si>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</si>
  <si>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</si>
  <si>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</si>
  <si>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</si>
  <si>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</si>
  <si>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</si>
  <si>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</si>
  <si>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</si>
  <si>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</si>
  <si>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</si>
  <si>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</si>
  <si>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</si>
  <si>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</si>
  <si>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</si>
  <si>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</si>
  <si>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</si>
  <si>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</si>
  <si>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</si>
  <si>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</si>
  <si>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</si>
  <si>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</si>
  <si>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</si>
  <si>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</si>
  <si>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</si>
  <si>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</si>
  <si>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</si>
  <si>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</si>
  <si>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</si>
  <si>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</si>
  <si>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</si>
  <si>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</si>
  <si>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</si>
  <si>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</si>
  <si>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</si>
  <si>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</si>
  <si>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</si>
  <si>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</si>
  <si>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</si>
  <si>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</si>
  <si>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</si>
  <si>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</si>
  <si>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</si>
  <si>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</si>
  <si>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</si>
  <si>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</si>
  <si>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</si>
  <si>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</si>
  <si>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</si>
  <si>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</si>
  <si>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</si>
  <si>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</si>
  <si>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</si>
  <si>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</si>
  <si>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</si>
  <si>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</si>
  <si>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</si>
  <si>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</si>
  <si>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</si>
  <si>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</si>
  <si>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</si>
  <si>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</si>
  <si>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</si>
  <si>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</si>
  <si>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</si>
  <si>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</si>
  <si>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</si>
  <si>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</si>
  <si>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</si>
  <si>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</si>
  <si>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</si>
  <si>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</si>
  <si>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</si>
  <si>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</si>
  <si>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</si>
  <si>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</si>
  <si>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</si>
  <si>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</si>
  <si>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</si>
  <si>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</si>
  <si>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</si>
  <si>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</si>
  <si>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</si>
  <si>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</si>
  <si>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</si>
  <si>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</si>
  <si>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</si>
  <si>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</si>
  <si>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</si>
  <si>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</si>
  <si>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</si>
  <si>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</si>
  <si>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</si>
  <si>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</si>
  <si>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</si>
  <si>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</si>
  <si>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</si>
  <si>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</si>
  <si>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</si>
  <si>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</si>
  <si>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</si>
  <si>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</si>
  <si>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</si>
  <si>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</si>
  <si>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</si>
  <si>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</si>
  <si>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</si>
  <si>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</si>
  <si>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</si>
  <si>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</si>
  <si>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</si>
  <si>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</si>
  <si>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</si>
  <si>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</si>
  <si>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</si>
  <si>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</si>
  <si>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</si>
  <si>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</si>
  <si>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</si>
  <si>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</si>
  <si>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</si>
  <si>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</si>
  <si>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</si>
  <si>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</si>
  <si>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</si>
  <si>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</si>
  <si>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</si>
  <si>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</si>
  <si>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</si>
  <si>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</si>
  <si>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</si>
  <si>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</si>
  <si>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</si>
  <si>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</si>
  <si>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</si>
  <si>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</si>
  <si>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</si>
  <si>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</si>
  <si>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</si>
  <si>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</si>
  <si>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</si>
  <si>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</si>
  <si>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</si>
  <si>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</si>
  <si>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</si>
  <si>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</si>
  <si>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</si>
  <si>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</si>
  <si>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</si>
  <si>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</si>
  <si>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</si>
  <si>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</si>
  <si>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</si>
  <si>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</si>
  <si>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</si>
  <si>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</si>
  <si>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</si>
  <si>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</si>
  <si>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</si>
  <si>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</si>
  <si>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</si>
  <si>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</si>
  <si>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</si>
  <si>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</si>
  <si>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</si>
  <si>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</si>
  <si>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</si>
  <si>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</si>
  <si>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</si>
  <si>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</si>
  <si>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</si>
  <si>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</si>
  <si>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</si>
  <si>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</si>
  <si>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</si>
  <si>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</si>
  <si>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</si>
  <si>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</si>
  <si>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</si>
  <si>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</si>
  <si>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</si>
  <si>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</si>
  <si>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</si>
  <si>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</si>
  <si>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</si>
  <si>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</si>
  <si>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</si>
  <si>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</si>
  <si>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</si>
  <si>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</si>
  <si>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</si>
  <si>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</si>
  <si>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</si>
  <si>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</si>
  <si>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</si>
  <si>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</si>
  <si>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</si>
  <si>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</si>
  <si>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</si>
  <si>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</si>
  <si>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</si>
  <si>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</si>
  <si>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</si>
  <si>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</si>
  <si>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</si>
  <si>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</si>
  <si>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</si>
  <si>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</si>
  <si>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</si>
  <si>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</si>
  <si>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</si>
  <si>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</si>
  <si>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</si>
  <si>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</si>
  <si>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</si>
  <si>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</si>
  <si>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</si>
  <si>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</si>
  <si>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</si>
  <si>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</si>
  <si>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</si>
  <si>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</si>
  <si>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</si>
  <si>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</si>
  <si>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</si>
  <si>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</si>
  <si>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</si>
  <si>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</si>
  <si>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</si>
  <si>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</si>
  <si>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</si>
  <si>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</si>
  <si>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</si>
  <si>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</si>
  <si>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</si>
  <si>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</si>
  <si>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</si>
  <si>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</si>
  <si>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</si>
  <si>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</si>
  <si>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</si>
  <si>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</si>
  <si>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</si>
  <si>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</si>
  <si>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</si>
  <si>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</si>
  <si>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</si>
  <si>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</si>
  <si>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</si>
  <si>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</si>
  <si>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</si>
  <si>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</si>
  <si>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</si>
  <si>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</si>
  <si>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</si>
  <si>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</si>
  <si>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</si>
  <si>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</si>
  <si>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</si>
  <si>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</si>
  <si>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</si>
  <si>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</si>
  <si>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</si>
  <si>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</si>
  <si>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</si>
  <si>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</si>
  <si>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</si>
  <si>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</si>
  <si>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</si>
  <si>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</si>
  <si>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</si>
  <si>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</si>
  <si>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</si>
  <si>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</si>
  <si>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</si>
  <si>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</si>
  <si>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</si>
  <si>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</si>
  <si>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</si>
  <si>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</si>
  <si>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</si>
  <si>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</si>
  <si>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</si>
  <si>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</si>
  <si>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</si>
  <si>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</si>
  <si>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</si>
  <si>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</si>
  <si>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</si>
  <si>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</si>
  <si>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</si>
  <si>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</si>
  <si>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</si>
  <si>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</si>
  <si>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</si>
  <si>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</si>
  <si>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</si>
  <si>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</si>
  <si>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</si>
  <si>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</si>
  <si>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</si>
  <si>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</si>
  <si>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</si>
  <si>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</si>
  <si>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</si>
  <si>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</si>
  <si>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</si>
  <si>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</si>
  <si>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</si>
  <si>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</si>
  <si>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</si>
  <si>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</si>
  <si>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</si>
  <si>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</si>
  <si>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</si>
  <si>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</si>
  <si>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</si>
  <si>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</si>
  <si>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</si>
  <si>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</si>
  <si>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</si>
  <si>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</si>
  <si>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</si>
  <si>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</si>
  <si>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</si>
  <si>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</si>
  <si>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</si>
  <si>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</si>
  <si>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</si>
  <si>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</si>
  <si>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</si>
  <si>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</si>
  <si>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</si>
  <si>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</si>
  <si>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</si>
  <si>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</si>
  <si>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</si>
  <si>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</si>
  <si>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</si>
  <si>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</si>
  <si>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</si>
  <si>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</si>
  <si>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</si>
  <si>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</si>
  <si>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</si>
  <si>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</si>
  <si>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</si>
  <si>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</si>
  <si>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</si>
  <si>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</si>
  <si>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</si>
  <si>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</si>
  <si>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</si>
  <si>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</si>
  <si>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</si>
  <si>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</si>
  <si>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</si>
  <si>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</si>
  <si>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</si>
  <si>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</si>
  <si>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</si>
  <si>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</si>
  <si>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</si>
  <si>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</si>
  <si>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</si>
  <si>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</si>
  <si>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</si>
  <si>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</si>
  <si>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</si>
  <si>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</si>
  <si>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</si>
  <si>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</si>
  <si>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</si>
  <si>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</si>
  <si>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</si>
  <si>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</si>
  <si>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</si>
  <si>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</si>
  <si>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</si>
  <si>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</si>
  <si>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</si>
  <si>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</si>
  <si>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</si>
  <si>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</si>
  <si>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</si>
  <si>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</si>
  <si>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</si>
  <si>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</si>
  <si>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</si>
  <si>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</si>
  <si>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</si>
  <si>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</si>
  <si>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</si>
  <si>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</si>
  <si>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</si>
  <si>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</si>
  <si>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</si>
  <si>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</si>
  <si>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</si>
  <si>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</si>
  <si>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</si>
  <si>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</si>
  <si>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</si>
  <si>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</si>
  <si>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</si>
  <si>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</si>
  <si>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</si>
  <si>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</si>
  <si>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</si>
  <si>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</si>
  <si>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</si>
  <si>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</si>
  <si>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</si>
  <si>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</si>
  <si>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</si>
  <si>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</si>
  <si>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</si>
  <si>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</si>
  <si>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</si>
  <si>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</si>
  <si>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</si>
  <si>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</si>
  <si>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</si>
  <si>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</si>
  <si>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</si>
  <si>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</si>
  <si>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</si>
  <si>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</si>
  <si>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</si>
  <si>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</si>
  <si>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</si>
  <si>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</si>
  <si>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</si>
  <si>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</si>
  <si>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</si>
  <si>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</si>
  <si>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</si>
  <si>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</si>
  <si>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</si>
  <si>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</si>
  <si>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</si>
  <si>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</si>
  <si>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</si>
  <si>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</si>
  <si>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</si>
  <si>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</si>
  <si>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</si>
  <si>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</si>
  <si>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</si>
  <si>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</si>
  <si>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</si>
  <si>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</si>
  <si>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</si>
  <si>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</si>
  <si>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</si>
  <si>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</si>
  <si>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</si>
  <si>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</si>
  <si>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</si>
  <si>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</si>
  <si>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</si>
  <si>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</si>
  <si>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</si>
  <si>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</si>
  <si>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</si>
  <si>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</si>
  <si>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</si>
  <si>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</si>
  <si>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</si>
  <si>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</si>
  <si>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</si>
  <si>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</si>
  <si>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</si>
  <si>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</si>
  <si>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</si>
  <si>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</si>
  <si>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</si>
  <si>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</si>
  <si>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</si>
  <si>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</si>
  <si>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</si>
  <si>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</si>
  <si>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</si>
  <si>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</si>
  <si>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</si>
  <si>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</si>
  <si>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</si>
  <si>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</si>
  <si>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</si>
  <si>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</si>
  <si>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</si>
  <si>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</si>
  <si>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</si>
  <si>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</si>
  <si>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</si>
  <si>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</si>
  <si>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</si>
  <si>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</si>
  <si>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</si>
  <si>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</si>
  <si>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</si>
  <si>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</si>
  <si>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</si>
  <si>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</si>
  <si>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</si>
  <si>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</si>
  <si>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</si>
  <si>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</si>
  <si>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</si>
  <si>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</si>
  <si>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</si>
  <si>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</si>
  <si>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</si>
  <si>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</si>
  <si>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</si>
  <si>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</si>
  <si>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</si>
  <si>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</si>
  <si>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</si>
  <si>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</si>
  <si>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</si>
  <si>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</si>
  <si>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</si>
  <si>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</si>
  <si>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</si>
  <si>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</si>
  <si>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</si>
  <si>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</si>
  <si>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</si>
  <si>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</si>
  <si>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</si>
  <si>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</si>
  <si>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</si>
  <si>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</si>
  <si>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</si>
  <si>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</si>
  <si>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</si>
  <si>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</si>
  <si>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</si>
  <si>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</si>
  <si>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</si>
  <si>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</si>
  <si>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</si>
  <si>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</si>
  <si>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</si>
  <si>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</si>
  <si>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</si>
  <si>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</si>
  <si>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</si>
  <si>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</si>
  <si>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</si>
  <si>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</si>
  <si>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</si>
  <si>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</si>
  <si>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</si>
  <si>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</si>
  <si>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</si>
  <si>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</si>
  <si>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</si>
  <si>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</si>
  <si>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</si>
  <si>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</si>
  <si>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</si>
  <si>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</si>
  <si>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</si>
  <si>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</si>
  <si>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</si>
  <si>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</si>
  <si>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</si>
  <si>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</si>
  <si>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</si>
  <si>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</si>
  <si>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</si>
  <si>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</si>
  <si>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</si>
  <si>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</si>
  <si>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</si>
  <si>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</si>
  <si>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</si>
  <si>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</si>
  <si>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</si>
  <si>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</si>
  <si>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</si>
  <si>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</si>
  <si>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</si>
  <si>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</si>
  <si>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</si>
  <si>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</si>
  <si>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</si>
  <si>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</si>
  <si>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</si>
  <si>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</si>
  <si>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</si>
  <si>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</si>
  <si>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</si>
  <si>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</si>
  <si>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</si>
  <si>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</si>
  <si>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</si>
  <si>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</si>
  <si>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</si>
  <si>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</si>
  <si>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</si>
  <si>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</si>
  <si>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</si>
  <si>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</si>
  <si>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</si>
  <si>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</si>
  <si>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</si>
  <si>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</si>
  <si>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</si>
  <si>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</si>
  <si>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</si>
  <si>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</si>
  <si>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</si>
  <si>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</si>
  <si>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</si>
  <si>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</si>
  <si>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</si>
  <si>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</si>
  <si>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</si>
  <si>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</si>
  <si>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</si>
  <si>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</si>
  <si>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</si>
  <si>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</si>
  <si>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</si>
  <si>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</si>
  <si>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</si>
  <si>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</si>
  <si>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</si>
  <si>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</si>
  <si>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</si>
  <si>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</si>
  <si>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</si>
  <si>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</si>
  <si>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</si>
  <si>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</si>
  <si>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</si>
  <si>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</si>
  <si>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</si>
  <si>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</si>
  <si>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</si>
  <si>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</si>
  <si>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</si>
  <si>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</si>
  <si>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</si>
  <si>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</si>
  <si>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</si>
  <si>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</si>
  <si>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</si>
  <si>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</si>
  <si>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</si>
  <si>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</si>
  <si>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</si>
  <si>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</si>
  <si>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</si>
  <si>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</si>
  <si>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</si>
  <si>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</si>
  <si>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</si>
  <si>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</si>
  <si>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</si>
  <si>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</si>
  <si>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</si>
  <si>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</si>
  <si>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</si>
  <si>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</si>
  <si>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</si>
  <si>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</si>
  <si>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</si>
  <si>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</si>
  <si>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</si>
  <si>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</si>
  <si>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</si>
  <si>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</si>
  <si>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</si>
  <si>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</si>
  <si>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</si>
  <si>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</si>
  <si>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</si>
  <si>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</si>
  <si>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</si>
  <si>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</si>
  <si>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</si>
  <si>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</si>
  <si>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</si>
  <si>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</si>
  <si>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</si>
  <si>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</si>
  <si>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</si>
  <si>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</si>
  <si>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</si>
  <si>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</si>
  <si>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</si>
  <si>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</si>
  <si>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</si>
  <si>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</si>
  <si>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</si>
  <si>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</si>
  <si>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</si>
  <si>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</si>
  <si>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</si>
  <si>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</si>
  <si>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</si>
  <si>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</si>
  <si>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</si>
  <si>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</si>
  <si>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</si>
  <si>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</si>
  <si>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</si>
  <si>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</si>
  <si>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</si>
  <si>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</si>
  <si>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</si>
  <si>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</si>
  <si>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</si>
  <si>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</si>
  <si>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</si>
  <si>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</si>
  <si>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</si>
  <si>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</si>
  <si>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</si>
  <si>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</si>
  <si>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</si>
  <si>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</si>
  <si>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</si>
  <si>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</si>
  <si>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</si>
  <si>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</si>
  <si>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</si>
  <si>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</si>
  <si>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</si>
  <si>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</si>
  <si>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</si>
  <si>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</si>
  <si>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</si>
  <si>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</si>
  <si>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</si>
  <si>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</si>
  <si>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</si>
  <si>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</si>
  <si>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</si>
  <si>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</si>
  <si>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</si>
  <si>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</si>
  <si>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</si>
  <si>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</si>
  <si>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</si>
  <si>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</si>
  <si>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</si>
  <si>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</si>
  <si>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</si>
  <si>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</si>
  <si>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</si>
  <si>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</si>
  <si>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</si>
  <si>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</si>
  <si>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</si>
  <si>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</si>
  <si>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</si>
  <si>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</si>
  <si>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</si>
  <si>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</si>
  <si>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</si>
  <si>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</si>
  <si>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</si>
  <si>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</si>
  <si>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</si>
  <si>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</si>
  <si>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</si>
  <si>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</si>
  <si>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</si>
  <si>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</si>
  <si>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</si>
  <si>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</si>
  <si>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</si>
  <si>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</si>
  <si>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</si>
  <si>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</si>
  <si>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</si>
  <si>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</si>
  <si>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</si>
  <si>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</si>
  <si>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</si>
  <si>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</si>
  <si>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</si>
  <si>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</si>
  <si>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</si>
  <si>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</si>
  <si>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</si>
  <si>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</si>
  <si>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</si>
  <si>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</si>
  <si>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</si>
  <si>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</si>
  <si>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</si>
  <si>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</si>
  <si>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</si>
  <si>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</si>
  <si>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</si>
  <si>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</si>
  <si>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</si>
  <si>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</si>
  <si>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</si>
  <si>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</si>
  <si>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</si>
  <si>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</si>
  <si>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</si>
  <si>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</si>
  <si>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</si>
  <si>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</si>
  <si>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</si>
  <si>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</si>
  <si>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</si>
  <si>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</si>
  <si>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</si>
  <si>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</si>
  <si>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</si>
  <si>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</si>
  <si>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</si>
  <si>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</si>
  <si>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</si>
  <si>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</si>
  <si>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</si>
  <si>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</si>
  <si>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</si>
  <si>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</si>
  <si>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</si>
  <si>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</si>
  <si>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</si>
  <si>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</si>
  <si>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</si>
  <si>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</si>
  <si>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</si>
  <si>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</si>
  <si>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</si>
  <si>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</si>
  <si>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</si>
  <si>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</si>
  <si>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</si>
  <si>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</si>
  <si>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</si>
  <si>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</si>
  <si>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</si>
  <si>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</si>
  <si>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</si>
  <si>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</si>
  <si>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</si>
  <si>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</si>
  <si>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</si>
  <si>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</si>
  <si>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</si>
  <si>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</si>
  <si>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</si>
  <si>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</si>
  <si>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</si>
  <si>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</si>
  <si>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</si>
  <si>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</si>
  <si>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</si>
  <si>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</si>
  <si>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</si>
  <si>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</si>
  <si>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</si>
  <si>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</si>
  <si>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</si>
  <si>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</si>
  <si>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</si>
  <si>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</si>
  <si>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</si>
  <si>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</si>
  <si>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</si>
  <si>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</si>
  <si>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</si>
  <si>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</si>
  <si>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</si>
  <si>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</si>
  <si>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</si>
  <si>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</si>
  <si>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</si>
  <si>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</si>
  <si>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</si>
  <si>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</si>
  <si>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</si>
  <si>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</si>
  <si>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</si>
  <si>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</si>
  <si>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</si>
  <si>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</si>
  <si>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</si>
  <si>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</si>
  <si>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</si>
  <si>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</si>
  <si>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</si>
  <si>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</si>
  <si>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</si>
  <si>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</si>
  <si>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</si>
  <si>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</si>
  <si>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</si>
  <si>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</si>
  <si>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</si>
  <si>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</si>
  <si>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</si>
  <si>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</si>
  <si>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</si>
  <si>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</si>
  <si>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</si>
  <si>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</si>
  <si>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</si>
  <si>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</si>
  <si>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</si>
  <si>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</si>
  <si>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</si>
  <si>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</si>
  <si>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</si>
  <si>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</si>
  <si>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</si>
  <si>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</si>
  <si>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</si>
  <si>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</si>
  <si>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</si>
  <si>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</si>
  <si>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</si>
  <si>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</si>
  <si>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</si>
  <si>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</si>
  <si>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</si>
  <si>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</si>
  <si>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</si>
  <si>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</si>
  <si>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</si>
  <si>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</si>
  <si>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</si>
  <si>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</si>
  <si>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</si>
  <si>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</si>
  <si>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</si>
  <si>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</si>
  <si>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</si>
  <si>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</si>
  <si>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</si>
  <si>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</si>
  <si>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</si>
  <si>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</si>
  <si>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</si>
  <si>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</si>
  <si>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</si>
  <si>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</si>
  <si>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</si>
  <si>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</si>
  <si>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</si>
  <si>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</si>
  <si>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</si>
  <si>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</si>
  <si>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</si>
  <si>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</si>
  <si>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</si>
  <si>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</si>
  <si>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</si>
  <si>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</si>
  <si>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</si>
  <si>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</si>
  <si>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</si>
  <si>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</si>
  <si>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</si>
  <si>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</si>
  <si>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</si>
  <si>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</si>
  <si>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</si>
  <si>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</si>
  <si>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</si>
  <si>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</si>
  <si>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</si>
  <si>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</si>
  <si>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</si>
  <si>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</si>
  <si>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</si>
  <si>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</si>
  <si>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</si>
  <si>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</si>
  <si>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</si>
  <si>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</si>
  <si>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</si>
  <si>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</si>
  <si>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</si>
  <si>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</si>
  <si>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</si>
  <si>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</si>
  <si>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</si>
  <si>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</si>
  <si>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</si>
  <si>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</si>
  <si>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</si>
  <si>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</si>
  <si>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</si>
  <si>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</si>
  <si>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</si>
  <si>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</si>
  <si>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</si>
  <si>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</si>
  <si>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</si>
  <si>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</si>
  <si>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</si>
  <si>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</si>
  <si>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</si>
  <si>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</si>
  <si>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</si>
  <si>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</si>
  <si>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</si>
  <si>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</si>
  <si>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</si>
  <si>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</si>
  <si>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</si>
  <si>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</si>
  <si>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</si>
  <si>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</si>
  <si>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</si>
  <si>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</si>
  <si>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</si>
  <si>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</si>
  <si>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</si>
  <si>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</si>
  <si>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</si>
  <si>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</si>
  <si>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</si>
  <si>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</si>
  <si>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</si>
  <si>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</si>
  <si>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</si>
  <si>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</si>
  <si>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</si>
  <si>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</si>
  <si>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</si>
  <si>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</si>
  <si>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</si>
  <si>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</si>
  <si>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</si>
  <si>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</si>
  <si>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</si>
  <si>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</si>
  <si>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</si>
  <si>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</si>
  <si>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</si>
  <si>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</si>
  <si>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</si>
  <si>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</si>
  <si>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</si>
  <si>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</si>
  <si>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</si>
  <si>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</si>
  <si>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</si>
  <si>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</si>
  <si>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</si>
  <si>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</si>
  <si>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</si>
  <si>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</si>
  <si>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</si>
  <si>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</si>
  <si>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</si>
  <si>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</si>
  <si>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</si>
  <si>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</si>
  <si>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</si>
  <si>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</si>
  <si>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</si>
  <si>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</si>
  <si>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</si>
  <si>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</si>
  <si>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</si>
  <si>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</si>
  <si>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</si>
  <si>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</si>
  <si>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</si>
  <si>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</si>
  <si>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</si>
  <si>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</si>
  <si>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</si>
  <si>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</si>
  <si>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</si>
  <si>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</si>
  <si>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</si>
  <si>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</si>
  <si>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</si>
  <si>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</si>
  <si>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</si>
  <si>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</si>
  <si>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</si>
  <si>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</si>
  <si>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</si>
  <si>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</si>
  <si>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</si>
  <si>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</si>
  <si>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</si>
  <si>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</si>
  <si>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</si>
  <si>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</si>
  <si>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</si>
  <si>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</si>
  <si>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</si>
  <si>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</si>
  <si>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</si>
  <si>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</si>
  <si>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</si>
  <si>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</si>
  <si>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</si>
  <si>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</si>
  <si>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</si>
  <si>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</si>
  <si>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</si>
  <si>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</si>
  <si>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</si>
  <si>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</si>
  <si>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</si>
  <si>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</si>
  <si>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</si>
  <si>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</si>
  <si>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</si>
  <si>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</si>
  <si>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</si>
  <si>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</si>
  <si>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</si>
  <si>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</si>
  <si>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</si>
  <si>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</si>
  <si>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</si>
  <si>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</si>
  <si>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</si>
  <si>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</si>
  <si>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</si>
  <si>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</si>
  <si>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</si>
  <si>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</si>
  <si>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</si>
  <si>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</si>
  <si>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</si>
  <si>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</si>
  <si>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</si>
  <si>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</si>
  <si>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</si>
  <si>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</si>
  <si>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</si>
  <si>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</si>
  <si>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</si>
  <si>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</si>
  <si>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</si>
  <si>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</si>
  <si>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</si>
  <si>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</si>
  <si>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</si>
  <si>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</si>
  <si>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</si>
  <si>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</si>
  <si>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</si>
  <si>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</si>
  <si>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</si>
  <si>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</si>
  <si>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</si>
  <si>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</si>
  <si>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</si>
  <si>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</si>
  <si>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</si>
  <si>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</si>
  <si>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</si>
  <si>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</si>
  <si>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</si>
  <si>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</si>
  <si>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</si>
  <si>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</si>
  <si>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</si>
  <si>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</si>
  <si>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</si>
  <si>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Class 1</t>
  </si>
  <si>
    <t>Class 2</t>
  </si>
  <si>
    <t>Class 3</t>
  </si>
  <si>
    <t>Class 4</t>
  </si>
  <si>
    <t>Restriction</t>
  </si>
  <si>
    <t>dateCreated</t>
  </si>
  <si>
    <t>primaryContact</t>
  </si>
  <si>
    <t>serviceArea</t>
  </si>
  <si>
    <t>nextInspectionDate</t>
  </si>
  <si>
    <t>numberOfBuses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</si>
  <si>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</si>
  <si>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</si>
  <si>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</si>
  <si>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</si>
  <si>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</si>
  <si>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</si>
  <si>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</si>
  <si>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</si>
  <si>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</si>
  <si>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</si>
  <si>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</si>
  <si>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</si>
  <si>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</si>
  <si>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</si>
  <si>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</si>
  <si>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</si>
  <si>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</si>
  <si>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</si>
  <si>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</si>
  <si>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</si>
  <si>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</si>
  <si>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</si>
  <si>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</si>
  <si>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</si>
  <si>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</si>
  <si>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</si>
  <si>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</si>
  <si>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</si>
  <si>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</si>
  <si>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</si>
  <si>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</si>
  <si>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</si>
  <si>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</si>
  <si>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</si>
  <si>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</si>
  <si>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</si>
  <si>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</si>
  <si>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</si>
  <si>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</si>
  <si>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</si>
  <si>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</si>
  <si>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</si>
  <si>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</si>
  <si>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</si>
  <si>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</si>
  <si>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</si>
  <si>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</si>
  <si>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</si>
  <si>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</si>
  <si>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</si>
  <si>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</si>
  <si>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</si>
  <si>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</si>
  <si>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</si>
  <si>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</si>
  <si>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</si>
  <si>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</si>
  <si>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</si>
  <si>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</si>
  <si>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</si>
  <si>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</si>
  <si>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</si>
  <si>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</si>
  <si>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</si>
  <si>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</si>
  <si>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</si>
  <si>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</si>
  <si>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</si>
  <si>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</si>
  <si>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</si>
  <si>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</si>
  <si>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</si>
  <si>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</si>
  <si>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</si>
  <si>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</si>
  <si>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</si>
  <si>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</si>
  <si>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</si>
  <si>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</si>
  <si>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</si>
  <si>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</si>
  <si>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</si>
  <si>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</si>
  <si>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</si>
  <si>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</si>
  <si>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</si>
  <si>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</si>
  <si>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</si>
  <si>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</si>
  <si>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</si>
  <si>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</si>
  <si>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</si>
  <si>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</si>
  <si>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</si>
  <si>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</si>
  <si>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</si>
  <si>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</si>
  <si>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</si>
  <si>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</si>
  <si>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</si>
  <si>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</si>
  <si>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</si>
  <si>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</si>
  <si>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</si>
  <si>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</si>
  <si>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</si>
  <si>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</si>
  <si>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</si>
  <si>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</si>
  <si>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</si>
  <si>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</si>
  <si>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</si>
  <si>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</si>
  <si>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</si>
  <si>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</si>
  <si>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</si>
  <si>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</si>
  <si>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</si>
  <si>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</si>
  <si>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</si>
  <si>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</si>
  <si>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</si>
  <si>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</si>
  <si>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</si>
  <si>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</si>
  <si>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</si>
  <si>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</si>
  <si>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</si>
  <si>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</si>
  <si>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</si>
  <si>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</si>
  <si>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</si>
  <si>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</si>
  <si>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</si>
  <si>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</si>
  <si>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</si>
  <si>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</si>
  <si>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</si>
  <si>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</si>
  <si>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</si>
  <si>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</si>
  <si>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</si>
  <si>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</si>
  <si>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</si>
  <si>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</si>
  <si>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</si>
  <si>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</si>
  <si>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</si>
  <si>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</si>
  <si>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</si>
  <si>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</si>
  <si>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</si>
  <si>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</si>
  <si>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</si>
  <si>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</si>
  <si>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</si>
  <si>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</si>
  <si>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</si>
  <si>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</si>
  <si>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</si>
  <si>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</si>
  <si>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</si>
  <si>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</si>
  <si>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</si>
  <si>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</si>
  <si>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</si>
  <si>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</si>
  <si>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</si>
  <si>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</si>
  <si>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</si>
  <si>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</si>
  <si>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</si>
  <si>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</si>
  <si>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</si>
  <si>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</si>
  <si>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</si>
  <si>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</si>
  <si>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</si>
  <si>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</si>
  <si>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</si>
  <si>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</si>
  <si>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</si>
  <si>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</si>
  <si>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</si>
  <si>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</si>
  <si>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</si>
  <si>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</si>
  <si>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</si>
  <si>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</si>
  <si>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</si>
  <si>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</si>
  <si>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</si>
  <si>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</si>
  <si>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</si>
  <si>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</si>
  <si>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</si>
  <si>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</si>
  <si>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</si>
  <si>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</si>
  <si>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</si>
  <si>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</si>
  <si>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</si>
  <si>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</si>
  <si>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</si>
  <si>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</si>
  <si>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</si>
  <si>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</si>
  <si>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</si>
  <si>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</si>
  <si>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</si>
  <si>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</si>
  <si>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</si>
  <si>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</si>
  <si>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</si>
  <si>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</si>
  <si>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</si>
  <si>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</si>
  <si>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</si>
  <si>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</si>
  <si>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</si>
  <si>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</si>
  <si>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</si>
  <si>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</si>
  <si>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</si>
  <si>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</si>
  <si>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</si>
  <si>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</si>
  <si>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</si>
  <si>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</si>
  <si>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</si>
  <si>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</si>
  <si>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</si>
  <si>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</si>
  <si>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</si>
  <si>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</si>
  <si>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</si>
  <si>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</si>
  <si>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</si>
  <si>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</si>
  <si>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</si>
  <si>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</si>
  <si>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</si>
  <si>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</si>
  <si>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</si>
  <si>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</si>
  <si>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</si>
  <si>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</si>
  <si>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</si>
  <si>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</si>
  <si>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</si>
  <si>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</si>
  <si>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</si>
  <si>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</si>
  <si>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</si>
  <si>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</si>
  <si>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</si>
  <si>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</si>
  <si>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</si>
  <si>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</si>
  <si>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</si>
  <si>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</si>
  <si>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</si>
  <si>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</si>
  <si>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</si>
  <si>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</si>
  <si>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</si>
  <si>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</si>
  <si>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</si>
  <si>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</si>
  <si>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</si>
  <si>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</si>
  <si>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</si>
  <si>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</si>
  <si>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</si>
  <si>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</si>
  <si>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</si>
  <si>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</si>
  <si>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</si>
  <si>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</si>
  <si>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</si>
  <si>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</si>
  <si>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</si>
  <si>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</si>
  <si>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</si>
  <si>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</si>
  <si>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</si>
  <si>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</si>
  <si>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</si>
  <si>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</si>
  <si>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</si>
  <si>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</si>
  <si>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</si>
  <si>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</si>
  <si>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</si>
  <si>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</si>
  <si>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</si>
  <si>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</si>
  <si>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</si>
  <si>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</si>
  <si>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</si>
  <si>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</si>
  <si>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</si>
  <si>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</si>
  <si>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</si>
  <si>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</si>
  <si>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</si>
  <si>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</si>
  <si>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</si>
  <si>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</si>
  <si>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</si>
  <si>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</si>
  <si>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</si>
  <si>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</si>
  <si>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</si>
  <si>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</si>
  <si>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</si>
  <si>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</si>
  <si>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</si>
  <si>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</si>
  <si>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</si>
  <si>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</si>
  <si>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</si>
  <si>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</si>
  <si>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</si>
  <si>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</si>
  <si>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</si>
  <si>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</si>
  <si>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</si>
  <si>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</si>
  <si>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</si>
  <si>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</si>
  <si>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</si>
  <si>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</si>
  <si>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</si>
  <si>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</si>
  <si>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</si>
  <si>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</si>
  <si>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</si>
  <si>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</si>
  <si>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</si>
  <si>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</si>
  <si>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</si>
  <si>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</si>
  <si>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</si>
  <si>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</si>
  <si>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</si>
  <si>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</si>
  <si>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</si>
  <si>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</si>
  <si>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</si>
  <si>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</si>
  <si>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</si>
  <si>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</si>
  <si>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</si>
  <si>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</si>
  <si>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</si>
  <si>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</si>
  <si>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</si>
  <si>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</si>
  <si>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</si>
  <si>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</si>
  <si>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</si>
  <si>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</si>
  <si>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</si>
  <si>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</si>
  <si>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</si>
  <si>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</si>
  <si>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</si>
  <si>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</si>
  <si>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</si>
  <si>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</si>
  <si>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</si>
  <si>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</si>
  <si>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</si>
  <si>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</si>
  <si>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</si>
  <si>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</si>
  <si>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</si>
  <si>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</si>
  <si>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</si>
  <si>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</si>
  <si>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</si>
  <si>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</si>
  <si>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</si>
  <si>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</si>
  <si>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</si>
  <si>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</si>
  <si>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</si>
  <si>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</si>
  <si>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</si>
  <si>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</si>
  <si>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</si>
  <si>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</si>
  <si>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</si>
  <si>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</si>
  <si>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</si>
  <si>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</si>
  <si>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</si>
  <si>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</si>
  <si>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</si>
  <si>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</si>
  <si>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</si>
  <si>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</si>
  <si>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</si>
  <si>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</si>
  <si>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</si>
  <si>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</si>
  <si>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</si>
  <si>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</si>
  <si>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</si>
  <si>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</si>
  <si>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</si>
  <si>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</si>
  <si>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</si>
  <si>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</si>
  <si>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</si>
  <si>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</si>
  <si>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</si>
  <si>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</si>
  <si>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</si>
  <si>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</si>
  <si>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</si>
  <si>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</si>
  <si>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</si>
  <si>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</si>
  <si>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</si>
  <si>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</si>
  <si>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</si>
  <si>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</si>
  <si>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</si>
  <si>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</si>
  <si>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</si>
  <si>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</si>
  <si>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</si>
  <si>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</si>
  <si>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</si>
  <si>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</si>
  <si>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</si>
  <si>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</si>
  <si>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</si>
  <si>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</si>
  <si>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</si>
  <si>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</si>
  <si>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</si>
  <si>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</si>
  <si>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</si>
  <si>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</si>
  <si>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</si>
  <si>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</si>
  <si>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</si>
  <si>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</si>
  <si>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</si>
  <si>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</si>
  <si>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</si>
  <si>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</si>
  <si>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</si>
  <si>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</si>
  <si>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</si>
  <si>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</si>
  <si>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</si>
  <si>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</si>
  <si>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</si>
  <si>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</si>
  <si>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</si>
  <si>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</si>
  <si>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</si>
  <si>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</si>
  <si>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</si>
  <si>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</si>
  <si>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</si>
  <si>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</si>
  <si>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</si>
  <si>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</si>
  <si>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</si>
  <si>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</si>
  <si>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</si>
  <si>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</si>
  <si>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</si>
  <si>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</si>
  <si>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</si>
  <si>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</si>
  <si>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</si>
  <si>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</si>
  <si>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</si>
  <si>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</si>
  <si>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</si>
  <si>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</si>
  <si>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</si>
  <si>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</si>
  <si>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</si>
  <si>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</si>
  <si>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</si>
  <si>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</si>
  <si>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</si>
  <si>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</si>
  <si>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</si>
  <si>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</si>
  <si>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</si>
  <si>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</si>
  <si>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</si>
  <si>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</si>
  <si>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</si>
  <si>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</si>
  <si>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</si>
  <si>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</si>
  <si>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</si>
  <si>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</si>
  <si>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</si>
  <si>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</si>
  <si>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</si>
  <si>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</si>
  <si>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</si>
  <si>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</si>
  <si>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</si>
  <si>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</si>
  <si>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</si>
  <si>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</si>
  <si>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</si>
  <si>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</si>
  <si>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</si>
  <si>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</si>
  <si>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</si>
  <si>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</si>
  <si>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</si>
  <si>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</si>
  <si>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</si>
  <si>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</si>
  <si>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</si>
  <si>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</si>
  <si>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</si>
  <si>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</si>
  <si>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</si>
  <si>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</si>
  <si>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</si>
  <si>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</si>
  <si>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</si>
  <si>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</si>
  <si>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</si>
  <si>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</si>
  <si>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</si>
  <si>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</si>
  <si>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</si>
  <si>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</si>
  <si>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</si>
  <si>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</si>
  <si>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</si>
  <si>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</si>
  <si>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</si>
  <si>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</si>
  <si>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</si>
  <si>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</si>
  <si>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</si>
  <si>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</si>
  <si>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</si>
  <si>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</si>
  <si>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</si>
  <si>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</si>
  <si>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</si>
  <si>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</si>
  <si>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</si>
  <si>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</si>
  <si>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</si>
  <si>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</si>
  <si>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</si>
  <si>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</si>
  <si>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</si>
  <si>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</si>
  <si>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</si>
  <si>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</si>
  <si>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</si>
  <si>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</si>
  <si>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</si>
  <si>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</si>
  <si>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</si>
  <si>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</si>
  <si>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</si>
  <si>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</si>
  <si>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</si>
  <si>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</si>
  <si>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</si>
  <si>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</si>
  <si>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</si>
  <si>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</si>
  <si>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</si>
  <si>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</si>
  <si>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</si>
  <si>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</si>
  <si>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</si>
  <si>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</si>
  <si>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</si>
  <si>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</si>
  <si>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</si>
  <si>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</si>
  <si>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</si>
  <si>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</si>
  <si>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</si>
  <si>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</si>
  <si>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</si>
  <si>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</si>
  <si>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</si>
  <si>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</si>
  <si>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</si>
  <si>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</si>
  <si>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</si>
  <si>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</si>
  <si>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</si>
  <si>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</si>
  <si>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</si>
  <si>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</si>
  <si>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</si>
  <si>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</si>
  <si>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</si>
  <si>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</si>
  <si>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</si>
  <si>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</si>
  <si>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</si>
  <si>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</si>
  <si>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</si>
  <si>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</si>
  <si>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</si>
  <si>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</si>
  <si>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</si>
  <si>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</si>
  <si>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</si>
  <si>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</si>
  <si>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</si>
  <si>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</si>
  <si>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</si>
  <si>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</si>
  <si>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</si>
  <si>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</si>
  <si>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</si>
  <si>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</si>
  <si>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</si>
  <si>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</si>
  <si>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</si>
  <si>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</si>
  <si>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</si>
  <si>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</si>
  <si>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</si>
  <si>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</si>
  <si>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</si>
  <si>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</si>
  <si>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</si>
  <si>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</si>
  <si>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</si>
  <si>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</si>
  <si>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</si>
  <si>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</si>
  <si>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</si>
  <si>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</si>
  <si>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</si>
  <si>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</si>
  <si>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</si>
  <si>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</si>
  <si>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</si>
  <si>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</si>
  <si>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</si>
  <si>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</si>
  <si>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</si>
  <si>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</si>
  <si>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</si>
  <si>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</si>
  <si>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</si>
  <si>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</si>
  <si>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</si>
  <si>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</si>
  <si>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</si>
  <si>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</si>
  <si>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</si>
  <si>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</si>
  <si>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</si>
  <si>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</si>
  <si>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</si>
  <si>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</si>
  <si>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</si>
  <si>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</si>
  <si>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</si>
  <si>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</si>
  <si>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</si>
  <si>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</si>
  <si>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</si>
  <si>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</si>
  <si>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</si>
  <si>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</si>
  <si>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</si>
  <si>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</si>
  <si>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</si>
  <si>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</si>
  <si>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</si>
  <si>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</si>
  <si>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</si>
  <si>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</si>
  <si>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</si>
  <si>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</si>
  <si>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</si>
  <si>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</si>
  <si>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</si>
  <si>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</si>
  <si>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</si>
  <si>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</si>
  <si>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</si>
  <si>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</si>
  <si>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</si>
  <si>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</si>
  <si>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</si>
  <si>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</si>
  <si>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</si>
  <si>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</si>
  <si>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</si>
  <si>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</si>
  <si>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</si>
  <si>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</si>
  <si>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</si>
  <si>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</si>
  <si>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</si>
  <si>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</si>
  <si>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</si>
  <si>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</si>
  <si>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</si>
  <si>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</si>
  <si>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</si>
  <si>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</si>
  <si>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</si>
  <si>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</si>
  <si>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</si>
  <si>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</si>
  <si>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</si>
  <si>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</si>
  <si>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</si>
  <si>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</si>
  <si>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</si>
  <si>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</si>
  <si>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</si>
  <si>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</si>
  <si>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</si>
  <si>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</si>
  <si>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</si>
  <si>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</si>
  <si>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</si>
  <si>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</si>
  <si>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</si>
  <si>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</si>
  <si>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</si>
  <si>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</si>
  <si>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</si>
  <si>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</si>
  <si>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</si>
  <si>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</si>
  <si>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</si>
  <si>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</si>
  <si>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</si>
  <si>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</si>
  <si>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</si>
  <si>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</si>
  <si>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</si>
  <si>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</si>
  <si>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</si>
  <si>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</si>
  <si>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</si>
  <si>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</si>
  <si>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</si>
  <si>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</si>
  <si>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</si>
  <si>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</si>
  <si>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</si>
  <si>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</si>
  <si>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</si>
  <si>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</si>
  <si>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</si>
  <si>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</si>
  <si>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</si>
  <si>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</si>
  <si>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</si>
  <si>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</si>
  <si>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</si>
  <si>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</si>
  <si>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</si>
  <si>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</si>
  <si>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</si>
  <si>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</si>
  <si>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</si>
  <si>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</si>
  <si>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</si>
  <si>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</si>
  <si>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</si>
  <si>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</si>
  <si>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</si>
  <si>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</si>
  <si>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</si>
  <si>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</si>
  <si>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</si>
  <si>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</si>
  <si>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</si>
  <si>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</si>
  <si>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</si>
  <si>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</si>
  <si>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</si>
  <si>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</si>
  <si>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</si>
  <si>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</si>
  <si>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</si>
  <si>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</si>
  <si>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</si>
  <si>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</si>
  <si>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</si>
  <si>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</si>
  <si>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</si>
  <si>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</si>
  <si>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</si>
  <si>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</si>
  <si>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</si>
  <si>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</si>
  <si>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</si>
  <si>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</si>
  <si>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</si>
  <si>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</si>
  <si>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</si>
  <si>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</si>
  <si>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</si>
  <si>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</si>
  <si>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</si>
  <si>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</si>
  <si>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</si>
  <si>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</si>
  <si>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</si>
  <si>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</si>
  <si>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</si>
  <si>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</si>
  <si>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</si>
  <si>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</si>
  <si>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</si>
  <si>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</si>
  <si>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</si>
  <si>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</si>
  <si>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</si>
  <si>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</si>
  <si>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</si>
  <si>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</si>
  <si>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</si>
  <si>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</si>
  <si>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</si>
  <si>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</si>
  <si>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</si>
  <si>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</si>
  <si>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</si>
  <si>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</si>
  <si>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</si>
  <si>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</si>
  <si>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</si>
  <si>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</si>
  <si>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</si>
  <si>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</si>
  <si>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</si>
  <si>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</si>
  <si>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</si>
  <si>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</si>
  <si>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</si>
  <si>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</si>
  <si>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</si>
  <si>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</si>
  <si>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</si>
  <si>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</si>
  <si>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</si>
  <si>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</si>
  <si>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</si>
  <si>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</si>
  <si>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</si>
  <si>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</si>
  <si>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</si>
  <si>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</si>
  <si>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</si>
  <si>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</si>
  <si>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</si>
  <si>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</si>
  <si>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</si>
  <si>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</si>
  <si>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</si>
  <si>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</si>
  <si>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</si>
  <si>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</si>
  <si>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</si>
  <si>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</si>
  <si>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</si>
  <si>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</si>
  <si>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</si>
  <si>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</si>
  <si>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</si>
  <si>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</si>
  <si>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</si>
  <si>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</si>
  <si>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</si>
  <si>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</si>
  <si>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</si>
  <si>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</si>
  <si>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</si>
  <si>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</si>
  <si>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</si>
  <si>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</si>
  <si>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</si>
  <si>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</si>
  <si>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</si>
  <si>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</si>
  <si>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</si>
  <si>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</si>
  <si>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</si>
  <si>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</si>
  <si>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</si>
  <si>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</si>
  <si>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</si>
  <si>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</si>
  <si>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</si>
  <si>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</si>
  <si>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</si>
  <si>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</si>
  <si>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</si>
  <si>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</si>
  <si>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</si>
  <si>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</si>
  <si>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</si>
  <si>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</si>
  <si>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</si>
  <si>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</si>
  <si>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</si>
  <si>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</si>
  <si>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</si>
  <si>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</si>
  <si>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</si>
  <si>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</si>
  <si>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</si>
  <si>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</si>
  <si>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</si>
  <si>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</si>
  <si>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</si>
  <si>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</si>
  <si>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</si>
  <si>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</si>
  <si>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</si>
  <si>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</si>
  <si>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</si>
  <si>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</si>
  <si>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</si>
  <si>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</si>
  <si>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</si>
  <si>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</si>
  <si>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</si>
  <si>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</si>
  <si>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</si>
  <si>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</si>
  <si>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</si>
  <si>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</si>
  <si>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</si>
  <si>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</si>
  <si>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</si>
  <si>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</si>
  <si>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</si>
  <si>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</si>
  <si>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</si>
  <si>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</si>
  <si>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</si>
  <si>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</si>
  <si>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</si>
  <si>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</si>
  <si>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</si>
  <si>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</si>
  <si>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</si>
  <si>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</si>
  <si>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</si>
  <si>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</si>
  <si>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</si>
  <si>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</si>
  <si>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</si>
  <si>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</si>
  <si>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</si>
  <si>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</si>
  <si>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</si>
  <si>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</si>
  <si>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</si>
  <si>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</si>
  <si>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</si>
  <si>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</si>
  <si>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</si>
  <si>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</si>
  <si>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</si>
  <si>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</si>
  <si>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</si>
  <si>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</si>
  <si>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</si>
  <si>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</si>
  <si>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</si>
  <si>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</si>
  <si>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</si>
  <si>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</si>
  <si>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</si>
  <si>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</si>
  <si>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</si>
  <si>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</si>
  <si>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</si>
  <si>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</si>
  <si>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</si>
  <si>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</si>
  <si>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</si>
  <si>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</si>
  <si>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</si>
  <si>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</si>
  <si>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</si>
  <si>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</si>
  <si>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</si>
  <si>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</si>
  <si>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</si>
  <si>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</si>
  <si>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</si>
  <si>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</si>
  <si>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</si>
  <si>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</si>
  <si>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</si>
  <si>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</si>
  <si>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</si>
  <si>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</si>
  <si>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</si>
  <si>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</si>
  <si>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</si>
  <si>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</si>
  <si>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</si>
  <si>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</si>
  <si>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</si>
  <si>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</si>
  <si>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</si>
  <si>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</si>
  <si>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</si>
  <si>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</si>
  <si>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</si>
  <si>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</si>
  <si>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</si>
  <si>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</si>
  <si>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</si>
  <si>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</si>
  <si>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</si>
  <si>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</si>
  <si>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</si>
  <si>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</si>
  <si>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</si>
  <si>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</si>
  <si>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</si>
  <si>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</si>
  <si>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</si>
  <si>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</si>
  <si>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</si>
  <si>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</si>
  <si>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</si>
  <si>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</si>
  <si>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</si>
  <si>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</si>
  <si>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</si>
  <si>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</si>
  <si>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</si>
  <si>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</si>
  <si>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</si>
  <si>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</si>
  <si>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</si>
  <si>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</si>
  <si>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</si>
  <si>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</si>
  <si>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</si>
  <si>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</si>
  <si>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</si>
  <si>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</si>
  <si>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</si>
  <si>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</si>
  <si>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</si>
  <si>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</si>
  <si>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</si>
  <si>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</si>
  <si>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</si>
  <si>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</si>
  <si>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</si>
  <si>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</si>
  <si>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</si>
  <si>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</si>
  <si>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</si>
  <si>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</si>
  <si>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</si>
  <si>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</si>
  <si>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</si>
  <si>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</si>
  <si>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</si>
  <si>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</si>
  <si>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</si>
  <si>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</si>
  <si>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</si>
  <si>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</si>
  <si>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</si>
  <si>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</si>
  <si>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</si>
  <si>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</si>
  <si>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</si>
  <si>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</si>
  <si>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</si>
  <si>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</si>
  <si>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</si>
  <si>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</si>
  <si>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</si>
  <si>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</si>
  <si>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</si>
  <si>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</si>
  <si>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</si>
  <si>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</si>
  <si>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</si>
  <si>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</si>
  <si>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</si>
  <si>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</si>
  <si>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</si>
  <si>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</si>
  <si>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</si>
  <si>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</si>
  <si>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</si>
  <si>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</si>
  <si>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</si>
  <si>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</si>
  <si>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</si>
  <si>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</si>
  <si>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</si>
  <si>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</si>
  <si>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</si>
  <si>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</si>
  <si>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</si>
  <si>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</si>
  <si>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</si>
  <si>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</si>
  <si>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</si>
  <si>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</si>
  <si>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</si>
  <si>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</si>
  <si>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</si>
  <si>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</si>
  <si>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</si>
  <si>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</si>
  <si>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</si>
  <si>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</si>
  <si>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</si>
  <si>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</si>
  <si>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</si>
  <si>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</si>
  <si>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</si>
  <si>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</si>
  <si>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</si>
  <si>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</si>
  <si>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</si>
  <si>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</si>
  <si>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</si>
  <si>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</si>
  <si>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</si>
  <si>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</si>
  <si>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</si>
  <si>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</si>
  <si>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</si>
  <si>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</si>
  <si>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</si>
  <si>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</si>
  <si>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</si>
  <si>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</si>
  <si>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</si>
  <si>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</si>
  <si>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</si>
  <si>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</si>
  <si>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</si>
  <si>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</si>
  <si>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</si>
  <si>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</si>
  <si>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</si>
  <si>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</si>
  <si>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</si>
  <si>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</si>
  <si>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</si>
  <si>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</si>
  <si>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</si>
  <si>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</si>
  <si>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</si>
  <si>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</si>
  <si>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</si>
  <si>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</si>
  <si>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</si>
  <si>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</si>
  <si>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</si>
  <si>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</si>
  <si>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</si>
  <si>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</si>
  <si>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</si>
  <si>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</si>
  <si>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</si>
  <si>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</si>
  <si>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</si>
  <si>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</si>
  <si>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</si>
  <si>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</si>
  <si>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</si>
  <si>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</si>
  <si>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</si>
  <si>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</si>
  <si>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</si>
  <si>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</si>
  <si>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</si>
  <si>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</si>
  <si>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</si>
  <si>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</si>
  <si>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</si>
  <si>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</si>
  <si>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</si>
  <si>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</si>
  <si>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</si>
  <si>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</si>
  <si>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</si>
  <si>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</si>
  <si>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</si>
  <si>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</si>
  <si>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</si>
  <si>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</si>
  <si>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</si>
  <si>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</si>
  <si>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</si>
  <si>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</si>
  <si>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</si>
  <si>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</si>
  <si>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</si>
  <si>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</si>
  <si>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</si>
  <si>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</si>
  <si>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</si>
  <si>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</si>
  <si>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</si>
  <si>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</si>
  <si>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</si>
  <si>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</si>
  <si>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</si>
  <si>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</si>
  <si>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</si>
  <si>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</si>
  <si>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</si>
  <si>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</si>
  <si>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</si>
  <si>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</si>
  <si>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</si>
  <si>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</si>
  <si>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</si>
  <si>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</si>
  <si>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</si>
  <si>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</si>
  <si>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</si>
  <si>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</si>
  <si>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</si>
  <si>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</si>
  <si>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</si>
  <si>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</si>
  <si>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</si>
  <si>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</si>
  <si>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</si>
  <si>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</si>
  <si>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</si>
  <si>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</si>
  <si>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</si>
  <si>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</si>
  <si>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</si>
  <si>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</si>
  <si>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</si>
  <si>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</si>
  <si>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</si>
  <si>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</si>
  <si>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</si>
  <si>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</si>
  <si>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</si>
  <si>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</si>
  <si>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</si>
  <si>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</si>
  <si>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</si>
  <si>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</si>
  <si>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</si>
  <si>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</si>
  <si>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</si>
  <si>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</si>
  <si>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</si>
  <si>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</si>
  <si>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</si>
  <si>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</si>
  <si>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</si>
  <si>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</si>
  <si>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</si>
  <si>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</si>
  <si>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</si>
  <si>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</si>
  <si>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</si>
  <si>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</si>
  <si>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</si>
  <si>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</si>
  <si>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</si>
  <si>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</si>
  <si>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</si>
  <si>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</si>
  <si>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</si>
  <si>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</si>
  <si>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</si>
  <si>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</si>
  <si>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</si>
  <si>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</si>
  <si>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</si>
  <si>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</si>
  <si>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</si>
  <si>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</si>
  <si>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</si>
  <si>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</si>
  <si>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</si>
  <si>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</si>
  <si>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</si>
  <si>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</si>
  <si>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</si>
  <si>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</si>
  <si>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</si>
  <si>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</si>
  <si>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</si>
  <si>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</si>
  <si>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</si>
  <si>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</si>
  <si>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</si>
  <si>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</si>
  <si>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</si>
  <si>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</si>
  <si>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</si>
  <si>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</si>
  <si>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</si>
  <si>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</si>
  <si>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</si>
  <si>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</si>
  <si>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</si>
  <si>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</si>
  <si>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</si>
  <si>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</si>
  <si>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</si>
  <si>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</si>
  <si>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</si>
  <si>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</si>
  <si>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</si>
  <si>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</si>
  <si>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</si>
  <si>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</si>
  <si>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</si>
  <si>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</si>
  <si>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</si>
  <si>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</si>
  <si>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</si>
  <si>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</si>
  <si>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</si>
  <si>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</si>
  <si>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</si>
  <si>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</si>
  <si>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</si>
  <si>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</si>
  <si>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</si>
  <si>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</si>
  <si>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</si>
  <si>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</si>
  <si>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</si>
  <si>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</si>
  <si>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</si>
  <si>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</si>
  <si>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</si>
  <si>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</si>
  <si>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</si>
  <si>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</si>
  <si>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</si>
  <si>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</si>
  <si>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</si>
  <si>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</si>
  <si>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</si>
  <si>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</si>
  <si>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</si>
  <si>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</si>
  <si>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</si>
  <si>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</si>
  <si>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</si>
  <si>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</si>
  <si>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</si>
  <si>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</si>
  <si>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</si>
  <si>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</si>
  <si>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</si>
  <si>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</si>
  <si>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</si>
  <si>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</si>
  <si>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</si>
  <si>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</si>
  <si>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</si>
  <si>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</si>
  <si>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</si>
  <si>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</si>
  <si>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</si>
  <si>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</si>
  <si>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</si>
  <si>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</si>
  <si>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</si>
  <si>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</si>
  <si>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</si>
  <si>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</si>
  <si>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</si>
  <si>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</si>
  <si>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</si>
  <si>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</si>
  <si>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</si>
  <si>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</si>
  <si>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</si>
  <si>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</si>
  <si>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</si>
  <si>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</si>
  <si>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</si>
  <si>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</si>
  <si>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</si>
  <si>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</si>
  <si>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</si>
  <si>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</si>
  <si>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</si>
  <si>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</si>
  <si>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</si>
  <si>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</si>
  <si>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</si>
  <si>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</si>
  <si>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</si>
  <si>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</si>
  <si>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</si>
  <si>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</si>
  <si>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</si>
  <si>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</si>
  <si>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</si>
  <si>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</si>
  <si>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</si>
  <si>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</si>
  <si>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</si>
  <si>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</si>
  <si>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</si>
  <si>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</si>
  <si>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</si>
  <si>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</si>
  <si>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</si>
  <si>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</si>
  <si>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</si>
  <si>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</si>
  <si>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</si>
  <si>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</si>
  <si>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</si>
  <si>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</si>
  <si>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</si>
  <si>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</si>
  <si>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</si>
  <si>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</si>
  <si>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</si>
  <si>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</si>
  <si>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</si>
  <si>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</si>
  <si>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</si>
  <si>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</si>
  <si>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</si>
  <si>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</si>
  <si>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</si>
  <si>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</si>
  <si>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</si>
  <si>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</si>
  <si>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</si>
  <si>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</si>
  <si>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</si>
  <si>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</si>
  <si>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</si>
  <si>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</si>
  <si>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</si>
  <si>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</si>
  <si>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</si>
  <si>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</si>
  <si>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</si>
  <si>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</si>
  <si>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</si>
  <si>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</si>
  <si>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</si>
  <si>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</si>
  <si>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</si>
  <si>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</si>
  <si>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</si>
  <si>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</si>
  <si>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</si>
  <si>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</si>
  <si>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</si>
  <si>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</si>
  <si>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</si>
  <si>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</si>
  <si>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</si>
  <si>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</si>
  <si>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</si>
  <si>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</si>
  <si>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</si>
  <si>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</si>
  <si>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</si>
  <si>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</si>
  <si>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</si>
  <si>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</si>
  <si>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</si>
  <si>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</si>
  <si>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</si>
  <si>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</si>
  <si>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</si>
  <si>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</si>
  <si>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</si>
  <si>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</si>
  <si>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</si>
  <si>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</si>
  <si>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</si>
  <si>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</si>
  <si>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</si>
  <si>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</si>
  <si>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</si>
  <si>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</si>
  <si>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</si>
  <si>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</si>
  <si>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</si>
  <si>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</si>
  <si>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</si>
  <si>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</si>
  <si>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</si>
  <si>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</si>
  <si>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</si>
  <si>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</si>
  <si>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</si>
  <si>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</si>
  <si>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</si>
  <si>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</si>
  <si>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</si>
  <si>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</si>
  <si>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</si>
  <si>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</si>
  <si>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</si>
  <si>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</si>
  <si>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</si>
  <si>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</si>
  <si>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</si>
  <si>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</si>
  <si>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</si>
  <si>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</si>
  <si>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</si>
  <si>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</si>
  <si>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</si>
  <si>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</si>
  <si>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</si>
  <si>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</si>
  <si>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</si>
  <si>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</si>
  <si>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</si>
  <si>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</si>
  <si>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</si>
  <si>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</si>
  <si>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</si>
  <si>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</si>
  <si>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</si>
  <si>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</si>
  <si>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</si>
  <si>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</si>
  <si>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</si>
  <si>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</si>
  <si>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</si>
  <si>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</si>
  <si>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</si>
  <si>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</si>
  <si>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</si>
  <si>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</si>
  <si>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</si>
  <si>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</si>
  <si>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</si>
  <si>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</si>
  <si>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</si>
  <si>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</si>
  <si>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</si>
  <si>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</si>
  <si>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</si>
  <si>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</si>
  <si>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</si>
  <si>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</si>
  <si>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</si>
  <si>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</si>
  <si>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</si>
  <si>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</si>
  <si>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</si>
  <si>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</si>
  <si>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</si>
  <si>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</si>
  <si>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</si>
  <si>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</si>
  <si>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</si>
  <si>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</si>
  <si>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</si>
  <si>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</si>
  <si>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</si>
  <si>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</si>
  <si>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</si>
  <si>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</si>
  <si>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</si>
  <si>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</si>
  <si>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</si>
  <si>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</si>
  <si>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</si>
  <si>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</si>
  <si>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</si>
  <si>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</si>
  <si>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</si>
  <si>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</si>
  <si>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</si>
  <si>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</si>
  <si>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</si>
  <si>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</si>
  <si>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</si>
  <si>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</si>
  <si>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</si>
  <si>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</si>
  <si>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</si>
  <si>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</si>
  <si>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</si>
  <si>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</si>
  <si>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</si>
  <si>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</si>
  <si>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</si>
  <si>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</si>
  <si>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</si>
  <si>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</si>
  <si>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</si>
  <si>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</si>
  <si>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</si>
  <si>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</si>
  <si>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</si>
  <si>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</si>
  <si>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</si>
  <si>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</si>
  <si>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</si>
  <si>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</si>
  <si>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</si>
  <si>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</si>
  <si>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</si>
  <si>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</si>
  <si>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</si>
  <si>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</si>
  <si>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</si>
  <si>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</si>
  <si>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</si>
  <si>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</si>
  <si>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</si>
  <si>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</si>
  <si>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</si>
  <si>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</si>
  <si>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</si>
  <si>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</si>
  <si>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</si>
  <si>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</si>
  <si>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</si>
  <si>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</si>
  <si>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</si>
  <si>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</si>
  <si>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</si>
  <si>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</si>
  <si>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</si>
  <si>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</si>
  <si>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</si>
  <si>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</si>
  <si>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</si>
  <si>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</si>
  <si>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</si>
  <si>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</si>
  <si>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</si>
  <si>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</si>
  <si>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</si>
  <si>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</si>
  <si>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</si>
  <si>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</si>
  <si>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</si>
  <si>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</si>
  <si>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</si>
  <si>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</si>
  <si>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</si>
  <si>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</si>
  <si>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</si>
  <si>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</si>
  <si>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</si>
  <si>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</si>
  <si>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</si>
  <si>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</si>
  <si>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</si>
  <si>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</si>
  <si>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</si>
  <si>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</si>
  <si>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</si>
  <si>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</si>
  <si>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</si>
  <si>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</si>
  <si>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</si>
  <si>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</si>
  <si>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</si>
  <si>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</si>
  <si>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</si>
  <si>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</si>
  <si>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</si>
  <si>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</si>
  <si>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</si>
  <si>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</si>
  <si>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</si>
  <si>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</si>
  <si>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</si>
  <si>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</si>
  <si>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</si>
  <si>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</si>
  <si>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</si>
  <si>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</si>
  <si>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</si>
  <si>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</si>
  <si>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</si>
  <si>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</si>
  <si>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</si>
  <si>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</si>
  <si>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</si>
  <si>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</si>
  <si>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</si>
  <si>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</si>
  <si>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</si>
  <si>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</si>
  <si>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</si>
  <si>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</si>
  <si>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</si>
  <si>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</si>
  <si>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</si>
  <si>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</si>
  <si>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</si>
  <si>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</si>
  <si>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</si>
  <si>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</si>
  <si>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</si>
  <si>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</si>
  <si>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</si>
  <si>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</si>
  <si>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</si>
  <si>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</si>
  <si>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</si>
  <si>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</si>
  <si>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</si>
  <si>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</si>
  <si>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</si>
  <si>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</si>
  <si>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</si>
  <si>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</si>
  <si>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</si>
  <si>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</si>
  <si>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</si>
  <si>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</si>
  <si>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</si>
  <si>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</si>
  <si>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</si>
  <si>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</si>
  <si>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</si>
  <si>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</si>
  <si>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</si>
  <si>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</si>
  <si>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</si>
  <si>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</si>
  <si>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</si>
  <si>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</si>
  <si>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</si>
  <si>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</si>
  <si>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</si>
  <si>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</si>
  <si>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</si>
  <si>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</si>
  <si>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</si>
  <si>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</si>
  <si>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</si>
  <si>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</si>
  <si>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</si>
  <si>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</si>
  <si>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</si>
  <si>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</si>
  <si>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</si>
  <si>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</si>
  <si>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</si>
  <si>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</si>
  <si>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</si>
  <si>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</si>
  <si>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</si>
  <si>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</si>
  <si>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</si>
  <si>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</si>
  <si>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</si>
  <si>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</si>
  <si>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</si>
  <si>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</si>
  <si>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</si>
  <si>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</si>
  <si>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</si>
  <si>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</si>
  <si>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</si>
  <si>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</si>
  <si>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</si>
  <si>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</si>
  <si>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</si>
  <si>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</si>
  <si>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</si>
  <si>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</si>
  <si>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</si>
  <si>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</si>
  <si>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</si>
  <si>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</si>
  <si>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</si>
  <si>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</si>
  <si>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</si>
  <si>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</si>
  <si>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</si>
  <si>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</si>
  <si>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</si>
  <si>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</si>
  <si>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</si>
  <si>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</si>
  <si>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</si>
  <si>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</si>
  <si>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</si>
  <si>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</si>
  <si>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</si>
  <si>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</si>
  <si>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</si>
  <si>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</si>
  <si>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</si>
  <si>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</si>
  <si>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</si>
  <si>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</si>
  <si>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</si>
  <si>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</si>
  <si>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</si>
  <si>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</si>
  <si>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</si>
  <si>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</si>
  <si>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</si>
  <si>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</si>
  <si>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</si>
  <si>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</si>
  <si>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</si>
  <si>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</si>
  <si>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</si>
  <si>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</si>
  <si>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</si>
  <si>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</si>
  <si>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</si>
  <si>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</si>
  <si>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</si>
  <si>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</si>
  <si>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</si>
  <si>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</si>
  <si>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</si>
  <si>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</si>
  <si>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</si>
  <si>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</si>
  <si>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</si>
  <si>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</si>
  <si>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</si>
  <si>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</si>
  <si>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</si>
  <si>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</si>
  <si>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</si>
  <si>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</si>
  <si>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</si>
  <si>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</si>
  <si>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</si>
  <si>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</si>
  <si>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</si>
  <si>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</si>
  <si>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</si>
  <si>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</si>
  <si>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</si>
  <si>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</si>
  <si>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</si>
  <si>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</si>
  <si>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</si>
  <si>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</si>
  <si>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</si>
  <si>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</si>
  <si>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</si>
  <si>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</si>
  <si>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</si>
  <si>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</si>
  <si>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</si>
  <si>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</si>
  <si>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</si>
  <si>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</si>
  <si>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</si>
  <si>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</si>
  <si>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</si>
  <si>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</si>
  <si>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</si>
  <si>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</si>
  <si>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</si>
  <si>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</si>
  <si>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</si>
  <si>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</si>
  <si>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</si>
  <si>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</si>
  <si>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</si>
  <si>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</si>
  <si>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</si>
  <si>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</si>
  <si>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</si>
  <si>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</si>
  <si>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</si>
  <si>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</si>
  <si>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</si>
  <si>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</si>
  <si>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</si>
  <si>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</si>
  <si>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</si>
  <si>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</si>
  <si>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</si>
  <si>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</si>
  <si>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</si>
  <si>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</si>
  <si>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</si>
  <si>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</si>
  <si>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</si>
  <si>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</si>
  <si>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</si>
  <si>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</si>
  <si>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</si>
  <si>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</si>
  <si>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</si>
  <si>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</si>
  <si>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</si>
  <si>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</si>
  <si>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</si>
  <si>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</si>
  <si>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</si>
  <si>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</si>
  <si>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</si>
  <si>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</si>
  <si>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</si>
  <si>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</si>
  <si>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</si>
  <si>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</si>
  <si>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</si>
  <si>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</si>
  <si>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</si>
  <si>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</si>
  <si>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</si>
  <si>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</si>
  <si>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</si>
  <si>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</si>
  <si>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</si>
  <si>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</si>
  <si>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</si>
  <si>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</si>
  <si>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</si>
  <si>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</si>
  <si>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</si>
  <si>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</si>
  <si>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</si>
  <si>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</si>
  <si>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</si>
  <si>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</si>
  <si>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</si>
  <si>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</si>
  <si>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</si>
  <si>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</si>
  <si>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</si>
  <si>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</si>
  <si>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</si>
  <si>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</si>
  <si>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</si>
  <si>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</si>
  <si>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</si>
  <si>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</si>
  <si>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</si>
  <si>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</si>
  <si>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</si>
  <si>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</si>
  <si>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</si>
  <si>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</si>
  <si>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</si>
  <si>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</si>
  <si>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</si>
  <si>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</si>
  <si>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</si>
  <si>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</si>
  <si>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</si>
  <si>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</si>
  <si>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</si>
  <si>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</si>
  <si>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</si>
  <si>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</si>
  <si>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</si>
  <si>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</si>
  <si>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</si>
  <si>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</si>
  <si>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</si>
  <si>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</si>
  <si>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</si>
  <si>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</si>
  <si>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</si>
  <si>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</si>
  <si>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</si>
  <si>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</si>
  <si>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</si>
  <si>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</si>
  <si>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</si>
  <si>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</si>
  <si>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</si>
  <si>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</si>
  <si>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</si>
  <si>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</si>
  <si>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</si>
  <si>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</si>
  <si>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</si>
  <si>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</si>
  <si>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</si>
  <si>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</si>
  <si>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</si>
  <si>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</si>
  <si>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</si>
  <si>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</si>
  <si>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</si>
  <si>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</si>
  <si>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</si>
  <si>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</si>
  <si>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</si>
  <si>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</si>
  <si>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</si>
  <si>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</si>
  <si>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</si>
  <si>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</si>
  <si>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</si>
  <si>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</si>
  <si>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</si>
  <si>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</si>
  <si>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</si>
  <si>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</si>
  <si>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</si>
  <si>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</si>
  <si>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</si>
  <si>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</si>
  <si>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</si>
  <si>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</si>
  <si>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</si>
  <si>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</si>
  <si>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</si>
  <si>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</si>
  <si>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</si>
  <si>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</si>
  <si>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</si>
  <si>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</si>
  <si>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</si>
  <si>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</si>
  <si>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</si>
  <si>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</si>
  <si>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</si>
  <si>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</si>
  <si>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</si>
  <si>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</si>
  <si>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</si>
  <si>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</si>
  <si>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</si>
  <si>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</si>
  <si>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</si>
  <si>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</si>
  <si>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</si>
  <si>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</si>
  <si>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</si>
  <si>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</si>
  <si>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</si>
  <si>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</si>
  <si>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</si>
  <si>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</si>
  <si>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</si>
  <si>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</si>
  <si>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</si>
  <si>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</si>
  <si>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</si>
  <si>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</si>
  <si>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</si>
  <si>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</si>
  <si>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</si>
  <si>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</si>
  <si>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</si>
  <si>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</si>
  <si>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</si>
  <si>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</si>
  <si>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</si>
  <si>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</si>
  <si>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</si>
  <si>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</si>
  <si>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</si>
  <si>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</si>
  <si>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</si>
  <si>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</si>
  <si>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</si>
  <si>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</si>
  <si>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</si>
  <si>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</si>
  <si>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</si>
  <si>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</si>
  <si>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</si>
  <si>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</si>
  <si>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</si>
  <si>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</si>
  <si>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</si>
  <si>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</si>
  <si>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</si>
  <si>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</si>
  <si>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</si>
  <si>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</si>
  <si>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</si>
  <si>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</si>
  <si>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</si>
  <si>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</si>
  <si>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</si>
  <si>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</si>
  <si>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</si>
  <si>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</si>
  <si>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</si>
  <si>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</si>
  <si>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</si>
  <si>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</si>
  <si>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</si>
  <si>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</si>
  <si>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</si>
  <si>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</si>
  <si>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</si>
  <si>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</si>
  <si>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</si>
  <si>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</si>
  <si>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</si>
  <si>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</si>
  <si>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</si>
  <si>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</si>
  <si>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</si>
  <si>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</si>
  <si>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</si>
  <si>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</si>
  <si>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</si>
  <si>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</si>
  <si>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</si>
  <si>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</si>
  <si>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</si>
  <si>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</si>
  <si>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</si>
  <si>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</si>
  <si>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</si>
  <si>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</si>
  <si>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</si>
  <si>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</si>
  <si>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</si>
  <si>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</si>
  <si>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</si>
  <si>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</si>
  <si>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</si>
  <si>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</si>
  <si>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</si>
  <si>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</si>
  <si>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</si>
  <si>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</si>
  <si>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</si>
  <si>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</si>
  <si>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</si>
  <si>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</si>
  <si>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</si>
  <si>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</si>
  <si>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</si>
  <si>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</si>
  <si>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</si>
  <si>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</si>
  <si>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</si>
  <si>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</si>
  <si>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</si>
  <si>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</si>
  <si>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</si>
  <si>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</si>
  <si>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</si>
  <si>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</si>
  <si>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</si>
  <si>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</si>
  <si>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</si>
  <si>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</si>
  <si>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</si>
  <si>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</si>
  <si>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</si>
  <si>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</si>
  <si>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</si>
  <si>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</si>
  <si>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</si>
  <si>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</si>
  <si>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</si>
  <si>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</si>
  <si>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</si>
  <si>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</si>
  <si>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</si>
  <si>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</si>
  <si>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</si>
  <si>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</si>
  <si>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</si>
  <si>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</si>
  <si>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</si>
  <si>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</si>
  <si>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</si>
  <si>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</si>
  <si>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</si>
  <si>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</si>
  <si>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</si>
  <si>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</si>
  <si>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</si>
  <si>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</si>
  <si>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</si>
  <si>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</si>
  <si>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</si>
  <si>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</si>
  <si>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</si>
  <si>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</si>
  <si>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</si>
  <si>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</si>
  <si>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</si>
  <si>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</si>
  <si>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</si>
  <si>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</si>
  <si>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</si>
  <si>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</si>
  <si>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</si>
  <si>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</si>
  <si>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</si>
  <si>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</si>
  <si>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</si>
  <si>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</si>
  <si>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</si>
  <si>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</si>
  <si>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</si>
  <si>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</si>
  <si>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</si>
  <si>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</si>
  <si>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</si>
  <si>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</si>
  <si>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</si>
  <si>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</si>
  <si>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</si>
  <si>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</si>
  <si>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</si>
  <si>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</si>
  <si>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</si>
  <si>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</si>
  <si>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</si>
  <si>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</si>
  <si>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</si>
  <si>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</si>
  <si>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</si>
  <si>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</si>
  <si>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</si>
  <si>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</si>
  <si>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</si>
  <si>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</si>
  <si>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</si>
  <si>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</si>
  <si>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</si>
  <si>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</si>
  <si>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</si>
  <si>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</si>
  <si>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</si>
  <si>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</si>
  <si>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</si>
  <si>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</si>
  <si>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</si>
  <si>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</si>
  <si>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</si>
  <si>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</si>
  <si>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</si>
  <si>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</si>
  <si>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</si>
  <si>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</si>
  <si>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</si>
  <si>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</si>
  <si>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</si>
  <si>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</si>
  <si>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</si>
  <si>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</si>
  <si>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</si>
  <si>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</si>
  <si>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</si>
  <si>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</si>
  <si>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</si>
  <si>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</si>
  <si>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</si>
  <si>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</si>
  <si>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</si>
  <si>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</si>
  <si>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</si>
  <si>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</si>
  <si>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</si>
  <si>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</si>
  <si>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</si>
  <si>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</si>
  <si>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</si>
  <si>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</si>
  <si>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</si>
  <si>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</si>
  <si>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</si>
  <si>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</si>
  <si>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</si>
  <si>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</si>
  <si>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</si>
  <si>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</si>
  <si>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</si>
  <si>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</si>
  <si>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</si>
  <si>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</si>
  <si>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</si>
  <si>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</si>
  <si>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</si>
  <si>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</si>
  <si>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</si>
  <si>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</si>
  <si>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</si>
  <si>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</si>
  <si>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</si>
  <si>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</si>
  <si>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</si>
  <si>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</si>
  <si>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</si>
  <si>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</si>
  <si>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</si>
  <si>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</si>
  <si>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</si>
  <si>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</si>
  <si>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</si>
  <si>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</si>
  <si>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</si>
  <si>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</si>
  <si>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</si>
  <si>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</si>
  <si>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</si>
  <si>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</si>
  <si>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</si>
  <si>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</si>
  <si>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</si>
  <si>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</si>
  <si>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</si>
  <si>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</si>
  <si>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</si>
  <si>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</si>
  <si>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</si>
  <si>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</si>
  <si>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</si>
  <si>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</si>
  <si>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</si>
  <si>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</si>
  <si>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</si>
  <si>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</si>
  <si>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</si>
  <si>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</si>
  <si>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</si>
  <si>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</si>
  <si>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</si>
  <si>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</si>
  <si>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</si>
  <si>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</si>
  <si>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</si>
  <si>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</si>
  <si>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</si>
  <si>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</si>
  <si>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</si>
  <si>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</si>
  <si>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</si>
  <si>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</si>
  <si>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</si>
  <si>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</si>
  <si>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</si>
  <si>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</si>
  <si>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</si>
  <si>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</si>
  <si>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</si>
  <si>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</si>
  <si>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</si>
  <si>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</si>
  <si>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</si>
  <si>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</si>
  <si>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</si>
  <si>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</si>
  <si>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</si>
  <si>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</si>
  <si>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</si>
  <si>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</si>
  <si>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</si>
  <si>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</si>
  <si>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</si>
  <si>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</si>
  <si>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</si>
  <si>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</si>
  <si>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</si>
  <si>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</si>
  <si>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</si>
  <si>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</si>
  <si>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</si>
  <si>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</si>
  <si>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</si>
  <si>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</si>
  <si>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</si>
  <si>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</si>
  <si>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</si>
  <si>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</si>
  <si>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</si>
  <si>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</si>
  <si>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</si>
  <si>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</si>
  <si>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</si>
  <si>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</si>
  <si>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</si>
  <si>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</si>
  <si>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</si>
  <si>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</si>
  <si>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</si>
  <si>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</si>
  <si>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</si>
  <si>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</si>
  <si>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</si>
  <si>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</si>
  <si>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</si>
  <si>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</si>
  <si>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</si>
  <si>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</si>
  <si>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</si>
  <si>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</si>
  <si>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</si>
  <si>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</si>
  <si>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</si>
  <si>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</si>
  <si>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</si>
  <si>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</si>
  <si>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</si>
  <si>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</si>
  <si>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</si>
  <si>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</si>
  <si>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</si>
  <si>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</si>
  <si>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</si>
  <si>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</si>
  <si>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</si>
  <si>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</si>
  <si>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</si>
  <si>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</si>
  <si>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</si>
  <si>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</si>
  <si>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</si>
  <si>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</si>
  <si>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</si>
  <si>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</si>
  <si>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</si>
  <si>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</si>
  <si>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</si>
  <si>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</si>
  <si>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</si>
  <si>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</si>
  <si>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</si>
  <si>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</si>
  <si>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</si>
  <si>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</si>
  <si>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</si>
  <si>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</si>
  <si>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</si>
  <si>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</si>
  <si>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</si>
  <si>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</si>
  <si>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</si>
  <si>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</si>
  <si>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</si>
  <si>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</si>
  <si>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</si>
  <si>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</si>
  <si>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userId</t>
  </si>
  <si>
    <t>roleId</t>
  </si>
  <si>
    <t>rg:{}</t>
  </si>
  <si>
    <t>rg:{ 'id': '1'}</t>
  </si>
  <si>
    <t>rg:{ 'id': '2'}</t>
  </si>
  <si>
    <t>rg:{ 'id': '3'}</t>
  </si>
  <si>
    <t>rg:{ 'id': '4'}</t>
  </si>
  <si>
    <t>rg:{ 'id': '5'}</t>
  </si>
  <si>
    <t>rg:{ 'id': '6'}</t>
  </si>
  <si>
    <t>rg:{ 'id': '7'}</t>
  </si>
  <si>
    <t>rg:{ 'id': '9'}</t>
  </si>
  <si>
    <t>rg:{ 'id': '8'}</t>
  </si>
  <si>
    <t>rg:{ 'id': '10'}</t>
  </si>
  <si>
    <t>rg:{ 'id': '11'}</t>
  </si>
  <si>
    <t>rg:{ 'id': '12'}</t>
  </si>
  <si>
    <t>rg:{ 'id': '13'}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</si>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</sst>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A2" sqref="A2"/>
    </sheetView>
  </sheetViews>
  <sheetFormatPr defaultRowHeight="14.4" x14ac:dyDescent="0.3"/>
  <cols>
    <col min="3" max="3" width="10.21875" bestFit="1" customWidth="1"/>
  </cols>
  <sheetData>
    <row r="1" spans="1:4" x14ac:dyDescent="0.3">
      <c r="A1" t="s">
        <v>117</v>
      </c>
      <c r="B1" t="s">
        <v>5509</v>
      </c>
      <c r="C1" t="s">
        <v>126</v>
      </c>
      <c r="D1" t="s">
        <v>5510</v>
      </c>
    </row>
    <row r="2" spans="1:4" x14ac:dyDescent="0.3">
      <c r="A2" t="s">
        <v>5491</v>
      </c>
      <c r="B2" t="s">
        <v>5492</v>
      </c>
      <c r="C2" t="s">
        <v>5492</v>
      </c>
      <c r="D2" t="s">
        <v>5493</v>
      </c>
    </row>
    <row r="3" spans="1:4" x14ac:dyDescent="0.3">
      <c r="A3" t="s">
        <v>5491</v>
      </c>
      <c r="B3" t="s">
        <v>5494</v>
      </c>
      <c r="C3" t="s">
        <v>5495</v>
      </c>
      <c r="D3" t="s">
        <v>5496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D1" sqref="D1"/>
    </sheetView>
  </sheetViews>
  <sheetFormatPr defaultRowHeight="14.4" x14ac:dyDescent="0.3"/>
  <cols>
    <col min="3" max="3" width="32.109375" bestFit="1" customWidth="1"/>
  </cols>
  <sheetData>
    <row r="1" spans="1:3" x14ac:dyDescent="0.3">
      <c r="A1" t="s">
        <v>117</v>
      </c>
      <c r="B1" t="s">
        <v>126</v>
      </c>
      <c r="C1" t="s">
        <v>5510</v>
      </c>
    </row>
    <row r="2" spans="1:3" x14ac:dyDescent="0.3">
      <c r="A2" t="s">
        <v>76</v>
      </c>
      <c r="B2" t="s">
        <v>5492</v>
      </c>
      <c r="C2" t="s">
        <v>5497</v>
      </c>
    </row>
    <row r="3" spans="1:3" x14ac:dyDescent="0.3">
      <c r="A3" t="s">
        <v>76</v>
      </c>
      <c r="B3" t="s">
        <v>5494</v>
      </c>
      <c r="C3" t="s">
        <v>5498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1" sqref="C1"/>
    </sheetView>
  </sheetViews>
  <sheetFormatPr defaultRowHeight="14.4" x14ac:dyDescent="0.3"/>
  <cols>
    <col min="2" max="2" width="12.21875" bestFit="1" customWidth="1"/>
  </cols>
  <sheetData>
    <row r="1" spans="1:3" x14ac:dyDescent="0.3">
      <c r="A1" t="s">
        <v>117</v>
      </c>
      <c r="B1" t="s">
        <v>5511</v>
      </c>
      <c r="C1" t="s">
        <v>5512</v>
      </c>
    </row>
    <row r="2" spans="1:3" x14ac:dyDescent="0.3">
      <c r="A2" t="s">
        <v>117</v>
      </c>
      <c r="B2">
        <v>1</v>
      </c>
      <c r="C2">
        <v>1</v>
      </c>
    </row>
    <row r="3" spans="1:3" x14ac:dyDescent="0.3">
      <c r="A3" t="s">
        <v>117</v>
      </c>
      <c r="B3">
        <v>1</v>
      </c>
      <c r="C3">
        <v>2</v>
      </c>
    </row>
    <row r="4" spans="1:3" x14ac:dyDescent="0.3">
      <c r="A4" t="s">
        <v>117</v>
      </c>
      <c r="B4">
        <v>2</v>
      </c>
      <c r="C4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1" sqref="C1"/>
    </sheetView>
  </sheetViews>
  <sheetFormatPr defaultRowHeight="14.4" x14ac:dyDescent="0.3"/>
  <cols>
    <col min="3" max="3" width="41.109375" bestFit="1" customWidth="1"/>
  </cols>
  <sheetData>
    <row r="1" spans="1:3" x14ac:dyDescent="0.3">
      <c r="A1" t="s">
        <v>117</v>
      </c>
      <c r="B1" t="s">
        <v>126</v>
      </c>
      <c r="C1" t="s">
        <v>5510</v>
      </c>
    </row>
    <row r="2" spans="1:3" x14ac:dyDescent="0.3">
      <c r="A2" t="s">
        <v>5499</v>
      </c>
      <c r="B2" t="s">
        <v>16</v>
      </c>
      <c r="C2" t="s">
        <v>5500</v>
      </c>
    </row>
    <row r="3" spans="1:3" x14ac:dyDescent="0.3">
      <c r="A3" t="s">
        <v>5499</v>
      </c>
      <c r="B3" t="s">
        <v>5501</v>
      </c>
      <c r="C3" t="s">
        <v>5502</v>
      </c>
    </row>
    <row r="4" spans="1:3" x14ac:dyDescent="0.3">
      <c r="A4" t="s">
        <v>5499</v>
      </c>
      <c r="B4" t="s">
        <v>5503</v>
      </c>
      <c r="C4" t="s">
        <v>5504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workbookViewId="0">
      <selection activeCell="A2" sqref="A2:G40"/>
    </sheetView>
  </sheetViews>
  <sheetFormatPr defaultRowHeight="14.4" x14ac:dyDescent="0.3"/>
  <cols>
    <col min="1" max="16384" width="8.88671875" style="4"/>
  </cols>
  <sheetData>
    <row r="1" spans="1:7" x14ac:dyDescent="0.3">
      <c r="A1" s="4" t="s">
        <v>117</v>
      </c>
      <c r="B1" s="4" t="s">
        <v>5536</v>
      </c>
      <c r="C1" s="4" t="s">
        <v>5535</v>
      </c>
      <c r="D1" s="4" t="s">
        <v>5534</v>
      </c>
      <c r="E1" s="4" t="s">
        <v>5533</v>
      </c>
      <c r="F1" s="4" t="s">
        <v>5532</v>
      </c>
      <c r="G1" s="4" t="s">
        <v>5531</v>
      </c>
    </row>
    <row r="2" spans="1:7" x14ac:dyDescent="0.3">
      <c r="A2" s="4" t="s">
        <v>5530</v>
      </c>
      <c r="B2" s="4" t="str">
        <f>INDEX(Names!D:D,1+ROW(),1)</f>
        <v>Judy</v>
      </c>
      <c r="C2" s="4" t="str">
        <f>INDEX(Names!F:F,1+ROW(),1)</f>
        <v>Holbert</v>
      </c>
      <c r="D2" s="4" t="s">
        <v>130</v>
      </c>
      <c r="E2" s="4" t="s">
        <v>5529</v>
      </c>
      <c r="F2" s="4" t="str">
        <f>LEFT(B2,1)&amp;INDEX(Names!E:E,1+ROW(),1)&amp;LEFT(C2,1)</f>
        <v>JHH</v>
      </c>
      <c r="G2" s="4" t="s">
        <v>130</v>
      </c>
    </row>
    <row r="3" spans="1:7" x14ac:dyDescent="0.3">
      <c r="A3" s="4" t="s">
        <v>5530</v>
      </c>
      <c r="B3" s="4" t="str">
        <f>INDEX(Names!D:D,1+ROW(),1)</f>
        <v>Clayton</v>
      </c>
      <c r="C3" s="4" t="str">
        <f>INDEX(Names!F:F,1+ROW(),1)</f>
        <v>McCullough</v>
      </c>
      <c r="D3" s="4" t="s">
        <v>130</v>
      </c>
      <c r="E3" s="4" t="s">
        <v>5529</v>
      </c>
      <c r="F3" s="4" t="str">
        <f>LEFT(B3,1)&amp;INDEX(Names!E:E,1+ROW(),1)&amp;LEFT(C3,1)</f>
        <v>CSM</v>
      </c>
      <c r="G3" s="4" t="s">
        <v>130</v>
      </c>
    </row>
    <row r="4" spans="1:7" x14ac:dyDescent="0.3">
      <c r="A4" s="4" t="s">
        <v>5530</v>
      </c>
      <c r="B4" s="4" t="str">
        <f>INDEX(Names!D:D,1+ROW(),1)</f>
        <v>Betty</v>
      </c>
      <c r="C4" s="4" t="str">
        <f>INDEX(Names!F:F,1+ROW(),1)</f>
        <v>Tacker</v>
      </c>
      <c r="D4" s="4" t="s">
        <v>130</v>
      </c>
      <c r="E4" s="4" t="s">
        <v>5529</v>
      </c>
      <c r="F4" s="4" t="str">
        <f>LEFT(B4,1)&amp;INDEX(Names!E:E,1+ROW(),1)&amp;LEFT(C4,1)</f>
        <v>BJT</v>
      </c>
      <c r="G4" s="4" t="s">
        <v>130</v>
      </c>
    </row>
    <row r="5" spans="1:7" x14ac:dyDescent="0.3">
      <c r="A5" s="4" t="s">
        <v>5530</v>
      </c>
      <c r="B5" s="4" t="str">
        <f>INDEX(Names!D:D,1+ROW(),1)</f>
        <v>Gayle</v>
      </c>
      <c r="C5" s="4" t="str">
        <f>INDEX(Names!F:F,1+ROW(),1)</f>
        <v>York</v>
      </c>
      <c r="D5" s="4" t="s">
        <v>130</v>
      </c>
      <c r="E5" s="4" t="s">
        <v>5529</v>
      </c>
      <c r="F5" s="4" t="str">
        <f>LEFT(B5,1)&amp;INDEX(Names!E:E,1+ROW(),1)&amp;LEFT(C5,1)</f>
        <v>GCY</v>
      </c>
      <c r="G5" s="4" t="s">
        <v>130</v>
      </c>
    </row>
    <row r="6" spans="1:7" x14ac:dyDescent="0.3">
      <c r="A6" s="4" t="s">
        <v>5530</v>
      </c>
      <c r="B6" s="4" t="str">
        <f>INDEX(Names!D:D,1+ROW(),1)</f>
        <v>Brian</v>
      </c>
      <c r="C6" s="4" t="str">
        <f>INDEX(Names!F:F,1+ROW(),1)</f>
        <v>Healey</v>
      </c>
      <c r="D6" s="4" t="s">
        <v>130</v>
      </c>
      <c r="E6" s="4" t="s">
        <v>5529</v>
      </c>
      <c r="F6" s="4" t="str">
        <f>LEFT(B6,1)&amp;INDEX(Names!E:E,1+ROW(),1)&amp;LEFT(C6,1)</f>
        <v>BBH</v>
      </c>
      <c r="G6" s="4" t="s">
        <v>130</v>
      </c>
    </row>
    <row r="7" spans="1:7" x14ac:dyDescent="0.3">
      <c r="A7" s="4" t="s">
        <v>5530</v>
      </c>
      <c r="B7" s="4" t="str">
        <f>INDEX(Names!D:D,1+ROW(),1)</f>
        <v>Rosa</v>
      </c>
      <c r="C7" s="4" t="str">
        <f>INDEX(Names!F:F,1+ROW(),1)</f>
        <v>Mayer</v>
      </c>
      <c r="D7" s="4" t="s">
        <v>130</v>
      </c>
      <c r="E7" s="4" t="s">
        <v>5529</v>
      </c>
      <c r="F7" s="4" t="str">
        <f>LEFT(B7,1)&amp;INDEX(Names!E:E,1+ROW(),1)&amp;LEFT(C7,1)</f>
        <v>RDM</v>
      </c>
      <c r="G7" s="4" t="s">
        <v>130</v>
      </c>
    </row>
    <row r="8" spans="1:7" x14ac:dyDescent="0.3">
      <c r="A8" s="4" t="s">
        <v>5530</v>
      </c>
      <c r="B8" s="4" t="str">
        <f>INDEX(Names!D:D,1+ROW(),1)</f>
        <v>Albert</v>
      </c>
      <c r="C8" s="4" t="str">
        <f>INDEX(Names!F:F,1+ROW(),1)</f>
        <v>Mills</v>
      </c>
      <c r="D8" s="4" t="s">
        <v>130</v>
      </c>
      <c r="E8" s="4" t="s">
        <v>5529</v>
      </c>
      <c r="F8" s="4" t="str">
        <f>LEFT(B8,1)&amp;INDEX(Names!E:E,1+ROW(),1)&amp;LEFT(C8,1)</f>
        <v>AAM</v>
      </c>
      <c r="G8" s="4" t="s">
        <v>130</v>
      </c>
    </row>
    <row r="9" spans="1:7" x14ac:dyDescent="0.3">
      <c r="A9" s="4" t="s">
        <v>5530</v>
      </c>
      <c r="B9" s="4" t="str">
        <f>INDEX(Names!D:D,1+ROW(),1)</f>
        <v>Cynthia</v>
      </c>
      <c r="C9" s="4" t="str">
        <f>INDEX(Names!F:F,1+ROW(),1)</f>
        <v>Whipple</v>
      </c>
      <c r="D9" s="4" t="s">
        <v>130</v>
      </c>
      <c r="E9" s="4" t="s">
        <v>5529</v>
      </c>
      <c r="F9" s="4" t="str">
        <f>LEFT(B9,1)&amp;INDEX(Names!E:E,1+ROW(),1)&amp;LEFT(C9,1)</f>
        <v>CKW</v>
      </c>
      <c r="G9" s="4" t="s">
        <v>130</v>
      </c>
    </row>
    <row r="10" spans="1:7" x14ac:dyDescent="0.3">
      <c r="A10" s="4" t="s">
        <v>5530</v>
      </c>
      <c r="B10" s="4" t="str">
        <f>INDEX(Names!D:D,1+ROW(),1)</f>
        <v>Michael</v>
      </c>
      <c r="C10" s="4" t="str">
        <f>INDEX(Names!F:F,1+ROW(),1)</f>
        <v>Washington</v>
      </c>
      <c r="D10" s="4" t="s">
        <v>130</v>
      </c>
      <c r="E10" s="4" t="s">
        <v>5529</v>
      </c>
      <c r="F10" s="4" t="str">
        <f>LEFT(B10,1)&amp;INDEX(Names!E:E,1+ROW(),1)&amp;LEFT(C10,1)</f>
        <v>MDW</v>
      </c>
      <c r="G10" s="4" t="s">
        <v>130</v>
      </c>
    </row>
    <row r="11" spans="1:7" x14ac:dyDescent="0.3">
      <c r="A11" s="4" t="s">
        <v>5530</v>
      </c>
      <c r="B11" s="4" t="str">
        <f>INDEX(Names!D:D,1+ROW(),1)</f>
        <v>Sarah</v>
      </c>
      <c r="C11" s="4" t="str">
        <f>INDEX(Names!F:F,1+ROW(),1)</f>
        <v>Ward</v>
      </c>
      <c r="D11" s="4" t="s">
        <v>130</v>
      </c>
      <c r="E11" s="4" t="s">
        <v>5529</v>
      </c>
      <c r="F11" s="4" t="str">
        <f>LEFT(B11,1)&amp;INDEX(Names!E:E,1+ROW(),1)&amp;LEFT(C11,1)</f>
        <v>SKW</v>
      </c>
      <c r="G11" s="4" t="s">
        <v>130</v>
      </c>
    </row>
    <row r="12" spans="1:7" x14ac:dyDescent="0.3">
      <c r="A12" s="4" t="s">
        <v>5530</v>
      </c>
      <c r="B12" s="4" t="str">
        <f>INDEX(Names!D:D,1+ROW(),1)</f>
        <v>Harry</v>
      </c>
      <c r="C12" s="4" t="str">
        <f>INDEX(Names!F:F,1+ROW(),1)</f>
        <v>Solomon</v>
      </c>
      <c r="D12" s="4" t="s">
        <v>130</v>
      </c>
      <c r="E12" s="4" t="s">
        <v>5529</v>
      </c>
      <c r="F12" s="4" t="str">
        <f>LEFT(B12,1)&amp;INDEX(Names!E:E,1+ROW(),1)&amp;LEFT(C12,1)</f>
        <v>HDS</v>
      </c>
      <c r="G12" s="4" t="s">
        <v>130</v>
      </c>
    </row>
    <row r="13" spans="1:7" x14ac:dyDescent="0.3">
      <c r="A13" s="4" t="s">
        <v>5530</v>
      </c>
      <c r="B13" s="4" t="str">
        <f>INDEX(Names!D:D,1+ROW(),1)</f>
        <v>Cheryl</v>
      </c>
      <c r="C13" s="4" t="str">
        <f>INDEX(Names!F:F,1+ROW(),1)</f>
        <v>Mills</v>
      </c>
      <c r="D13" s="4" t="s">
        <v>130</v>
      </c>
      <c r="E13" s="4" t="s">
        <v>5529</v>
      </c>
      <c r="F13" s="4" t="str">
        <f>LEFT(B13,1)&amp;INDEX(Names!E:E,1+ROW(),1)&amp;LEFT(C13,1)</f>
        <v>CGM</v>
      </c>
      <c r="G13" s="4" t="s">
        <v>130</v>
      </c>
    </row>
    <row r="14" spans="1:7" x14ac:dyDescent="0.3">
      <c r="A14" s="4" t="s">
        <v>5530</v>
      </c>
      <c r="B14" s="4" t="str">
        <f>INDEX(Names!D:D,1+ROW(),1)</f>
        <v>Michael</v>
      </c>
      <c r="C14" s="4" t="str">
        <f>INDEX(Names!F:F,1+ROW(),1)</f>
        <v>Wilkerson</v>
      </c>
      <c r="D14" s="4" t="s">
        <v>130</v>
      </c>
      <c r="E14" s="4" t="s">
        <v>5529</v>
      </c>
      <c r="F14" s="4" t="str">
        <f>LEFT(B14,1)&amp;INDEX(Names!E:E,1+ROW(),1)&amp;LEFT(C14,1)</f>
        <v>MGW</v>
      </c>
      <c r="G14" s="4" t="s">
        <v>130</v>
      </c>
    </row>
    <row r="15" spans="1:7" x14ac:dyDescent="0.3">
      <c r="A15" s="4" t="s">
        <v>5530</v>
      </c>
      <c r="B15" s="4" t="str">
        <f>INDEX(Names!D:D,1+ROW(),1)</f>
        <v>Celia</v>
      </c>
      <c r="C15" s="4" t="str">
        <f>INDEX(Names!F:F,1+ROW(),1)</f>
        <v>Schreier</v>
      </c>
      <c r="D15" s="4" t="s">
        <v>130</v>
      </c>
      <c r="E15" s="4" t="s">
        <v>5529</v>
      </c>
      <c r="F15" s="4" t="str">
        <f>LEFT(B15,1)&amp;INDEX(Names!E:E,1+ROW(),1)&amp;LEFT(C15,1)</f>
        <v>CWS</v>
      </c>
      <c r="G15" s="4" t="s">
        <v>130</v>
      </c>
    </row>
    <row r="16" spans="1:7" x14ac:dyDescent="0.3">
      <c r="A16" s="4" t="s">
        <v>5530</v>
      </c>
      <c r="B16" s="4" t="str">
        <f>INDEX(Names!D:D,1+ROW(),1)</f>
        <v>Lillian</v>
      </c>
      <c r="C16" s="4" t="str">
        <f>INDEX(Names!F:F,1+ROW(),1)</f>
        <v>Warner</v>
      </c>
      <c r="D16" s="4" t="s">
        <v>130</v>
      </c>
      <c r="E16" s="4" t="s">
        <v>5529</v>
      </c>
      <c r="F16" s="4" t="str">
        <f>LEFT(B16,1)&amp;INDEX(Names!E:E,1+ROW(),1)&amp;LEFT(C16,1)</f>
        <v>LJW</v>
      </c>
      <c r="G16" s="4" t="s">
        <v>130</v>
      </c>
    </row>
    <row r="17" spans="1:7" x14ac:dyDescent="0.3">
      <c r="A17" s="4" t="s">
        <v>5530</v>
      </c>
      <c r="B17" s="4" t="str">
        <f>INDEX(Names!D:D,1+ROW(),1)</f>
        <v>Marilyn</v>
      </c>
      <c r="C17" s="4" t="str">
        <f>INDEX(Names!F:F,1+ROW(),1)</f>
        <v>Novak</v>
      </c>
      <c r="D17" s="4" t="s">
        <v>130</v>
      </c>
      <c r="E17" s="4" t="s">
        <v>5529</v>
      </c>
      <c r="F17" s="4" t="str">
        <f>LEFT(B17,1)&amp;INDEX(Names!E:E,1+ROW(),1)&amp;LEFT(C17,1)</f>
        <v>MBN</v>
      </c>
      <c r="G17" s="4" t="s">
        <v>130</v>
      </c>
    </row>
    <row r="18" spans="1:7" x14ac:dyDescent="0.3">
      <c r="A18" s="4" t="s">
        <v>5530</v>
      </c>
      <c r="B18" s="4" t="str">
        <f>INDEX(Names!D:D,1+ROW(),1)</f>
        <v>Joshua</v>
      </c>
      <c r="C18" s="4" t="str">
        <f>INDEX(Names!F:F,1+ROW(),1)</f>
        <v>Bjork</v>
      </c>
      <c r="D18" s="4" t="s">
        <v>130</v>
      </c>
      <c r="E18" s="4" t="s">
        <v>5529</v>
      </c>
      <c r="F18" s="4" t="str">
        <f>LEFT(B18,1)&amp;INDEX(Names!E:E,1+ROW(),1)&amp;LEFT(C18,1)</f>
        <v>JKB</v>
      </c>
      <c r="G18" s="4" t="s">
        <v>130</v>
      </c>
    </row>
    <row r="19" spans="1:7" x14ac:dyDescent="0.3">
      <c r="A19" s="4" t="s">
        <v>5530</v>
      </c>
      <c r="B19" s="4" t="str">
        <f>INDEX(Names!D:D,1+ROW(),1)</f>
        <v>Patricia</v>
      </c>
      <c r="C19" s="4" t="str">
        <f>INDEX(Names!F:F,1+ROW(),1)</f>
        <v>Riley</v>
      </c>
      <c r="D19" s="4" t="s">
        <v>130</v>
      </c>
      <c r="E19" s="4" t="s">
        <v>5529</v>
      </c>
      <c r="F19" s="4" t="str">
        <f>LEFT(B19,1)&amp;INDEX(Names!E:E,1+ROW(),1)&amp;LEFT(C19,1)</f>
        <v>PJR</v>
      </c>
      <c r="G19" s="4" t="s">
        <v>130</v>
      </c>
    </row>
    <row r="20" spans="1:7" x14ac:dyDescent="0.3">
      <c r="A20" s="4" t="s">
        <v>5530</v>
      </c>
      <c r="B20" s="4" t="str">
        <f>INDEX(Names!D:D,1+ROW(),1)</f>
        <v>Beverly</v>
      </c>
      <c r="C20" s="4" t="str">
        <f>INDEX(Names!F:F,1+ROW(),1)</f>
        <v>Clyde</v>
      </c>
      <c r="D20" s="4" t="s">
        <v>130</v>
      </c>
      <c r="E20" s="4" t="s">
        <v>5529</v>
      </c>
      <c r="F20" s="4" t="str">
        <f>LEFT(B20,1)&amp;INDEX(Names!E:E,1+ROW(),1)&amp;LEFT(C20,1)</f>
        <v>BWC</v>
      </c>
      <c r="G20" s="4" t="s">
        <v>130</v>
      </c>
    </row>
    <row r="21" spans="1:7" x14ac:dyDescent="0.3">
      <c r="A21" s="4" t="s">
        <v>5530</v>
      </c>
      <c r="B21" s="4" t="str">
        <f>INDEX(Names!D:D,1+ROW(),1)</f>
        <v>Bill</v>
      </c>
      <c r="C21" s="4" t="str">
        <f>INDEX(Names!F:F,1+ROW(),1)</f>
        <v>Finley</v>
      </c>
      <c r="D21" s="4" t="s">
        <v>130</v>
      </c>
      <c r="E21" s="4" t="s">
        <v>5529</v>
      </c>
      <c r="F21" s="4" t="str">
        <f>LEFT(B21,1)&amp;INDEX(Names!E:E,1+ROW(),1)&amp;LEFT(C21,1)</f>
        <v>BMF</v>
      </c>
      <c r="G21" s="4" t="s">
        <v>130</v>
      </c>
    </row>
    <row r="22" spans="1:7" x14ac:dyDescent="0.3">
      <c r="A22" s="4" t="s">
        <v>5530</v>
      </c>
      <c r="B22" s="4" t="str">
        <f>INDEX(Names!D:D,1+ROW(),1)</f>
        <v>Charles</v>
      </c>
      <c r="C22" s="4" t="str">
        <f>INDEX(Names!F:F,1+ROW(),1)</f>
        <v>Seng</v>
      </c>
      <c r="D22" s="4" t="s">
        <v>130</v>
      </c>
      <c r="E22" s="4" t="s">
        <v>5529</v>
      </c>
      <c r="F22" s="4" t="str">
        <f>LEFT(B22,1)&amp;INDEX(Names!E:E,1+ROW(),1)&amp;LEFT(C22,1)</f>
        <v>CJS</v>
      </c>
      <c r="G22" s="4" t="s">
        <v>130</v>
      </c>
    </row>
    <row r="23" spans="1:7" x14ac:dyDescent="0.3">
      <c r="A23" s="4" t="s">
        <v>5530</v>
      </c>
      <c r="B23" s="4" t="str">
        <f>INDEX(Names!D:D,1+ROW(),1)</f>
        <v>Robert</v>
      </c>
      <c r="C23" s="4" t="str">
        <f>INDEX(Names!F:F,1+ROW(),1)</f>
        <v>Miller</v>
      </c>
      <c r="D23" s="4" t="s">
        <v>130</v>
      </c>
      <c r="E23" s="4" t="s">
        <v>5529</v>
      </c>
      <c r="F23" s="4" t="str">
        <f>LEFT(B23,1)&amp;INDEX(Names!E:E,1+ROW(),1)&amp;LEFT(C23,1)</f>
        <v>RGM</v>
      </c>
      <c r="G23" s="4" t="s">
        <v>130</v>
      </c>
    </row>
    <row r="24" spans="1:7" x14ac:dyDescent="0.3">
      <c r="A24" s="4" t="s">
        <v>5530</v>
      </c>
      <c r="B24" s="4" t="str">
        <f>INDEX(Names!D:D,1+ROW(),1)</f>
        <v>David</v>
      </c>
      <c r="C24" s="4" t="str">
        <f>INDEX(Names!F:F,1+ROW(),1)</f>
        <v>Kelly</v>
      </c>
      <c r="D24" s="4" t="s">
        <v>130</v>
      </c>
      <c r="E24" s="4" t="s">
        <v>5529</v>
      </c>
      <c r="F24" s="4" t="str">
        <f>LEFT(B24,1)&amp;INDEX(Names!E:E,1+ROW(),1)&amp;LEFT(C24,1)</f>
        <v>DBK</v>
      </c>
      <c r="G24" s="4" t="s">
        <v>130</v>
      </c>
    </row>
    <row r="25" spans="1:7" x14ac:dyDescent="0.3">
      <c r="A25" s="4" t="s">
        <v>5530</v>
      </c>
      <c r="B25" s="4" t="str">
        <f>INDEX(Names!D:D,1+ROW(),1)</f>
        <v>Emory</v>
      </c>
      <c r="C25" s="4" t="str">
        <f>INDEX(Names!F:F,1+ROW(),1)</f>
        <v>Hanson</v>
      </c>
      <c r="D25" s="4" t="s">
        <v>130</v>
      </c>
      <c r="E25" s="4" t="s">
        <v>5529</v>
      </c>
      <c r="F25" s="4" t="str">
        <f>LEFT(B25,1)&amp;INDEX(Names!E:E,1+ROW(),1)&amp;LEFT(C25,1)</f>
        <v>ECH</v>
      </c>
      <c r="G25" s="4" t="s">
        <v>130</v>
      </c>
    </row>
    <row r="26" spans="1:7" x14ac:dyDescent="0.3">
      <c r="A26" s="4" t="s">
        <v>5530</v>
      </c>
      <c r="B26" s="4" t="str">
        <f>INDEX(Names!D:D,1+ROW(),1)</f>
        <v>Richard</v>
      </c>
      <c r="C26" s="4" t="str">
        <f>INDEX(Names!F:F,1+ROW(),1)</f>
        <v>Turner</v>
      </c>
      <c r="D26" s="4" t="s">
        <v>130</v>
      </c>
      <c r="E26" s="4" t="s">
        <v>5529</v>
      </c>
      <c r="F26" s="4" t="str">
        <f>LEFT(B26,1)&amp;INDEX(Names!E:E,1+ROW(),1)&amp;LEFT(C26,1)</f>
        <v>RET</v>
      </c>
      <c r="G26" s="4" t="s">
        <v>130</v>
      </c>
    </row>
    <row r="27" spans="1:7" x14ac:dyDescent="0.3">
      <c r="A27" s="4" t="s">
        <v>5530</v>
      </c>
      <c r="B27" s="4" t="str">
        <f>INDEX(Names!D:D,1+ROW(),1)</f>
        <v>Cletus</v>
      </c>
      <c r="C27" s="4" t="str">
        <f>INDEX(Names!F:F,1+ROW(),1)</f>
        <v>Hill</v>
      </c>
      <c r="D27" s="4" t="s">
        <v>130</v>
      </c>
      <c r="E27" s="4" t="s">
        <v>5529</v>
      </c>
      <c r="F27" s="4" t="str">
        <f>LEFT(B27,1)&amp;INDEX(Names!E:E,1+ROW(),1)&amp;LEFT(C27,1)</f>
        <v>CDH</v>
      </c>
      <c r="G27" s="4" t="s">
        <v>130</v>
      </c>
    </row>
    <row r="28" spans="1:7" x14ac:dyDescent="0.3">
      <c r="A28" s="4" t="s">
        <v>5530</v>
      </c>
      <c r="B28" s="4" t="str">
        <f>INDEX(Names!D:D,1+ROW(),1)</f>
        <v>Nancy</v>
      </c>
      <c r="C28" s="4" t="str">
        <f>INDEX(Names!F:F,1+ROW(),1)</f>
        <v>Foley</v>
      </c>
      <c r="D28" s="4" t="s">
        <v>130</v>
      </c>
      <c r="E28" s="4" t="s">
        <v>5529</v>
      </c>
      <c r="F28" s="4" t="str">
        <f>LEFT(B28,1)&amp;INDEX(Names!E:E,1+ROW(),1)&amp;LEFT(C28,1)</f>
        <v>NFF</v>
      </c>
      <c r="G28" s="4" t="s">
        <v>130</v>
      </c>
    </row>
    <row r="29" spans="1:7" x14ac:dyDescent="0.3">
      <c r="A29" s="4" t="s">
        <v>5530</v>
      </c>
      <c r="B29" s="4" t="str">
        <f>INDEX(Names!D:D,1+ROW(),1)</f>
        <v>Nichole</v>
      </c>
      <c r="C29" s="4" t="str">
        <f>INDEX(Names!F:F,1+ROW(),1)</f>
        <v>Mitchell</v>
      </c>
      <c r="D29" s="4" t="s">
        <v>130</v>
      </c>
      <c r="E29" s="4" t="s">
        <v>5529</v>
      </c>
      <c r="F29" s="4" t="str">
        <f>LEFT(B29,1)&amp;INDEX(Names!E:E,1+ROW(),1)&amp;LEFT(C29,1)</f>
        <v>NDM</v>
      </c>
      <c r="G29" s="4" t="s">
        <v>130</v>
      </c>
    </row>
    <row r="30" spans="1:7" x14ac:dyDescent="0.3">
      <c r="A30" s="4" t="s">
        <v>5530</v>
      </c>
      <c r="B30" s="4" t="str">
        <f>INDEX(Names!D:D,1+ROW(),1)</f>
        <v>Ricky</v>
      </c>
      <c r="C30" s="4" t="str">
        <f>INDEX(Names!F:F,1+ROW(),1)</f>
        <v>Nestor</v>
      </c>
      <c r="D30" s="4" t="s">
        <v>130</v>
      </c>
      <c r="E30" s="4" t="s">
        <v>5529</v>
      </c>
      <c r="F30" s="4" t="str">
        <f>LEFT(B30,1)&amp;INDEX(Names!E:E,1+ROW(),1)&amp;LEFT(C30,1)</f>
        <v>RFN</v>
      </c>
      <c r="G30" s="4" t="s">
        <v>130</v>
      </c>
    </row>
    <row r="31" spans="1:7" x14ac:dyDescent="0.3">
      <c r="A31" s="4" t="s">
        <v>5530</v>
      </c>
      <c r="B31" s="4" t="str">
        <f>INDEX(Names!D:D,1+ROW(),1)</f>
        <v>Dorothy</v>
      </c>
      <c r="C31" s="4" t="str">
        <f>INDEX(Names!F:F,1+ROW(),1)</f>
        <v>Fisher</v>
      </c>
      <c r="D31" s="4" t="s">
        <v>130</v>
      </c>
      <c r="E31" s="4" t="s">
        <v>5529</v>
      </c>
      <c r="F31" s="4" t="str">
        <f>LEFT(B31,1)&amp;INDEX(Names!E:E,1+ROW(),1)&amp;LEFT(C31,1)</f>
        <v>DJF</v>
      </c>
      <c r="G31" s="4" t="s">
        <v>130</v>
      </c>
    </row>
    <row r="32" spans="1:7" x14ac:dyDescent="0.3">
      <c r="A32" s="4" t="s">
        <v>5530</v>
      </c>
      <c r="B32" s="4" t="str">
        <f>INDEX(Names!D:D,1+ROW(),1)</f>
        <v>Bruce</v>
      </c>
      <c r="C32" s="4" t="str">
        <f>INDEX(Names!F:F,1+ROW(),1)</f>
        <v>Welsh</v>
      </c>
      <c r="D32" s="4" t="s">
        <v>130</v>
      </c>
      <c r="E32" s="4" t="s">
        <v>5529</v>
      </c>
      <c r="F32" s="4" t="str">
        <f>LEFT(B32,1)&amp;INDEX(Names!E:E,1+ROW(),1)&amp;LEFT(C32,1)</f>
        <v>BIW</v>
      </c>
      <c r="G32" s="4" t="s">
        <v>130</v>
      </c>
    </row>
    <row r="33" spans="1:7" x14ac:dyDescent="0.3">
      <c r="A33" s="4" t="s">
        <v>5530</v>
      </c>
      <c r="B33" s="4" t="str">
        <f>INDEX(Names!D:D,1+ROW(),1)</f>
        <v>Alma</v>
      </c>
      <c r="C33" s="4" t="str">
        <f>INDEX(Names!F:F,1+ROW(),1)</f>
        <v>Sterling</v>
      </c>
      <c r="D33" s="4" t="s">
        <v>130</v>
      </c>
      <c r="E33" s="4" t="s">
        <v>5529</v>
      </c>
      <c r="F33" s="4" t="str">
        <f>LEFT(B33,1)&amp;INDEX(Names!E:E,1+ROW(),1)&amp;LEFT(C33,1)</f>
        <v>ATS</v>
      </c>
      <c r="G33" s="4" t="s">
        <v>130</v>
      </c>
    </row>
    <row r="34" spans="1:7" x14ac:dyDescent="0.3">
      <c r="A34" s="4" t="s">
        <v>5530</v>
      </c>
      <c r="B34" s="4" t="str">
        <f>INDEX(Names!D:D,1+ROW(),1)</f>
        <v>Robert</v>
      </c>
      <c r="C34" s="4" t="str">
        <f>INDEX(Names!F:F,1+ROW(),1)</f>
        <v>Hunt</v>
      </c>
      <c r="D34" s="4" t="s">
        <v>130</v>
      </c>
      <c r="E34" s="4" t="s">
        <v>5529</v>
      </c>
      <c r="F34" s="4" t="str">
        <f>LEFT(B34,1)&amp;INDEX(Names!E:E,1+ROW(),1)&amp;LEFT(C34,1)</f>
        <v>RLH</v>
      </c>
      <c r="G34" s="4" t="s">
        <v>130</v>
      </c>
    </row>
    <row r="35" spans="1:7" x14ac:dyDescent="0.3">
      <c r="A35" s="4" t="s">
        <v>5530</v>
      </c>
      <c r="B35" s="4" t="str">
        <f>INDEX(Names!D:D,1+ROW(),1)</f>
        <v>Stephanie</v>
      </c>
      <c r="C35" s="4" t="str">
        <f>INDEX(Names!F:F,1+ROW(),1)</f>
        <v>Young</v>
      </c>
      <c r="D35" s="4" t="s">
        <v>130</v>
      </c>
      <c r="E35" s="4" t="s">
        <v>5529</v>
      </c>
      <c r="F35" s="4" t="str">
        <f>LEFT(B35,1)&amp;INDEX(Names!E:E,1+ROW(),1)&amp;LEFT(C35,1)</f>
        <v>SJY</v>
      </c>
      <c r="G35" s="4" t="s">
        <v>130</v>
      </c>
    </row>
    <row r="36" spans="1:7" x14ac:dyDescent="0.3">
      <c r="A36" s="4" t="s">
        <v>5530</v>
      </c>
      <c r="B36" s="4" t="str">
        <f>INDEX(Names!D:D,1+ROW(),1)</f>
        <v>Wilma</v>
      </c>
      <c r="C36" s="4" t="str">
        <f>INDEX(Names!F:F,1+ROW(),1)</f>
        <v>Urbanski</v>
      </c>
      <c r="D36" s="4" t="s">
        <v>130</v>
      </c>
      <c r="E36" s="4" t="s">
        <v>5529</v>
      </c>
      <c r="F36" s="4" t="str">
        <f>LEFT(B36,1)&amp;INDEX(Names!E:E,1+ROW(),1)&amp;LEFT(C36,1)</f>
        <v>WCU</v>
      </c>
      <c r="G36" s="4" t="s">
        <v>130</v>
      </c>
    </row>
    <row r="37" spans="1:7" x14ac:dyDescent="0.3">
      <c r="A37" s="4" t="s">
        <v>5530</v>
      </c>
      <c r="B37" s="4" t="str">
        <f>INDEX(Names!D:D,1+ROW(),1)</f>
        <v>Keli</v>
      </c>
      <c r="C37" s="4" t="str">
        <f>INDEX(Names!F:F,1+ROW(),1)</f>
        <v>Warren</v>
      </c>
      <c r="D37" s="4" t="s">
        <v>130</v>
      </c>
      <c r="E37" s="4" t="s">
        <v>5529</v>
      </c>
      <c r="F37" s="4" t="str">
        <f>LEFT(B37,1)&amp;INDEX(Names!E:E,1+ROW(),1)&amp;LEFT(C37,1)</f>
        <v>KHW</v>
      </c>
      <c r="G37" s="4" t="s">
        <v>130</v>
      </c>
    </row>
    <row r="38" spans="1:7" x14ac:dyDescent="0.3">
      <c r="A38" s="4" t="s">
        <v>5530</v>
      </c>
      <c r="B38" s="4" t="str">
        <f>INDEX(Names!D:D,1+ROW(),1)</f>
        <v>Ralph</v>
      </c>
      <c r="C38" s="4" t="str">
        <f>INDEX(Names!F:F,1+ROW(),1)</f>
        <v>Graham</v>
      </c>
      <c r="D38" s="4" t="s">
        <v>130</v>
      </c>
      <c r="E38" s="4" t="s">
        <v>5529</v>
      </c>
      <c r="F38" s="4" t="str">
        <f>LEFT(B38,1)&amp;INDEX(Names!E:E,1+ROW(),1)&amp;LEFT(C38,1)</f>
        <v>RKG</v>
      </c>
      <c r="G38" s="4" t="s">
        <v>130</v>
      </c>
    </row>
    <row r="39" spans="1:7" x14ac:dyDescent="0.3">
      <c r="A39" s="4" t="s">
        <v>5530</v>
      </c>
      <c r="B39" s="4" t="str">
        <f>INDEX(Names!D:D,1+ROW(),1)</f>
        <v>Margaret</v>
      </c>
      <c r="C39" s="4" t="str">
        <f>INDEX(Names!F:F,1+ROW(),1)</f>
        <v>Greene</v>
      </c>
      <c r="D39" s="4" t="s">
        <v>130</v>
      </c>
      <c r="E39" s="4" t="s">
        <v>5529</v>
      </c>
      <c r="F39" s="4" t="str">
        <f>LEFT(B39,1)&amp;INDEX(Names!E:E,1+ROW(),1)&amp;LEFT(C39,1)</f>
        <v>MRG</v>
      </c>
      <c r="G39" s="4" t="s">
        <v>130</v>
      </c>
    </row>
    <row r="40" spans="1:7" x14ac:dyDescent="0.3">
      <c r="A40" s="4" t="s">
        <v>5530</v>
      </c>
      <c r="B40" s="4" t="str">
        <f>INDEX(Names!D:D,1+ROW(),1)</f>
        <v>William</v>
      </c>
      <c r="C40" s="4" t="str">
        <f>INDEX(Names!F:F,1+ROW(),1)</f>
        <v>Perreault</v>
      </c>
      <c r="D40" s="4" t="s">
        <v>130</v>
      </c>
      <c r="E40" s="4" t="s">
        <v>5529</v>
      </c>
      <c r="F40" s="4" t="str">
        <f>LEFT(B40,1)&amp;INDEX(Names!E:E,1+ROW(),1)&amp;LEFT(C40,1)</f>
        <v>WJP</v>
      </c>
      <c r="G40" s="4" t="s">
        <v>130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3"/>
  <sheetViews>
    <sheetView workbookViewId="0">
      <selection activeCell="A2" sqref="A2"/>
    </sheetView>
  </sheetViews>
  <sheetFormatPr defaultRowHeight="14.4" x14ac:dyDescent="0.3"/>
  <cols>
    <col min="2" max="2" width="6.21875" bestFit="1" customWidth="1"/>
    <col min="3" max="3" width="6" bestFit="1" customWidth="1"/>
    <col min="4" max="4" width="12.109375" bestFit="1" customWidth="1"/>
    <col min="5" max="5" width="9.77734375" bestFit="1" customWidth="1"/>
  </cols>
  <sheetData>
    <row r="1" spans="1:5" x14ac:dyDescent="0.3">
      <c r="A1" t="s">
        <v>117</v>
      </c>
      <c r="B1" t="s">
        <v>5513</v>
      </c>
      <c r="C1" t="s">
        <v>5514</v>
      </c>
      <c r="D1" t="s">
        <v>5506</v>
      </c>
      <c r="E1" t="s">
        <v>5507</v>
      </c>
    </row>
    <row r="2" spans="1:5" x14ac:dyDescent="0.3">
      <c r="A2" t="str">
        <f>IF(LEN(users.csv!A2) &gt; 1, "userRole","-")</f>
        <v>userRole</v>
      </c>
      <c r="B2">
        <f>IF(ISNUMBER(B1),B1+1,1)</f>
        <v>1</v>
      </c>
      <c r="C2">
        <v>1</v>
      </c>
      <c r="D2" t="str">
        <f>TEXT("2017-01-01","YYYY-MM-DD")</f>
        <v>2017-01-01</v>
      </c>
      <c r="E2" t="s">
        <v>130</v>
      </c>
    </row>
    <row r="3" spans="1:5" x14ac:dyDescent="0.3">
      <c r="A3" t="str">
        <f>IF(LEN(users.csv!A3) &gt; 1, "userRole","-")</f>
        <v>userRole</v>
      </c>
      <c r="B3">
        <f t="shared" ref="B3:B43" si="0">IF(ISNUMBER(B2),B2+1,1)</f>
        <v>2</v>
      </c>
      <c r="C3">
        <v>1</v>
      </c>
      <c r="D3" t="str">
        <f t="shared" ref="D3:D43" si="1">TEXT("2017-01-01","YYYY-MM-DD")</f>
        <v>2017-01-01</v>
      </c>
      <c r="E3" t="s">
        <v>130</v>
      </c>
    </row>
    <row r="4" spans="1:5" x14ac:dyDescent="0.3">
      <c r="A4" t="str">
        <f>IF(LEN(users.csv!A4) &gt; 1, "userRole","-")</f>
        <v>userRole</v>
      </c>
      <c r="B4">
        <f t="shared" si="0"/>
        <v>3</v>
      </c>
      <c r="C4">
        <v>2</v>
      </c>
      <c r="D4" t="str">
        <f t="shared" si="1"/>
        <v>2017-01-01</v>
      </c>
      <c r="E4" t="s">
        <v>130</v>
      </c>
    </row>
    <row r="5" spans="1:5" x14ac:dyDescent="0.3">
      <c r="A5" t="str">
        <f>IF(LEN(users.csv!A5) &gt; 1, "userRole","-")</f>
        <v>userRole</v>
      </c>
      <c r="B5">
        <f t="shared" si="0"/>
        <v>4</v>
      </c>
      <c r="C5">
        <v>2</v>
      </c>
      <c r="D5" t="str">
        <f t="shared" si="1"/>
        <v>2017-01-01</v>
      </c>
      <c r="E5" t="s">
        <v>130</v>
      </c>
    </row>
    <row r="6" spans="1:5" x14ac:dyDescent="0.3">
      <c r="A6" t="str">
        <f>IF(LEN(users.csv!A6) &gt; 1, "userRole","-")</f>
        <v>userRole</v>
      </c>
      <c r="B6">
        <f t="shared" si="0"/>
        <v>5</v>
      </c>
      <c r="C6">
        <v>2</v>
      </c>
      <c r="D6" t="str">
        <f t="shared" si="1"/>
        <v>2017-01-01</v>
      </c>
      <c r="E6" t="s">
        <v>130</v>
      </c>
    </row>
    <row r="7" spans="1:5" x14ac:dyDescent="0.3">
      <c r="A7" t="str">
        <f>IF(LEN(users.csv!A7) &gt; 1, "userRole","-")</f>
        <v>userRole</v>
      </c>
      <c r="B7">
        <f t="shared" si="0"/>
        <v>6</v>
      </c>
      <c r="C7">
        <v>2</v>
      </c>
      <c r="D7" t="str">
        <f t="shared" si="1"/>
        <v>2017-01-01</v>
      </c>
      <c r="E7" t="s">
        <v>130</v>
      </c>
    </row>
    <row r="8" spans="1:5" x14ac:dyDescent="0.3">
      <c r="A8" t="str">
        <f>IF(LEN(users.csv!A8) &gt; 1, "userRole","-")</f>
        <v>userRole</v>
      </c>
      <c r="B8">
        <f t="shared" si="0"/>
        <v>7</v>
      </c>
      <c r="C8">
        <v>2</v>
      </c>
      <c r="D8" t="str">
        <f t="shared" si="1"/>
        <v>2017-01-01</v>
      </c>
      <c r="E8" t="s">
        <v>130</v>
      </c>
    </row>
    <row r="9" spans="1:5" x14ac:dyDescent="0.3">
      <c r="A9" t="str">
        <f>IF(LEN(users.csv!A9) &gt; 1, "userRole","-")</f>
        <v>userRole</v>
      </c>
      <c r="B9">
        <f t="shared" si="0"/>
        <v>8</v>
      </c>
      <c r="C9">
        <v>2</v>
      </c>
      <c r="D9" t="str">
        <f t="shared" si="1"/>
        <v>2017-01-01</v>
      </c>
      <c r="E9" t="s">
        <v>130</v>
      </c>
    </row>
    <row r="10" spans="1:5" x14ac:dyDescent="0.3">
      <c r="A10" t="str">
        <f>IF(LEN(users.csv!A10) &gt; 1, "userRole","-")</f>
        <v>userRole</v>
      </c>
      <c r="B10">
        <f t="shared" si="0"/>
        <v>9</v>
      </c>
      <c r="C10">
        <v>2</v>
      </c>
      <c r="D10" t="str">
        <f t="shared" si="1"/>
        <v>2017-01-01</v>
      </c>
      <c r="E10" t="s">
        <v>130</v>
      </c>
    </row>
    <row r="11" spans="1:5" x14ac:dyDescent="0.3">
      <c r="A11" t="str">
        <f>IF(LEN(users.csv!A11) &gt; 1, "userRole","-")</f>
        <v>userRole</v>
      </c>
      <c r="B11">
        <f t="shared" si="0"/>
        <v>10</v>
      </c>
      <c r="C11">
        <v>2</v>
      </c>
      <c r="D11" t="str">
        <f t="shared" si="1"/>
        <v>2017-01-01</v>
      </c>
      <c r="E11" t="s">
        <v>130</v>
      </c>
    </row>
    <row r="12" spans="1:5" x14ac:dyDescent="0.3">
      <c r="A12" t="str">
        <f>IF(LEN(users.csv!A12) &gt; 1, "userRole","-")</f>
        <v>userRole</v>
      </c>
      <c r="B12">
        <f t="shared" si="0"/>
        <v>11</v>
      </c>
      <c r="C12">
        <v>2</v>
      </c>
      <c r="D12" t="str">
        <f t="shared" si="1"/>
        <v>2017-01-01</v>
      </c>
      <c r="E12" t="s">
        <v>130</v>
      </c>
    </row>
    <row r="13" spans="1:5" x14ac:dyDescent="0.3">
      <c r="A13" t="str">
        <f>IF(LEN(users.csv!A13) &gt; 1, "userRole","-")</f>
        <v>userRole</v>
      </c>
      <c r="B13">
        <f t="shared" si="0"/>
        <v>12</v>
      </c>
      <c r="C13">
        <v>2</v>
      </c>
      <c r="D13" t="str">
        <f t="shared" si="1"/>
        <v>2017-01-01</v>
      </c>
      <c r="E13" t="s">
        <v>130</v>
      </c>
    </row>
    <row r="14" spans="1:5" x14ac:dyDescent="0.3">
      <c r="A14" t="str">
        <f>IF(LEN(users.csv!A14) &gt; 1, "userRole","-")</f>
        <v>userRole</v>
      </c>
      <c r="B14">
        <f t="shared" si="0"/>
        <v>13</v>
      </c>
      <c r="C14">
        <v>2</v>
      </c>
      <c r="D14" t="str">
        <f t="shared" si="1"/>
        <v>2017-01-01</v>
      </c>
      <c r="E14" t="s">
        <v>130</v>
      </c>
    </row>
    <row r="15" spans="1:5" x14ac:dyDescent="0.3">
      <c r="A15" t="str">
        <f>IF(LEN(users.csv!A15) &gt; 1, "userRole","-")</f>
        <v>userRole</v>
      </c>
      <c r="B15">
        <f t="shared" si="0"/>
        <v>14</v>
      </c>
      <c r="C15">
        <v>2</v>
      </c>
      <c r="D15" t="str">
        <f t="shared" si="1"/>
        <v>2017-01-01</v>
      </c>
      <c r="E15" t="s">
        <v>130</v>
      </c>
    </row>
    <row r="16" spans="1:5" x14ac:dyDescent="0.3">
      <c r="A16" t="str">
        <f>IF(LEN(users.csv!A16) &gt; 1, "userRole","-")</f>
        <v>userRole</v>
      </c>
      <c r="B16">
        <f t="shared" si="0"/>
        <v>15</v>
      </c>
      <c r="C16">
        <v>2</v>
      </c>
      <c r="D16" t="str">
        <f t="shared" si="1"/>
        <v>2017-01-01</v>
      </c>
      <c r="E16" t="s">
        <v>130</v>
      </c>
    </row>
    <row r="17" spans="1:5" x14ac:dyDescent="0.3">
      <c r="A17" t="str">
        <f>IF(LEN(users.csv!A17) &gt; 1, "userRole","-")</f>
        <v>userRole</v>
      </c>
      <c r="B17">
        <f t="shared" si="0"/>
        <v>16</v>
      </c>
      <c r="C17">
        <v>2</v>
      </c>
      <c r="D17" t="str">
        <f t="shared" si="1"/>
        <v>2017-01-01</v>
      </c>
      <c r="E17" t="s">
        <v>130</v>
      </c>
    </row>
    <row r="18" spans="1:5" x14ac:dyDescent="0.3">
      <c r="A18" t="str">
        <f>IF(LEN(users.csv!A18) &gt; 1, "userRole","-")</f>
        <v>userRole</v>
      </c>
      <c r="B18">
        <f t="shared" si="0"/>
        <v>17</v>
      </c>
      <c r="C18">
        <v>2</v>
      </c>
      <c r="D18" t="str">
        <f t="shared" si="1"/>
        <v>2017-01-01</v>
      </c>
      <c r="E18" t="s">
        <v>130</v>
      </c>
    </row>
    <row r="19" spans="1:5" x14ac:dyDescent="0.3">
      <c r="A19" t="str">
        <f>IF(LEN(users.csv!A19) &gt; 1, "userRole","-")</f>
        <v>userRole</v>
      </c>
      <c r="B19">
        <f t="shared" si="0"/>
        <v>18</v>
      </c>
      <c r="C19">
        <v>2</v>
      </c>
      <c r="D19" t="str">
        <f t="shared" si="1"/>
        <v>2017-01-01</v>
      </c>
      <c r="E19" t="s">
        <v>130</v>
      </c>
    </row>
    <row r="20" spans="1:5" x14ac:dyDescent="0.3">
      <c r="A20" t="str">
        <f>IF(LEN(users.csv!A20) &gt; 1, "userRole","-")</f>
        <v>userRole</v>
      </c>
      <c r="B20">
        <f t="shared" si="0"/>
        <v>19</v>
      </c>
      <c r="C20">
        <v>2</v>
      </c>
      <c r="D20" t="str">
        <f t="shared" si="1"/>
        <v>2017-01-01</v>
      </c>
      <c r="E20" t="s">
        <v>130</v>
      </c>
    </row>
    <row r="21" spans="1:5" x14ac:dyDescent="0.3">
      <c r="A21" t="str">
        <f>IF(LEN(users.csv!A21) &gt; 1, "userRole","-")</f>
        <v>userRole</v>
      </c>
      <c r="B21">
        <f t="shared" si="0"/>
        <v>20</v>
      </c>
      <c r="C21">
        <v>2</v>
      </c>
      <c r="D21" t="str">
        <f t="shared" si="1"/>
        <v>2017-01-01</v>
      </c>
      <c r="E21" t="s">
        <v>130</v>
      </c>
    </row>
    <row r="22" spans="1:5" x14ac:dyDescent="0.3">
      <c r="A22" t="str">
        <f>IF(LEN(users.csv!A22) &gt; 1, "userRole","-")</f>
        <v>userRole</v>
      </c>
      <c r="B22">
        <f t="shared" si="0"/>
        <v>21</v>
      </c>
      <c r="C22">
        <v>2</v>
      </c>
      <c r="D22" t="str">
        <f t="shared" si="1"/>
        <v>2017-01-01</v>
      </c>
      <c r="E22" t="s">
        <v>130</v>
      </c>
    </row>
    <row r="23" spans="1:5" x14ac:dyDescent="0.3">
      <c r="A23" t="str">
        <f>IF(LEN(users.csv!A23) &gt; 1, "userRole","-")</f>
        <v>userRole</v>
      </c>
      <c r="B23">
        <f t="shared" si="0"/>
        <v>22</v>
      </c>
      <c r="C23">
        <v>2</v>
      </c>
      <c r="D23" t="str">
        <f t="shared" si="1"/>
        <v>2017-01-01</v>
      </c>
      <c r="E23" t="s">
        <v>130</v>
      </c>
    </row>
    <row r="24" spans="1:5" x14ac:dyDescent="0.3">
      <c r="A24" t="str">
        <f>IF(LEN(users.csv!A24) &gt; 1, "userRole","-")</f>
        <v>userRole</v>
      </c>
      <c r="B24">
        <f t="shared" si="0"/>
        <v>23</v>
      </c>
      <c r="C24">
        <v>2</v>
      </c>
      <c r="D24" t="str">
        <f t="shared" si="1"/>
        <v>2017-01-01</v>
      </c>
      <c r="E24" t="s">
        <v>130</v>
      </c>
    </row>
    <row r="25" spans="1:5" x14ac:dyDescent="0.3">
      <c r="A25" t="str">
        <f>IF(LEN(users.csv!A25) &gt; 1, "userRole","-")</f>
        <v>userRole</v>
      </c>
      <c r="B25">
        <f t="shared" si="0"/>
        <v>24</v>
      </c>
      <c r="C25">
        <v>2</v>
      </c>
      <c r="D25" t="str">
        <f t="shared" si="1"/>
        <v>2017-01-01</v>
      </c>
      <c r="E25" t="s">
        <v>130</v>
      </c>
    </row>
    <row r="26" spans="1:5" x14ac:dyDescent="0.3">
      <c r="A26" t="str">
        <f>IF(LEN(users.csv!A26) &gt; 1, "userRole","-")</f>
        <v>userRole</v>
      </c>
      <c r="B26">
        <f t="shared" si="0"/>
        <v>25</v>
      </c>
      <c r="C26">
        <v>2</v>
      </c>
      <c r="D26" t="str">
        <f t="shared" si="1"/>
        <v>2017-01-01</v>
      </c>
      <c r="E26" t="s">
        <v>130</v>
      </c>
    </row>
    <row r="27" spans="1:5" x14ac:dyDescent="0.3">
      <c r="A27" t="str">
        <f>IF(LEN(users.csv!A27) &gt; 1, "userRole","-")</f>
        <v>userRole</v>
      </c>
      <c r="B27">
        <f t="shared" si="0"/>
        <v>26</v>
      </c>
      <c r="C27">
        <v>2</v>
      </c>
      <c r="D27" t="str">
        <f t="shared" si="1"/>
        <v>2017-01-01</v>
      </c>
      <c r="E27" t="s">
        <v>130</v>
      </c>
    </row>
    <row r="28" spans="1:5" x14ac:dyDescent="0.3">
      <c r="A28" t="str">
        <f>IF(LEN(users.csv!A28) &gt; 1, "userRole","-")</f>
        <v>userRole</v>
      </c>
      <c r="B28">
        <f t="shared" si="0"/>
        <v>27</v>
      </c>
      <c r="C28">
        <v>2</v>
      </c>
      <c r="D28" t="str">
        <f t="shared" si="1"/>
        <v>2017-01-01</v>
      </c>
      <c r="E28" t="s">
        <v>130</v>
      </c>
    </row>
    <row r="29" spans="1:5" x14ac:dyDescent="0.3">
      <c r="A29" t="str">
        <f>IF(LEN(users.csv!A29) &gt; 1, "userRole","-")</f>
        <v>userRole</v>
      </c>
      <c r="B29">
        <f t="shared" si="0"/>
        <v>28</v>
      </c>
      <c r="C29">
        <v>2</v>
      </c>
      <c r="D29" t="str">
        <f t="shared" si="1"/>
        <v>2017-01-01</v>
      </c>
      <c r="E29" t="s">
        <v>130</v>
      </c>
    </row>
    <row r="30" spans="1:5" x14ac:dyDescent="0.3">
      <c r="A30" t="str">
        <f>IF(LEN(users.csv!A30) &gt; 1, "userRole","-")</f>
        <v>userRole</v>
      </c>
      <c r="B30">
        <f t="shared" si="0"/>
        <v>29</v>
      </c>
      <c r="C30">
        <v>2</v>
      </c>
      <c r="D30" t="str">
        <f t="shared" si="1"/>
        <v>2017-01-01</v>
      </c>
      <c r="E30" t="s">
        <v>130</v>
      </c>
    </row>
    <row r="31" spans="1:5" x14ac:dyDescent="0.3">
      <c r="A31" t="str">
        <f>IF(LEN(users.csv!A31) &gt; 1, "userRole","-")</f>
        <v>userRole</v>
      </c>
      <c r="B31">
        <f t="shared" si="0"/>
        <v>30</v>
      </c>
      <c r="C31">
        <v>2</v>
      </c>
      <c r="D31" t="str">
        <f t="shared" si="1"/>
        <v>2017-01-01</v>
      </c>
      <c r="E31" t="s">
        <v>130</v>
      </c>
    </row>
    <row r="32" spans="1:5" x14ac:dyDescent="0.3">
      <c r="A32" t="str">
        <f>IF(LEN(users.csv!A32) &gt; 1, "userRole","-")</f>
        <v>userRole</v>
      </c>
      <c r="B32">
        <f t="shared" si="0"/>
        <v>31</v>
      </c>
      <c r="C32">
        <v>2</v>
      </c>
      <c r="D32" t="str">
        <f t="shared" si="1"/>
        <v>2017-01-01</v>
      </c>
      <c r="E32" t="s">
        <v>130</v>
      </c>
    </row>
    <row r="33" spans="1:5" x14ac:dyDescent="0.3">
      <c r="A33" t="str">
        <f>IF(LEN(users.csv!A33) &gt; 1, "userRole","-")</f>
        <v>userRole</v>
      </c>
      <c r="B33">
        <f t="shared" si="0"/>
        <v>32</v>
      </c>
      <c r="C33">
        <v>2</v>
      </c>
      <c r="D33" t="str">
        <f t="shared" si="1"/>
        <v>2017-01-01</v>
      </c>
      <c r="E33" t="s">
        <v>130</v>
      </c>
    </row>
    <row r="34" spans="1:5" x14ac:dyDescent="0.3">
      <c r="A34" t="str">
        <f>IF(LEN(users.csv!A34) &gt; 1, "userRole","-")</f>
        <v>userRole</v>
      </c>
      <c r="B34">
        <f t="shared" si="0"/>
        <v>33</v>
      </c>
      <c r="C34">
        <v>2</v>
      </c>
      <c r="D34" t="str">
        <f t="shared" si="1"/>
        <v>2017-01-01</v>
      </c>
      <c r="E34" t="s">
        <v>130</v>
      </c>
    </row>
    <row r="35" spans="1:5" x14ac:dyDescent="0.3">
      <c r="A35" t="str">
        <f>IF(LEN(users.csv!A35) &gt; 1, "userRole","-")</f>
        <v>userRole</v>
      </c>
      <c r="B35">
        <f t="shared" si="0"/>
        <v>34</v>
      </c>
      <c r="C35">
        <v>2</v>
      </c>
      <c r="D35" t="str">
        <f t="shared" si="1"/>
        <v>2017-01-01</v>
      </c>
      <c r="E35" t="s">
        <v>130</v>
      </c>
    </row>
    <row r="36" spans="1:5" x14ac:dyDescent="0.3">
      <c r="A36" t="str">
        <f>IF(LEN(users.csv!A36) &gt; 1, "userRole","-")</f>
        <v>userRole</v>
      </c>
      <c r="B36">
        <f t="shared" si="0"/>
        <v>35</v>
      </c>
      <c r="C36">
        <v>2</v>
      </c>
      <c r="D36" t="str">
        <f t="shared" si="1"/>
        <v>2017-01-01</v>
      </c>
      <c r="E36" t="s">
        <v>130</v>
      </c>
    </row>
    <row r="37" spans="1:5" x14ac:dyDescent="0.3">
      <c r="A37" t="str">
        <f>IF(LEN(users.csv!A37) &gt; 1, "userRole","-")</f>
        <v>userRole</v>
      </c>
      <c r="B37">
        <f t="shared" si="0"/>
        <v>36</v>
      </c>
      <c r="C37">
        <v>2</v>
      </c>
      <c r="D37" t="str">
        <f t="shared" si="1"/>
        <v>2017-01-01</v>
      </c>
      <c r="E37" t="s">
        <v>130</v>
      </c>
    </row>
    <row r="38" spans="1:5" x14ac:dyDescent="0.3">
      <c r="A38" t="str">
        <f>IF(LEN(users.csv!A38) &gt; 1, "userRole","-")</f>
        <v>userRole</v>
      </c>
      <c r="B38">
        <f t="shared" si="0"/>
        <v>37</v>
      </c>
      <c r="C38">
        <v>2</v>
      </c>
      <c r="D38" t="str">
        <f t="shared" si="1"/>
        <v>2017-01-01</v>
      </c>
      <c r="E38" t="s">
        <v>130</v>
      </c>
    </row>
    <row r="39" spans="1:5" x14ac:dyDescent="0.3">
      <c r="A39" t="str">
        <f>IF(LEN(users.csv!A39) &gt; 1, "userRole","-")</f>
        <v>userRole</v>
      </c>
      <c r="B39">
        <f t="shared" si="0"/>
        <v>38</v>
      </c>
      <c r="C39">
        <v>2</v>
      </c>
      <c r="D39" t="str">
        <f t="shared" si="1"/>
        <v>2017-01-01</v>
      </c>
      <c r="E39" t="s">
        <v>130</v>
      </c>
    </row>
    <row r="40" spans="1:5" x14ac:dyDescent="0.3">
      <c r="A40" t="str">
        <f>IF(LEN(users.csv!A40) &gt; 1, "userRole","-")</f>
        <v>userRole</v>
      </c>
      <c r="B40">
        <f t="shared" si="0"/>
        <v>39</v>
      </c>
      <c r="C40">
        <v>2</v>
      </c>
      <c r="D40" t="str">
        <f t="shared" si="1"/>
        <v>2017-01-01</v>
      </c>
      <c r="E40" t="s">
        <v>130</v>
      </c>
    </row>
    <row r="41" spans="1:5" x14ac:dyDescent="0.3">
      <c r="A41" t="str">
        <f>IF(LEN(users.csv!A41) &gt; 1, "userRole","-")</f>
        <v>-</v>
      </c>
      <c r="B41">
        <f t="shared" si="0"/>
        <v>40</v>
      </c>
      <c r="C41">
        <v>2</v>
      </c>
      <c r="D41" t="str">
        <f t="shared" si="1"/>
        <v>2017-01-01</v>
      </c>
      <c r="E41" t="s">
        <v>130</v>
      </c>
    </row>
    <row r="42" spans="1:5" x14ac:dyDescent="0.3">
      <c r="A42" t="str">
        <f>IF(LEN(users.csv!A42) &gt; 1, "userRole","-")</f>
        <v>-</v>
      </c>
      <c r="B42">
        <f t="shared" si="0"/>
        <v>41</v>
      </c>
      <c r="C42">
        <v>2</v>
      </c>
      <c r="D42" t="str">
        <f t="shared" si="1"/>
        <v>2017-01-01</v>
      </c>
      <c r="E42" t="s">
        <v>130</v>
      </c>
    </row>
    <row r="43" spans="1:5" x14ac:dyDescent="0.3">
      <c r="A43" t="str">
        <f>IF(LEN(users.csv!A43) &gt; 1, "userRole","-")</f>
        <v>-</v>
      </c>
      <c r="B43">
        <f t="shared" si="0"/>
        <v>42</v>
      </c>
      <c r="C43">
        <v>2</v>
      </c>
      <c r="D43" t="str">
        <f t="shared" si="1"/>
        <v>2017-01-01</v>
      </c>
      <c r="E43" t="s">
        <v>130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6"/>
  <sheetViews>
    <sheetView workbookViewId="0">
      <selection activeCell="A31" sqref="A31"/>
    </sheetView>
  </sheetViews>
  <sheetFormatPr defaultRowHeight="14.4" x14ac:dyDescent="0.3"/>
  <sheetData>
    <row r="1" spans="1:3" x14ac:dyDescent="0.3">
      <c r="A1" t="s">
        <v>117</v>
      </c>
      <c r="B1" t="s">
        <v>5508</v>
      </c>
      <c r="C1" t="s">
        <v>5505</v>
      </c>
    </row>
    <row r="2" spans="1:3" x14ac:dyDescent="0.3">
      <c r="A2" t="str">
        <f>IF(LEN(users.csv!A2) &gt; 1, "userGroup","-")</f>
        <v>userGroup</v>
      </c>
      <c r="B2">
        <v>1</v>
      </c>
      <c r="C2">
        <v>1</v>
      </c>
    </row>
    <row r="3" spans="1:3" x14ac:dyDescent="0.3">
      <c r="A3" t="str">
        <f>IF(LEN(users.csv!A3) &gt; 1, "userGroup","-")</f>
        <v>userGroup</v>
      </c>
      <c r="B3">
        <v>1</v>
      </c>
      <c r="C3">
        <v>1</v>
      </c>
    </row>
    <row r="4" spans="1:3" x14ac:dyDescent="0.3">
      <c r="A4" t="str">
        <f>IF(LEN(users.csv!A4) &gt; 1, "userGroup","-")</f>
        <v>userGroup</v>
      </c>
      <c r="B4">
        <v>1</v>
      </c>
      <c r="C4">
        <v>1</v>
      </c>
    </row>
    <row r="5" spans="1:3" x14ac:dyDescent="0.3">
      <c r="A5" t="str">
        <f>IF(LEN(users.csv!A5) &gt; 1, "userGroup","-")</f>
        <v>userGroup</v>
      </c>
      <c r="B5">
        <v>1</v>
      </c>
      <c r="C5">
        <v>1</v>
      </c>
    </row>
    <row r="6" spans="1:3" x14ac:dyDescent="0.3">
      <c r="A6" t="str">
        <f>IF(LEN(users.csv!A6) &gt; 1, "userGroup","-")</f>
        <v>userGroup</v>
      </c>
      <c r="B6">
        <v>1</v>
      </c>
      <c r="C6">
        <v>1</v>
      </c>
    </row>
    <row r="7" spans="1:3" x14ac:dyDescent="0.3">
      <c r="A7" t="str">
        <f>IF(LEN(users.csv!A7) &gt; 1, "userGroup","-")</f>
        <v>userGroup</v>
      </c>
      <c r="B7">
        <v>1</v>
      </c>
      <c r="C7">
        <v>1</v>
      </c>
    </row>
    <row r="8" spans="1:3" x14ac:dyDescent="0.3">
      <c r="A8" t="str">
        <f>IF(LEN(users.csv!A8) &gt; 1, "userGroup","-")</f>
        <v>userGroup</v>
      </c>
      <c r="B8">
        <v>1</v>
      </c>
      <c r="C8">
        <v>1</v>
      </c>
    </row>
    <row r="9" spans="1:3" x14ac:dyDescent="0.3">
      <c r="A9" t="str">
        <f>IF(LEN(users.csv!A9) &gt; 1, "userGroup","-")</f>
        <v>userGroup</v>
      </c>
      <c r="B9">
        <v>1</v>
      </c>
      <c r="C9">
        <v>1</v>
      </c>
    </row>
    <row r="10" spans="1:3" x14ac:dyDescent="0.3">
      <c r="A10" t="str">
        <f>IF(LEN(users.csv!A10) &gt; 1, "userGroup","-")</f>
        <v>userGroup</v>
      </c>
      <c r="B10">
        <v>1</v>
      </c>
      <c r="C10">
        <v>1</v>
      </c>
    </row>
    <row r="11" spans="1:3" x14ac:dyDescent="0.3">
      <c r="A11" t="str">
        <f>IF(LEN(users.csv!A11) &gt; 1, "userGroup","-")</f>
        <v>userGroup</v>
      </c>
      <c r="B11">
        <v>1</v>
      </c>
      <c r="C11">
        <v>1</v>
      </c>
    </row>
    <row r="12" spans="1:3" x14ac:dyDescent="0.3">
      <c r="A12" t="str">
        <f>IF(LEN(users.csv!A12) &gt; 1, "userGroup","-")</f>
        <v>userGroup</v>
      </c>
      <c r="B12">
        <v>1</v>
      </c>
      <c r="C12">
        <v>1</v>
      </c>
    </row>
    <row r="13" spans="1:3" x14ac:dyDescent="0.3">
      <c r="A13" t="str">
        <f>IF(LEN(users.csv!A13) &gt; 1, "userGroup","-")</f>
        <v>userGroup</v>
      </c>
      <c r="B13">
        <v>1</v>
      </c>
      <c r="C13">
        <v>1</v>
      </c>
    </row>
    <row r="14" spans="1:3" x14ac:dyDescent="0.3">
      <c r="A14" t="str">
        <f>IF(LEN(users.csv!A14) &gt; 1, "userGroup","-")</f>
        <v>userGroup</v>
      </c>
      <c r="B14">
        <v>1</v>
      </c>
      <c r="C14">
        <v>1</v>
      </c>
    </row>
    <row r="15" spans="1:3" x14ac:dyDescent="0.3">
      <c r="A15" t="str">
        <f>IF(LEN(users.csv!A15) &gt; 1, "userGroup","-")</f>
        <v>userGroup</v>
      </c>
      <c r="B15">
        <v>1</v>
      </c>
      <c r="C15">
        <v>1</v>
      </c>
    </row>
    <row r="16" spans="1:3" x14ac:dyDescent="0.3">
      <c r="A16" t="str">
        <f>IF(LEN(users.csv!A16) &gt; 1, "userGroup","-")</f>
        <v>userGroup</v>
      </c>
      <c r="B16">
        <v>1</v>
      </c>
      <c r="C16">
        <v>1</v>
      </c>
    </row>
    <row r="17" spans="1:3" x14ac:dyDescent="0.3">
      <c r="A17" t="str">
        <f>IF(LEN(users.csv!A17) &gt; 1, "userGroup","-")</f>
        <v>userGroup</v>
      </c>
      <c r="B17">
        <v>1</v>
      </c>
      <c r="C17">
        <v>1</v>
      </c>
    </row>
    <row r="18" spans="1:3" x14ac:dyDescent="0.3">
      <c r="A18" t="str">
        <f>IF(LEN(users.csv!A18) &gt; 1, "userGroup","-")</f>
        <v>userGroup</v>
      </c>
      <c r="B18">
        <v>1</v>
      </c>
      <c r="C18">
        <v>1</v>
      </c>
    </row>
    <row r="19" spans="1:3" x14ac:dyDescent="0.3">
      <c r="A19" t="str">
        <f>IF(LEN(users.csv!A19) &gt; 1, "userGroup","-")</f>
        <v>userGroup</v>
      </c>
      <c r="B19">
        <v>1</v>
      </c>
      <c r="C19">
        <v>1</v>
      </c>
    </row>
    <row r="20" spans="1:3" x14ac:dyDescent="0.3">
      <c r="A20" t="str">
        <f>IF(LEN(users.csv!A20) &gt; 1, "userGroup","-")</f>
        <v>userGroup</v>
      </c>
      <c r="B20">
        <v>1</v>
      </c>
      <c r="C20">
        <v>1</v>
      </c>
    </row>
    <row r="21" spans="1:3" x14ac:dyDescent="0.3">
      <c r="A21" t="str">
        <f>IF(LEN(users.csv!A21) &gt; 1, "userGroup","-")</f>
        <v>userGroup</v>
      </c>
      <c r="B21">
        <v>1</v>
      </c>
      <c r="C21">
        <v>1</v>
      </c>
    </row>
    <row r="22" spans="1:3" x14ac:dyDescent="0.3">
      <c r="A22" t="str">
        <f>IF(LEN(users.csv!A22) &gt; 1, "userGroup","-")</f>
        <v>userGroup</v>
      </c>
      <c r="B22">
        <v>1</v>
      </c>
      <c r="C22">
        <v>1</v>
      </c>
    </row>
    <row r="23" spans="1:3" x14ac:dyDescent="0.3">
      <c r="A23" t="str">
        <f>IF(LEN(users.csv!A23) &gt; 1, "userGroup","-")</f>
        <v>userGroup</v>
      </c>
      <c r="B23">
        <v>1</v>
      </c>
      <c r="C23">
        <v>1</v>
      </c>
    </row>
    <row r="24" spans="1:3" x14ac:dyDescent="0.3">
      <c r="A24" t="str">
        <f>IF(LEN(users.csv!A24) &gt; 1, "userGroup","-")</f>
        <v>userGroup</v>
      </c>
      <c r="B24">
        <v>1</v>
      </c>
      <c r="C24">
        <v>1</v>
      </c>
    </row>
    <row r="25" spans="1:3" x14ac:dyDescent="0.3">
      <c r="A25" t="str">
        <f>IF(LEN(users.csv!A25) &gt; 1, "userGroup","-")</f>
        <v>userGroup</v>
      </c>
      <c r="B25">
        <v>1</v>
      </c>
      <c r="C25">
        <v>1</v>
      </c>
    </row>
    <row r="26" spans="1:3" x14ac:dyDescent="0.3">
      <c r="A26" t="str">
        <f>IF(LEN(users.csv!A26) &gt; 1, "userGroup","-")</f>
        <v>userGroup</v>
      </c>
      <c r="B26">
        <v>1</v>
      </c>
      <c r="C26">
        <v>1</v>
      </c>
    </row>
    <row r="27" spans="1:3" x14ac:dyDescent="0.3">
      <c r="A27" t="str">
        <f>IF(LEN(users.csv!A27) &gt; 1, "userGroup","-")</f>
        <v>userGroup</v>
      </c>
      <c r="B27">
        <v>1</v>
      </c>
      <c r="C27">
        <v>1</v>
      </c>
    </row>
    <row r="28" spans="1:3" x14ac:dyDescent="0.3">
      <c r="A28" t="str">
        <f>IF(LEN(users.csv!A28) &gt; 1, "userGroup","-")</f>
        <v>userGroup</v>
      </c>
      <c r="B28">
        <v>1</v>
      </c>
      <c r="C28">
        <v>1</v>
      </c>
    </row>
    <row r="29" spans="1:3" x14ac:dyDescent="0.3">
      <c r="A29" t="str">
        <f>IF(LEN(users.csv!A29) &gt; 1, "userGroup","-")</f>
        <v>userGroup</v>
      </c>
      <c r="B29">
        <v>1</v>
      </c>
      <c r="C29">
        <v>1</v>
      </c>
    </row>
    <row r="30" spans="1:3" x14ac:dyDescent="0.3">
      <c r="A30" t="str">
        <f>IF(LEN(users.csv!A30) &gt; 1, "userGroup","-")</f>
        <v>userGroup</v>
      </c>
      <c r="B30">
        <v>1</v>
      </c>
      <c r="C30">
        <v>1</v>
      </c>
    </row>
    <row r="31" spans="1:3" x14ac:dyDescent="0.3">
      <c r="A31" t="str">
        <f>IF(LEN(users.csv!A31) &gt; 1, "userGroup","-")</f>
        <v>userGroup</v>
      </c>
      <c r="B31">
        <v>2</v>
      </c>
      <c r="C31">
        <v>1</v>
      </c>
    </row>
    <row r="32" spans="1:3" x14ac:dyDescent="0.3">
      <c r="A32" t="str">
        <f>IF(LEN(users.csv!A32) &gt; 1, "userGroup","-")</f>
        <v>userGroup</v>
      </c>
      <c r="B32">
        <v>2</v>
      </c>
      <c r="C32">
        <v>1</v>
      </c>
    </row>
    <row r="33" spans="1:3" x14ac:dyDescent="0.3">
      <c r="A33" t="str">
        <f>IF(LEN(users.csv!A33) &gt; 1, "userGroup","-")</f>
        <v>userGroup</v>
      </c>
      <c r="B33">
        <v>2</v>
      </c>
      <c r="C33">
        <v>1</v>
      </c>
    </row>
    <row r="34" spans="1:3" x14ac:dyDescent="0.3">
      <c r="A34" t="str">
        <f>IF(LEN(users.csv!A34) &gt; 1, "userGroup","-")</f>
        <v>userGroup</v>
      </c>
      <c r="B34">
        <v>2</v>
      </c>
      <c r="C34">
        <v>1</v>
      </c>
    </row>
    <row r="35" spans="1:3" x14ac:dyDescent="0.3">
      <c r="A35" t="str">
        <f>IF(LEN(users.csv!A35) &gt; 1, "userGroup","-")</f>
        <v>userGroup</v>
      </c>
      <c r="B35">
        <v>2</v>
      </c>
      <c r="C35">
        <v>1</v>
      </c>
    </row>
    <row r="36" spans="1:3" x14ac:dyDescent="0.3">
      <c r="A36" t="str">
        <f>IF(LEN(users.csv!A36) &gt; 1, "userGroup","-")</f>
        <v>userGroup</v>
      </c>
      <c r="B36">
        <v>2</v>
      </c>
      <c r="C36">
        <v>1</v>
      </c>
    </row>
    <row r="37" spans="1:3" x14ac:dyDescent="0.3">
      <c r="A37" t="str">
        <f>IF(LEN(users.csv!A37) &gt; 1, "userGroup","-")</f>
        <v>userGroup</v>
      </c>
      <c r="B37">
        <v>2</v>
      </c>
      <c r="C37">
        <v>1</v>
      </c>
    </row>
    <row r="38" spans="1:3" x14ac:dyDescent="0.3">
      <c r="A38" t="str">
        <f>IF(LEN(users.csv!A38) &gt; 1, "userGroup","-")</f>
        <v>userGroup</v>
      </c>
      <c r="B38">
        <v>2</v>
      </c>
      <c r="C38">
        <v>1</v>
      </c>
    </row>
    <row r="39" spans="1:3" x14ac:dyDescent="0.3">
      <c r="A39" t="str">
        <f>IF(LEN(users.csv!A39) &gt; 1, "userGroup","-")</f>
        <v>userGroup</v>
      </c>
      <c r="B39">
        <v>2</v>
      </c>
      <c r="C39">
        <v>1</v>
      </c>
    </row>
    <row r="40" spans="1:3" x14ac:dyDescent="0.3">
      <c r="A40" t="str">
        <f>IF(LEN(users.csv!A40) &gt; 1, "userGroup","-")</f>
        <v>userGroup</v>
      </c>
      <c r="B40">
        <v>2</v>
      </c>
      <c r="C40">
        <v>1</v>
      </c>
    </row>
    <row r="41" spans="1:3" x14ac:dyDescent="0.3">
      <c r="A41" t="str">
        <f>IF(LEN(users.csv!A41) &gt; 1, "userGroup","-")</f>
        <v>-</v>
      </c>
      <c r="B41">
        <v>2</v>
      </c>
      <c r="C41">
        <v>1</v>
      </c>
    </row>
    <row r="42" spans="1:3" x14ac:dyDescent="0.3">
      <c r="A42" t="str">
        <f>IF(LEN(users.csv!A42) &gt; 1, "userGroup","-")</f>
        <v>-</v>
      </c>
      <c r="B42">
        <v>2</v>
      </c>
      <c r="C42">
        <v>1</v>
      </c>
    </row>
    <row r="43" spans="1:3" x14ac:dyDescent="0.3">
      <c r="A43" t="str">
        <f>IF(LEN(users.csv!A43) &gt; 1, "userGroup","-")</f>
        <v>-</v>
      </c>
      <c r="B43">
        <v>2</v>
      </c>
      <c r="C43">
        <v>1</v>
      </c>
    </row>
    <row r="44" spans="1:3" x14ac:dyDescent="0.3">
      <c r="A44" t="str">
        <f>IF(LEN(users.csv!A44) &gt; 1, "userGroup","-")</f>
        <v>-</v>
      </c>
      <c r="B44">
        <v>2</v>
      </c>
      <c r="C44">
        <v>1</v>
      </c>
    </row>
    <row r="45" spans="1:3" x14ac:dyDescent="0.3">
      <c r="A45" t="str">
        <f>IF(LEN(users.csv!A45) &gt; 1, "userGroup","-")</f>
        <v>-</v>
      </c>
      <c r="B45">
        <v>2</v>
      </c>
      <c r="C45">
        <v>1</v>
      </c>
    </row>
    <row r="46" spans="1:3" x14ac:dyDescent="0.3">
      <c r="A46" t="str">
        <f>IF(LEN(users.csv!A46) &gt; 1, "userGroup","-")</f>
        <v>-</v>
      </c>
      <c r="B46">
        <v>2</v>
      </c>
      <c r="C46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9"/>
  <sheetViews>
    <sheetView workbookViewId="0">
      <selection activeCell="E2" sqref="E2:E19"/>
    </sheetView>
  </sheetViews>
  <sheetFormatPr defaultRowHeight="14.4" x14ac:dyDescent="0.3"/>
  <cols>
    <col min="2" max="2" width="15.77734375" bestFit="1" customWidth="1"/>
    <col min="3" max="3" width="24.109375" bestFit="1" customWidth="1"/>
    <col min="4" max="4" width="12.44140625" customWidth="1"/>
    <col min="5" max="5" width="11.5546875" bestFit="1" customWidth="1"/>
    <col min="6" max="6" width="12.44140625" bestFit="1" customWidth="1"/>
    <col min="7" max="7" width="12.44140625" customWidth="1"/>
  </cols>
  <sheetData>
    <row r="1" spans="1:8" x14ac:dyDescent="0.3">
      <c r="A1" t="s">
        <v>117</v>
      </c>
      <c r="B1" t="s">
        <v>126</v>
      </c>
      <c r="C1" t="s">
        <v>431</v>
      </c>
      <c r="D1" t="s">
        <v>3037</v>
      </c>
      <c r="E1" t="s">
        <v>3038</v>
      </c>
      <c r="F1" t="s">
        <v>3039</v>
      </c>
      <c r="G1" t="s">
        <v>3040</v>
      </c>
      <c r="H1" t="s">
        <v>3041</v>
      </c>
    </row>
    <row r="2" spans="1:8" x14ac:dyDescent="0.3">
      <c r="A2" t="s">
        <v>3042</v>
      </c>
      <c r="B2" t="str">
        <f ca="1">INDEX(Lookups!D:D,RANDBETWEEN(2,11),1)</f>
        <v>Jones Transportation</v>
      </c>
      <c r="C2" t="s">
        <v>2997</v>
      </c>
      <c r="D2" t="str">
        <f ca="1">TEXT(TODAY()-RANDBETWEEN(200,5000),"YYYY-MM-DD")</f>
        <v>2010-06-27</v>
      </c>
      <c r="E2" s="1" t="s">
        <v>5515</v>
      </c>
      <c r="F2">
        <f ca="1">RANDBETWEEN(1,30)</f>
        <v>18</v>
      </c>
      <c r="G2">
        <f ca="1">_xlfn.MINIFS(SchoolBus.csv!P:P,SchoolBus.csv!E:E,Owners.csv!#REF!)</f>
        <v>0</v>
      </c>
      <c r="H2">
        <f ca="1">COUNTIF(SchoolBus.csv!E:E,Owners.csv!#REF!)</f>
        <v>0</v>
      </c>
    </row>
    <row r="3" spans="1:8" x14ac:dyDescent="0.3">
      <c r="A3" t="s">
        <v>3042</v>
      </c>
      <c r="B3" t="str">
        <f ca="1">VLOOKUP(RANDBETWEEN(1,18),Lookups!A:G,2,FALSE)</f>
        <v>Central Vancouver Island</v>
      </c>
      <c r="C3" t="s">
        <v>2997</v>
      </c>
      <c r="D3" t="str">
        <f ca="1">TEXT(TODAY()-RANDBETWEEN(200,5000),"YYYY-MM-DD")</f>
        <v>2003-06-07</v>
      </c>
      <c r="E3" s="1" t="s">
        <v>5515</v>
      </c>
      <c r="F3">
        <f ca="1">RANDBETWEEN(1,30)</f>
        <v>29</v>
      </c>
      <c r="G3">
        <f ca="1">_xlfn.MINIFS(SchoolBus.csv!P:P,SchoolBus.csv!E:E,Owners.csv!#REF!)</f>
        <v>0</v>
      </c>
      <c r="H3">
        <f ca="1">COUNTIF(SchoolBus.csv!E:E,Owners.csv!#REF!)</f>
        <v>0</v>
      </c>
    </row>
    <row r="4" spans="1:8" x14ac:dyDescent="0.3">
      <c r="A4" t="s">
        <v>3042</v>
      </c>
      <c r="B4" t="str">
        <f ca="1">VLOOKUP(RANDBETWEEN(1,18),Lookups!A:G,2,FALSE)</f>
        <v>Trail</v>
      </c>
      <c r="C4" t="s">
        <v>2997</v>
      </c>
      <c r="D4" t="str">
        <f t="shared" ref="D4:D19" ca="1" si="0">TEXT(TODAY()-RANDBETWEEN(200,5000),"YYYY-MM-DD")</f>
        <v>2006-01-23</v>
      </c>
      <c r="E4" s="1" t="s">
        <v>5515</v>
      </c>
      <c r="F4">
        <f t="shared" ref="F4:F19" ca="1" si="1">RANDBETWEEN(1,30)</f>
        <v>9</v>
      </c>
      <c r="G4">
        <f ca="1">_xlfn.MINIFS(SchoolBus.csv!P:P,SchoolBus.csv!E:E,Owners.csv!#REF!)</f>
        <v>0</v>
      </c>
      <c r="H4">
        <f ca="1">COUNTIF(SchoolBus.csv!E:E,Owners.csv!#REF!)</f>
        <v>0</v>
      </c>
    </row>
    <row r="5" spans="1:8" x14ac:dyDescent="0.3">
      <c r="A5" t="s">
        <v>3042</v>
      </c>
      <c r="B5" t="str">
        <f ca="1">VLOOKUP(RANDBETWEEN(1,18),Lookups!A:G,2,FALSE)</f>
        <v>Smithers</v>
      </c>
      <c r="C5" t="s">
        <v>2997</v>
      </c>
      <c r="D5" t="str">
        <f t="shared" ca="1" si="0"/>
        <v>2010-04-11</v>
      </c>
      <c r="E5" s="1" t="s">
        <v>5515</v>
      </c>
      <c r="F5">
        <f t="shared" ca="1" si="1"/>
        <v>11</v>
      </c>
      <c r="G5">
        <f ca="1">_xlfn.MINIFS(SchoolBus.csv!P:P,SchoolBus.csv!E:E,Owners.csv!#REF!)</f>
        <v>0</v>
      </c>
      <c r="H5">
        <f ca="1">COUNTIF(SchoolBus.csv!E:E,Owners.csv!#REF!)</f>
        <v>0</v>
      </c>
    </row>
    <row r="6" spans="1:8" x14ac:dyDescent="0.3">
      <c r="A6" t="s">
        <v>3042</v>
      </c>
      <c r="B6" t="str">
        <f ca="1">VLOOKUP(RANDBETWEEN(1,18),Lookups!A:G,2,FALSE)</f>
        <v>Fraser Valley</v>
      </c>
      <c r="C6" t="s">
        <v>2997</v>
      </c>
      <c r="D6" t="str">
        <f t="shared" ca="1" si="0"/>
        <v>2012-05-30</v>
      </c>
      <c r="E6" s="1" t="s">
        <v>5515</v>
      </c>
      <c r="F6">
        <f t="shared" ca="1" si="1"/>
        <v>22</v>
      </c>
      <c r="G6">
        <f ca="1">_xlfn.MINIFS(SchoolBus.csv!P:P,SchoolBus.csv!E:E,Owners.csv!#REF!)</f>
        <v>0</v>
      </c>
      <c r="H6">
        <f ca="1">COUNTIF(SchoolBus.csv!E:E,Owners.csv!#REF!)</f>
        <v>0</v>
      </c>
    </row>
    <row r="7" spans="1:8" x14ac:dyDescent="0.3">
      <c r="A7" t="s">
        <v>3042</v>
      </c>
      <c r="B7" t="str">
        <f ca="1">VLOOKUP(RANDBETWEEN(1,18),Lookups!A:G,2,FALSE)</f>
        <v>Penticton</v>
      </c>
      <c r="C7" t="s">
        <v>2997</v>
      </c>
      <c r="D7" t="str">
        <f t="shared" ca="1" si="0"/>
        <v>2004-07-30</v>
      </c>
      <c r="E7" s="1" t="s">
        <v>5515</v>
      </c>
      <c r="F7">
        <f t="shared" ca="1" si="1"/>
        <v>22</v>
      </c>
      <c r="G7">
        <f ca="1">_xlfn.MINIFS(SchoolBus.csv!P:P,SchoolBus.csv!E:E,Owners.csv!#REF!)</f>
        <v>0</v>
      </c>
      <c r="H7">
        <f ca="1">COUNTIF(SchoolBus.csv!E:E,Owners.csv!#REF!)</f>
        <v>0</v>
      </c>
    </row>
    <row r="8" spans="1:8" x14ac:dyDescent="0.3">
      <c r="A8" t="s">
        <v>3042</v>
      </c>
      <c r="B8" t="str">
        <f ca="1">VLOOKUP(RANDBETWEEN(1,18),Lookups!A:G,2,FALSE)</f>
        <v>Vancouver</v>
      </c>
      <c r="C8" t="s">
        <v>2997</v>
      </c>
      <c r="D8" t="str">
        <f t="shared" ca="1" si="0"/>
        <v>2008-08-13</v>
      </c>
      <c r="E8" s="1" t="s">
        <v>5515</v>
      </c>
      <c r="F8">
        <f t="shared" ca="1" si="1"/>
        <v>6</v>
      </c>
      <c r="G8">
        <f ca="1">_xlfn.MINIFS(SchoolBus.csv!P:P,SchoolBus.csv!E:E,Owners.csv!#REF!)</f>
        <v>0</v>
      </c>
      <c r="H8">
        <f ca="1">COUNTIF(SchoolBus.csv!E:E,Owners.csv!#REF!)</f>
        <v>0</v>
      </c>
    </row>
    <row r="9" spans="1:8" x14ac:dyDescent="0.3">
      <c r="A9" t="s">
        <v>3042</v>
      </c>
      <c r="B9" t="str">
        <f ca="1">VLOOKUP(RANDBETWEEN(1,18),Lookups!A:G,2,FALSE)</f>
        <v>Dawson Creek</v>
      </c>
      <c r="C9" t="s">
        <v>2997</v>
      </c>
      <c r="D9" t="str">
        <f t="shared" ca="1" si="0"/>
        <v>2003-05-29</v>
      </c>
      <c r="E9" s="1" t="s">
        <v>5515</v>
      </c>
      <c r="F9">
        <f t="shared" ca="1" si="1"/>
        <v>30</v>
      </c>
      <c r="G9">
        <f ca="1">_xlfn.MINIFS(SchoolBus.csv!P:P,SchoolBus.csv!E:E,Owners.csv!#REF!)</f>
        <v>0</v>
      </c>
      <c r="H9">
        <f ca="1">COUNTIF(SchoolBus.csv!E:E,Owners.csv!#REF!)</f>
        <v>0</v>
      </c>
    </row>
    <row r="10" spans="1:8" x14ac:dyDescent="0.3">
      <c r="A10" t="s">
        <v>3042</v>
      </c>
      <c r="B10" t="str">
        <f ca="1">VLOOKUP(RANDBETWEEN(1,18),Lookups!A:G,2,FALSE)</f>
        <v>Vancouver</v>
      </c>
      <c r="C10" t="s">
        <v>2997</v>
      </c>
      <c r="D10" t="str">
        <f t="shared" ca="1" si="0"/>
        <v>2015-04-28</v>
      </c>
      <c r="E10" s="1" t="s">
        <v>5515</v>
      </c>
      <c r="F10">
        <f t="shared" ca="1" si="1"/>
        <v>18</v>
      </c>
      <c r="G10">
        <f ca="1">_xlfn.MINIFS(SchoolBus.csv!P:P,SchoolBus.csv!E:E,Owners.csv!#REF!)</f>
        <v>0</v>
      </c>
      <c r="H10">
        <f ca="1">COUNTIF(SchoolBus.csv!E:E,Owners.csv!#REF!)</f>
        <v>0</v>
      </c>
    </row>
    <row r="11" spans="1:8" x14ac:dyDescent="0.3">
      <c r="A11" t="s">
        <v>3042</v>
      </c>
      <c r="B11" t="str">
        <f ca="1">VLOOKUP(RANDBETWEEN(1,18),Lookups!A:G,2,FALSE)</f>
        <v>Penticton</v>
      </c>
      <c r="C11" t="s">
        <v>2997</v>
      </c>
      <c r="D11" t="str">
        <f t="shared" ca="1" si="0"/>
        <v>2006-06-04</v>
      </c>
      <c r="E11" s="1" t="s">
        <v>5515</v>
      </c>
      <c r="F11">
        <f t="shared" ca="1" si="1"/>
        <v>8</v>
      </c>
      <c r="G11">
        <f ca="1">_xlfn.MINIFS(SchoolBus.csv!P:P,SchoolBus.csv!E:E,Owners.csv!#REF!)</f>
        <v>0</v>
      </c>
      <c r="H11">
        <f ca="1">COUNTIF(SchoolBus.csv!E:E,Owners.csv!#REF!)</f>
        <v>0</v>
      </c>
    </row>
    <row r="12" spans="1:8" x14ac:dyDescent="0.3">
      <c r="A12" t="s">
        <v>3042</v>
      </c>
      <c r="B12" t="str">
        <f ca="1">VLOOKUP(RANDBETWEEN(1,18),Lookups!A:G,2,FALSE)</f>
        <v>West Kootenay</v>
      </c>
      <c r="C12" t="s">
        <v>2997</v>
      </c>
      <c r="D12" t="str">
        <f t="shared" ca="1" si="0"/>
        <v>2009-12-03</v>
      </c>
      <c r="E12" s="1" t="s">
        <v>5515</v>
      </c>
      <c r="F12">
        <f t="shared" ca="1" si="1"/>
        <v>4</v>
      </c>
      <c r="G12">
        <f ca="1">_xlfn.MINIFS(SchoolBus.csv!P:P,SchoolBus.csv!E:E,Owners.csv!#REF!)</f>
        <v>0</v>
      </c>
      <c r="H12">
        <f ca="1">COUNTIF(SchoolBus.csv!E:E,Owners.csv!#REF!)</f>
        <v>0</v>
      </c>
    </row>
    <row r="13" spans="1:8" x14ac:dyDescent="0.3">
      <c r="A13" t="s">
        <v>3042</v>
      </c>
      <c r="B13" t="str">
        <f ca="1">VLOOKUP(RANDBETWEEN(1,18),Lookups!A:G,2,FALSE)</f>
        <v>North Shore/Squamish</v>
      </c>
      <c r="C13" t="s">
        <v>2997</v>
      </c>
      <c r="D13" t="str">
        <f t="shared" ca="1" si="0"/>
        <v>2010-02-27</v>
      </c>
      <c r="E13" s="1" t="s">
        <v>5515</v>
      </c>
      <c r="F13">
        <f t="shared" ca="1" si="1"/>
        <v>19</v>
      </c>
      <c r="G13">
        <f ca="1">_xlfn.MINIFS(SchoolBus.csv!P:P,SchoolBus.csv!E:E,Owners.csv!#REF!)</f>
        <v>0</v>
      </c>
      <c r="H13">
        <f ca="1">COUNTIF(SchoolBus.csv!E:E,Owners.csv!#REF!)</f>
        <v>0</v>
      </c>
    </row>
    <row r="14" spans="1:8" x14ac:dyDescent="0.3">
      <c r="A14" t="s">
        <v>3042</v>
      </c>
      <c r="B14" t="str">
        <f ca="1">VLOOKUP(RANDBETWEEN(1,18),Lookups!A:G,2,FALSE)</f>
        <v>Rutland</v>
      </c>
      <c r="C14" t="s">
        <v>2997</v>
      </c>
      <c r="D14" t="str">
        <f t="shared" ca="1" si="0"/>
        <v>2004-10-19</v>
      </c>
      <c r="E14" s="1" t="s">
        <v>5515</v>
      </c>
      <c r="F14">
        <f t="shared" ca="1" si="1"/>
        <v>28</v>
      </c>
      <c r="G14">
        <f ca="1">_xlfn.MINIFS(SchoolBus.csv!P:P,SchoolBus.csv!E:E,Owners.csv!#REF!)</f>
        <v>0</v>
      </c>
      <c r="H14">
        <f ca="1">COUNTIF(SchoolBus.csv!E:E,Owners.csv!#REF!)</f>
        <v>0</v>
      </c>
    </row>
    <row r="15" spans="1:8" x14ac:dyDescent="0.3">
      <c r="A15" t="s">
        <v>3042</v>
      </c>
      <c r="B15" t="str">
        <f ca="1">VLOOKUP(RANDBETWEEN(1,18),Lookups!A:G,2,FALSE)</f>
        <v>North Vancouver Island</v>
      </c>
      <c r="C15" t="s">
        <v>2997</v>
      </c>
      <c r="D15" t="str">
        <f t="shared" ca="1" si="0"/>
        <v>2006-03-07</v>
      </c>
      <c r="E15" s="1" t="s">
        <v>5515</v>
      </c>
      <c r="F15">
        <f t="shared" ca="1" si="1"/>
        <v>5</v>
      </c>
      <c r="G15">
        <f ca="1">_xlfn.MINIFS(SchoolBus.csv!P:P,SchoolBus.csv!E:E,Owners.csv!#REF!)</f>
        <v>0</v>
      </c>
      <c r="H15">
        <f ca="1">COUNTIF(SchoolBus.csv!E:E,Owners.csv!#REF!)</f>
        <v>0</v>
      </c>
    </row>
    <row r="16" spans="1:8" x14ac:dyDescent="0.3">
      <c r="A16" t="s">
        <v>3042</v>
      </c>
      <c r="B16" t="str">
        <f ca="1">VLOOKUP(RANDBETWEEN(1,18),Lookups!A:G,2,FALSE)</f>
        <v>Prince George</v>
      </c>
      <c r="C16" t="s">
        <v>2997</v>
      </c>
      <c r="D16" t="str">
        <f t="shared" ca="1" si="0"/>
        <v>2016-05-21</v>
      </c>
      <c r="E16" s="1" t="s">
        <v>5515</v>
      </c>
      <c r="F16">
        <f t="shared" ca="1" si="1"/>
        <v>29</v>
      </c>
      <c r="G16">
        <f ca="1">_xlfn.MINIFS(SchoolBus.csv!P:P,SchoolBus.csv!E:E,Owners.csv!#REF!)</f>
        <v>0</v>
      </c>
      <c r="H16">
        <f ca="1">COUNTIF(SchoolBus.csv!E:E,Owners.csv!#REF!)</f>
        <v>0</v>
      </c>
    </row>
    <row r="17" spans="1:8" x14ac:dyDescent="0.3">
      <c r="A17" t="s">
        <v>3042</v>
      </c>
      <c r="B17" t="str">
        <f ca="1">VLOOKUP(RANDBETWEEN(1,18),Lookups!A:G,2,FALSE)</f>
        <v>Central Vancouver Island</v>
      </c>
      <c r="C17" t="s">
        <v>2997</v>
      </c>
      <c r="D17" t="str">
        <f t="shared" ca="1" si="0"/>
        <v>2010-10-07</v>
      </c>
      <c r="E17" s="1" t="s">
        <v>5515</v>
      </c>
      <c r="F17">
        <f t="shared" ca="1" si="1"/>
        <v>1</v>
      </c>
      <c r="G17">
        <f ca="1">_xlfn.MINIFS(SchoolBus.csv!P:P,SchoolBus.csv!E:E,Owners.csv!#REF!)</f>
        <v>0</v>
      </c>
      <c r="H17">
        <f ca="1">COUNTIF(SchoolBus.csv!E:E,Owners.csv!#REF!)</f>
        <v>0</v>
      </c>
    </row>
    <row r="18" spans="1:8" x14ac:dyDescent="0.3">
      <c r="A18" t="s">
        <v>3042</v>
      </c>
      <c r="B18" t="str">
        <f ca="1">VLOOKUP(RANDBETWEEN(1,18),Lookups!A:G,2,FALSE)</f>
        <v>East Kootenay</v>
      </c>
      <c r="C18" t="s">
        <v>2997</v>
      </c>
      <c r="D18" t="str">
        <f t="shared" ca="1" si="0"/>
        <v>2007-11-03</v>
      </c>
      <c r="E18" s="1" t="s">
        <v>5515</v>
      </c>
      <c r="F18">
        <f t="shared" ca="1" si="1"/>
        <v>29</v>
      </c>
      <c r="G18">
        <f ca="1">_xlfn.MINIFS(SchoolBus.csv!P:P,SchoolBus.csv!E:E,Owners.csv!#REF!)</f>
        <v>0</v>
      </c>
      <c r="H18">
        <f ca="1">COUNTIF(SchoolBus.csv!E:E,Owners.csv!#REF!)</f>
        <v>0</v>
      </c>
    </row>
    <row r="19" spans="1:8" x14ac:dyDescent="0.3">
      <c r="A19" t="s">
        <v>3042</v>
      </c>
      <c r="B19" t="str">
        <f ca="1">VLOOKUP(RANDBETWEEN(1,18),Lookups!A:G,2,FALSE)</f>
        <v>Trail</v>
      </c>
      <c r="C19" t="s">
        <v>2997</v>
      </c>
      <c r="D19" t="str">
        <f t="shared" ca="1" si="0"/>
        <v>2011-05-21</v>
      </c>
      <c r="E19" s="1" t="s">
        <v>5515</v>
      </c>
      <c r="F19">
        <f t="shared" ca="1" si="1"/>
        <v>16</v>
      </c>
      <c r="G19">
        <f ca="1">_xlfn.MINIFS(SchoolBus.csv!P:P,SchoolBus.csv!E:E,Owners.csv!#REF!)</f>
        <v>0</v>
      </c>
      <c r="H19">
        <f ca="1">COUNTIF(SchoolBus.csv!E:E,Owners.csv!#REF!)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B1" sqref="B1:B1048576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3" x14ac:dyDescent="0.3">
      <c r="A1" t="s">
        <v>117</v>
      </c>
      <c r="B1" t="s">
        <v>115</v>
      </c>
      <c r="C1" t="s">
        <v>116</v>
      </c>
    </row>
    <row r="2" spans="1:3" x14ac:dyDescent="0.3">
      <c r="A2" t="s">
        <v>118</v>
      </c>
      <c r="B2" t="s">
        <v>5445</v>
      </c>
      <c r="C2" t="str">
        <f>SUBSTITUTE(B2,"School District","SD")</f>
        <v>SD 5</v>
      </c>
    </row>
    <row r="3" spans="1:3" x14ac:dyDescent="0.3">
      <c r="A3" t="s">
        <v>118</v>
      </c>
      <c r="B3" t="s">
        <v>5446</v>
      </c>
      <c r="C3" t="str">
        <f t="shared" ref="C3:C48" si="0">SUBSTITUTE(B3,"School District","SD")</f>
        <v>SD 6</v>
      </c>
    </row>
    <row r="4" spans="1:3" x14ac:dyDescent="0.3">
      <c r="A4" t="s">
        <v>118</v>
      </c>
      <c r="B4" t="s">
        <v>5447</v>
      </c>
      <c r="C4" t="str">
        <f t="shared" si="0"/>
        <v>SD 8</v>
      </c>
    </row>
    <row r="5" spans="1:3" x14ac:dyDescent="0.3">
      <c r="A5" t="s">
        <v>118</v>
      </c>
      <c r="B5" t="s">
        <v>5448</v>
      </c>
      <c r="C5" t="str">
        <f t="shared" si="0"/>
        <v>SD 10</v>
      </c>
    </row>
    <row r="6" spans="1:3" x14ac:dyDescent="0.3">
      <c r="A6" t="s">
        <v>118</v>
      </c>
      <c r="B6" t="s">
        <v>5449</v>
      </c>
      <c r="C6" t="str">
        <f t="shared" si="0"/>
        <v>SD 19</v>
      </c>
    </row>
    <row r="7" spans="1:3" x14ac:dyDescent="0.3">
      <c r="A7" t="s">
        <v>118</v>
      </c>
      <c r="B7" t="s">
        <v>5450</v>
      </c>
      <c r="C7" t="str">
        <f t="shared" si="0"/>
        <v>SD 20</v>
      </c>
    </row>
    <row r="8" spans="1:3" x14ac:dyDescent="0.3">
      <c r="A8" t="s">
        <v>118</v>
      </c>
      <c r="B8" t="s">
        <v>5451</v>
      </c>
      <c r="C8" t="str">
        <f t="shared" si="0"/>
        <v>SD 22</v>
      </c>
    </row>
    <row r="9" spans="1:3" x14ac:dyDescent="0.3">
      <c r="A9" t="s">
        <v>118</v>
      </c>
      <c r="B9" t="s">
        <v>5452</v>
      </c>
      <c r="C9" t="str">
        <f t="shared" si="0"/>
        <v>SD 27</v>
      </c>
    </row>
    <row r="10" spans="1:3" x14ac:dyDescent="0.3">
      <c r="A10" t="s">
        <v>118</v>
      </c>
      <c r="B10" t="s">
        <v>5453</v>
      </c>
      <c r="C10" t="str">
        <f t="shared" si="0"/>
        <v>SD 28</v>
      </c>
    </row>
    <row r="11" spans="1:3" x14ac:dyDescent="0.3">
      <c r="A11" t="s">
        <v>118</v>
      </c>
      <c r="B11" t="s">
        <v>5454</v>
      </c>
      <c r="C11" t="str">
        <f t="shared" si="0"/>
        <v>SD 33</v>
      </c>
    </row>
    <row r="12" spans="1:3" x14ac:dyDescent="0.3">
      <c r="A12" t="s">
        <v>118</v>
      </c>
      <c r="B12" t="s">
        <v>5455</v>
      </c>
      <c r="C12" t="str">
        <f t="shared" si="0"/>
        <v>SD 34</v>
      </c>
    </row>
    <row r="13" spans="1:3" x14ac:dyDescent="0.3">
      <c r="A13" t="s">
        <v>118</v>
      </c>
      <c r="B13" t="s">
        <v>5456</v>
      </c>
      <c r="C13" t="str">
        <f t="shared" si="0"/>
        <v>SD 35</v>
      </c>
    </row>
    <row r="14" spans="1:3" x14ac:dyDescent="0.3">
      <c r="A14" t="s">
        <v>118</v>
      </c>
      <c r="B14" t="s">
        <v>5457</v>
      </c>
      <c r="C14" t="str">
        <f t="shared" si="0"/>
        <v>SD 36</v>
      </c>
    </row>
    <row r="15" spans="1:3" x14ac:dyDescent="0.3">
      <c r="A15" t="s">
        <v>118</v>
      </c>
      <c r="B15" t="s">
        <v>5458</v>
      </c>
      <c r="C15" t="str">
        <f t="shared" si="0"/>
        <v>SD 37</v>
      </c>
    </row>
    <row r="16" spans="1:3" x14ac:dyDescent="0.3">
      <c r="A16" t="s">
        <v>118</v>
      </c>
      <c r="B16" t="s">
        <v>5459</v>
      </c>
      <c r="C16" t="str">
        <f t="shared" si="0"/>
        <v>SD 38</v>
      </c>
    </row>
    <row r="17" spans="1:3" x14ac:dyDescent="0.3">
      <c r="A17" t="s">
        <v>118</v>
      </c>
      <c r="B17" t="s">
        <v>5460</v>
      </c>
      <c r="C17" t="str">
        <f t="shared" si="0"/>
        <v>SD 42</v>
      </c>
    </row>
    <row r="18" spans="1:3" x14ac:dyDescent="0.3">
      <c r="A18" t="s">
        <v>118</v>
      </c>
      <c r="B18" t="s">
        <v>5461</v>
      </c>
      <c r="C18" t="str">
        <f t="shared" si="0"/>
        <v>SD 43</v>
      </c>
    </row>
    <row r="19" spans="1:3" x14ac:dyDescent="0.3">
      <c r="A19" t="s">
        <v>118</v>
      </c>
      <c r="B19" t="s">
        <v>5462</v>
      </c>
      <c r="C19" t="str">
        <f t="shared" si="0"/>
        <v>SD 44</v>
      </c>
    </row>
    <row r="20" spans="1:3" x14ac:dyDescent="0.3">
      <c r="A20" t="s">
        <v>118</v>
      </c>
      <c r="B20" t="s">
        <v>5463</v>
      </c>
      <c r="C20" t="str">
        <f t="shared" si="0"/>
        <v>SD 46</v>
      </c>
    </row>
    <row r="21" spans="1:3" x14ac:dyDescent="0.3">
      <c r="A21" t="s">
        <v>118</v>
      </c>
      <c r="B21" t="s">
        <v>5464</v>
      </c>
      <c r="C21" t="str">
        <f t="shared" si="0"/>
        <v>SD 47</v>
      </c>
    </row>
    <row r="22" spans="1:3" x14ac:dyDescent="0.3">
      <c r="A22" t="s">
        <v>118</v>
      </c>
      <c r="B22" t="s">
        <v>5465</v>
      </c>
      <c r="C22" t="str">
        <f t="shared" si="0"/>
        <v>SD 48</v>
      </c>
    </row>
    <row r="23" spans="1:3" x14ac:dyDescent="0.3">
      <c r="A23" t="s">
        <v>118</v>
      </c>
      <c r="B23" t="s">
        <v>5466</v>
      </c>
      <c r="C23" t="str">
        <f t="shared" si="0"/>
        <v>SD 49</v>
      </c>
    </row>
    <row r="24" spans="1:3" x14ac:dyDescent="0.3">
      <c r="A24" t="s">
        <v>118</v>
      </c>
      <c r="B24" t="s">
        <v>5467</v>
      </c>
      <c r="C24" t="str">
        <f t="shared" si="0"/>
        <v>SD 51</v>
      </c>
    </row>
    <row r="25" spans="1:3" x14ac:dyDescent="0.3">
      <c r="A25" t="s">
        <v>118</v>
      </c>
      <c r="B25" t="s">
        <v>5468</v>
      </c>
      <c r="C25" t="str">
        <f t="shared" si="0"/>
        <v>SD 52</v>
      </c>
    </row>
    <row r="26" spans="1:3" x14ac:dyDescent="0.3">
      <c r="A26" t="s">
        <v>118</v>
      </c>
      <c r="B26" t="s">
        <v>5469</v>
      </c>
      <c r="C26" t="str">
        <f t="shared" si="0"/>
        <v>SD 53</v>
      </c>
    </row>
    <row r="27" spans="1:3" x14ac:dyDescent="0.3">
      <c r="A27" t="s">
        <v>118</v>
      </c>
      <c r="B27" t="s">
        <v>5470</v>
      </c>
      <c r="C27" t="str">
        <f t="shared" si="0"/>
        <v>SD 54</v>
      </c>
    </row>
    <row r="28" spans="1:3" x14ac:dyDescent="0.3">
      <c r="A28" t="s">
        <v>118</v>
      </c>
      <c r="B28" t="s">
        <v>5471</v>
      </c>
      <c r="C28" t="str">
        <f t="shared" si="0"/>
        <v>SD 58</v>
      </c>
    </row>
    <row r="29" spans="1:3" x14ac:dyDescent="0.3">
      <c r="A29" t="s">
        <v>118</v>
      </c>
      <c r="B29" t="s">
        <v>5472</v>
      </c>
      <c r="C29" t="str">
        <f t="shared" si="0"/>
        <v>SD 59</v>
      </c>
    </row>
    <row r="30" spans="1:3" x14ac:dyDescent="0.3">
      <c r="A30" t="s">
        <v>118</v>
      </c>
      <c r="B30" t="s">
        <v>5473</v>
      </c>
      <c r="C30" t="str">
        <f t="shared" si="0"/>
        <v>SD 60</v>
      </c>
    </row>
    <row r="31" spans="1:3" x14ac:dyDescent="0.3">
      <c r="A31" t="s">
        <v>118</v>
      </c>
      <c r="B31" t="s">
        <v>20</v>
      </c>
      <c r="C31" t="str">
        <f t="shared" si="0"/>
        <v>SD 62</v>
      </c>
    </row>
    <row r="32" spans="1:3" x14ac:dyDescent="0.3">
      <c r="A32" t="s">
        <v>118</v>
      </c>
      <c r="B32" t="s">
        <v>5474</v>
      </c>
      <c r="C32" t="str">
        <f t="shared" si="0"/>
        <v>SD 63</v>
      </c>
    </row>
    <row r="33" spans="1:3" x14ac:dyDescent="0.3">
      <c r="A33" t="s">
        <v>118</v>
      </c>
      <c r="B33" t="s">
        <v>5475</v>
      </c>
      <c r="C33" t="str">
        <f t="shared" si="0"/>
        <v>SD 64</v>
      </c>
    </row>
    <row r="34" spans="1:3" x14ac:dyDescent="0.3">
      <c r="A34" t="s">
        <v>118</v>
      </c>
      <c r="B34" t="s">
        <v>5476</v>
      </c>
      <c r="C34" t="str">
        <f t="shared" si="0"/>
        <v>SD 67</v>
      </c>
    </row>
    <row r="35" spans="1:3" x14ac:dyDescent="0.3">
      <c r="A35" t="s">
        <v>118</v>
      </c>
      <c r="B35" t="s">
        <v>5477</v>
      </c>
      <c r="C35" t="str">
        <f t="shared" si="0"/>
        <v>SD 68</v>
      </c>
    </row>
    <row r="36" spans="1:3" x14ac:dyDescent="0.3">
      <c r="A36" t="s">
        <v>118</v>
      </c>
      <c r="B36" t="s">
        <v>5478</v>
      </c>
      <c r="C36" t="str">
        <f t="shared" si="0"/>
        <v>SD 69</v>
      </c>
    </row>
    <row r="37" spans="1:3" x14ac:dyDescent="0.3">
      <c r="A37" t="s">
        <v>118</v>
      </c>
      <c r="B37" t="s">
        <v>5479</v>
      </c>
      <c r="C37" t="str">
        <f t="shared" si="0"/>
        <v>SD 70</v>
      </c>
    </row>
    <row r="38" spans="1:3" x14ac:dyDescent="0.3">
      <c r="A38" t="s">
        <v>118</v>
      </c>
      <c r="B38" t="s">
        <v>5480</v>
      </c>
      <c r="C38" t="str">
        <f t="shared" si="0"/>
        <v>SD 71</v>
      </c>
    </row>
    <row r="39" spans="1:3" x14ac:dyDescent="0.3">
      <c r="A39" t="s">
        <v>118</v>
      </c>
      <c r="B39" t="s">
        <v>5481</v>
      </c>
      <c r="C39" t="str">
        <f t="shared" si="0"/>
        <v>SD 72</v>
      </c>
    </row>
    <row r="40" spans="1:3" x14ac:dyDescent="0.3">
      <c r="A40" t="s">
        <v>118</v>
      </c>
      <c r="B40" t="s">
        <v>5482</v>
      </c>
      <c r="C40" t="str">
        <f t="shared" si="0"/>
        <v>SD 73</v>
      </c>
    </row>
    <row r="41" spans="1:3" x14ac:dyDescent="0.3">
      <c r="A41" t="s">
        <v>118</v>
      </c>
      <c r="B41" t="s">
        <v>5483</v>
      </c>
      <c r="C41" t="str">
        <f t="shared" si="0"/>
        <v>SD 74</v>
      </c>
    </row>
    <row r="42" spans="1:3" x14ac:dyDescent="0.3">
      <c r="A42" t="s">
        <v>118</v>
      </c>
      <c r="B42" t="s">
        <v>5484</v>
      </c>
      <c r="C42" t="str">
        <f t="shared" si="0"/>
        <v>SD 75</v>
      </c>
    </row>
    <row r="43" spans="1:3" x14ac:dyDescent="0.3">
      <c r="A43" t="s">
        <v>118</v>
      </c>
      <c r="B43" t="s">
        <v>5485</v>
      </c>
      <c r="C43" t="str">
        <f t="shared" si="0"/>
        <v>SD 78</v>
      </c>
    </row>
    <row r="44" spans="1:3" x14ac:dyDescent="0.3">
      <c r="A44" t="s">
        <v>118</v>
      </c>
      <c r="B44" t="s">
        <v>5486</v>
      </c>
      <c r="C44" t="str">
        <f t="shared" si="0"/>
        <v>SD 79</v>
      </c>
    </row>
    <row r="45" spans="1:3" x14ac:dyDescent="0.3">
      <c r="A45" t="s">
        <v>118</v>
      </c>
      <c r="B45" t="s">
        <v>5487</v>
      </c>
      <c r="C45" t="str">
        <f t="shared" si="0"/>
        <v>SD 83</v>
      </c>
    </row>
    <row r="46" spans="1:3" x14ac:dyDescent="0.3">
      <c r="A46" t="s">
        <v>118</v>
      </c>
      <c r="B46" t="s">
        <v>5488</v>
      </c>
      <c r="C46" t="str">
        <f t="shared" si="0"/>
        <v>SD 84</v>
      </c>
    </row>
    <row r="47" spans="1:3" x14ac:dyDescent="0.3">
      <c r="A47" t="s">
        <v>118</v>
      </c>
      <c r="B47" t="s">
        <v>5489</v>
      </c>
      <c r="C47" t="str">
        <f t="shared" si="0"/>
        <v>SD 85</v>
      </c>
    </row>
    <row r="48" spans="1:3" x14ac:dyDescent="0.3">
      <c r="A48" t="s">
        <v>118</v>
      </c>
      <c r="B48" t="s">
        <v>5490</v>
      </c>
      <c r="C48" t="str">
        <f t="shared" si="0"/>
        <v>SD 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"/>
  <sheetViews>
    <sheetView workbookViewId="0">
      <selection activeCell="D2" sqref="D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5" x14ac:dyDescent="0.3">
      <c r="A1" t="s">
        <v>117</v>
      </c>
      <c r="B1" t="s">
        <v>120</v>
      </c>
      <c r="C1" t="s">
        <v>115</v>
      </c>
      <c r="D1" t="s">
        <v>121</v>
      </c>
      <c r="E1" t="s">
        <v>122</v>
      </c>
    </row>
    <row r="2" spans="1:5" x14ac:dyDescent="0.3">
      <c r="A2" t="s">
        <v>119</v>
      </c>
      <c r="B2">
        <v>1</v>
      </c>
      <c r="C2" t="s">
        <v>3071</v>
      </c>
      <c r="D2" s="3" t="str">
        <f>TEXT("2009-01-01","YYYY-MM-DD")</f>
        <v>2009-01-01</v>
      </c>
      <c r="E2" t="s">
        <v>130</v>
      </c>
    </row>
    <row r="3" spans="1:5" x14ac:dyDescent="0.3">
      <c r="A3" t="s">
        <v>119</v>
      </c>
      <c r="B3">
        <v>2</v>
      </c>
      <c r="C3" t="s">
        <v>3072</v>
      </c>
      <c r="D3" s="3" t="str">
        <f>TEXT("2009-01-01","YYYY-MM-DD")</f>
        <v>2009-01-01</v>
      </c>
      <c r="E3" t="s">
        <v>130</v>
      </c>
    </row>
    <row r="4" spans="1:5" x14ac:dyDescent="0.3">
      <c r="A4" t="s">
        <v>119</v>
      </c>
      <c r="B4">
        <v>3</v>
      </c>
      <c r="C4" t="s">
        <v>3073</v>
      </c>
      <c r="D4" s="3" t="str">
        <f>TEXT("2009-01-01","YYYY-MM-DD")</f>
        <v>2009-01-01</v>
      </c>
      <c r="E4" t="s">
        <v>130</v>
      </c>
    </row>
    <row r="5" spans="1:5" x14ac:dyDescent="0.3">
      <c r="A5" t="s">
        <v>119</v>
      </c>
      <c r="B5">
        <v>99</v>
      </c>
      <c r="C5" t="s">
        <v>3069</v>
      </c>
      <c r="D5" s="3" t="str">
        <f>TEXT("2009-01-01","YYYY-MM-DD")</f>
        <v>2009-01-01</v>
      </c>
      <c r="E5" t="s">
        <v>130</v>
      </c>
    </row>
    <row r="6" spans="1:5" x14ac:dyDescent="0.3">
      <c r="A6" t="s">
        <v>119</v>
      </c>
      <c r="B6">
        <v>999</v>
      </c>
      <c r="C6" t="s">
        <v>3070</v>
      </c>
      <c r="D6" s="3" t="str">
        <f>TEXT("2009-01-01","YYYY-MM-DD")</f>
        <v>2009-01-01</v>
      </c>
      <c r="E6" t="s">
        <v>130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4"/>
  <sheetViews>
    <sheetView workbookViewId="0"/>
  </sheetViews>
  <sheetFormatPr defaultRowHeight="14.4" x14ac:dyDescent="0.3"/>
  <cols>
    <col min="2" max="2" width="10.109375" bestFit="1" customWidth="1"/>
    <col min="3" max="3" width="13.33203125" bestFit="1" customWidth="1"/>
    <col min="4" max="4" width="18" bestFit="1" customWidth="1"/>
    <col min="5" max="5" width="11" customWidth="1"/>
  </cols>
  <sheetData>
    <row r="1" spans="1:6" x14ac:dyDescent="0.3">
      <c r="A1" t="s">
        <v>117</v>
      </c>
      <c r="B1" t="s">
        <v>124</v>
      </c>
      <c r="C1" t="s">
        <v>125</v>
      </c>
      <c r="D1" t="s">
        <v>126</v>
      </c>
      <c r="E1" t="s">
        <v>121</v>
      </c>
      <c r="F1" t="s">
        <v>122</v>
      </c>
    </row>
    <row r="2" spans="1:6" x14ac:dyDescent="0.3">
      <c r="A2" t="s">
        <v>123</v>
      </c>
      <c r="B2" t="s">
        <v>5516</v>
      </c>
      <c r="C2">
        <v>1</v>
      </c>
      <c r="D2" t="s">
        <v>3048</v>
      </c>
      <c r="E2" s="3" t="str">
        <f>TEXT("2009-01-01","YYYY-MM-DD")</f>
        <v>2009-01-01</v>
      </c>
      <c r="F2" t="s">
        <v>130</v>
      </c>
    </row>
    <row r="3" spans="1:6" x14ac:dyDescent="0.3">
      <c r="A3" t="s">
        <v>123</v>
      </c>
      <c r="B3" t="s">
        <v>5516</v>
      </c>
      <c r="C3">
        <v>2</v>
      </c>
      <c r="D3" t="s">
        <v>3074</v>
      </c>
      <c r="E3" s="3" t="str">
        <f t="shared" ref="E3:E14" si="0">TEXT("2009-01-01","YYYY-MM-DD")</f>
        <v>2009-01-01</v>
      </c>
      <c r="F3" t="s">
        <v>130</v>
      </c>
    </row>
    <row r="4" spans="1:6" x14ac:dyDescent="0.3">
      <c r="A4" t="s">
        <v>123</v>
      </c>
      <c r="B4" t="s">
        <v>5517</v>
      </c>
      <c r="C4">
        <v>3</v>
      </c>
      <c r="D4" t="s">
        <v>3075</v>
      </c>
      <c r="E4" s="3" t="str">
        <f t="shared" si="0"/>
        <v>2009-01-01</v>
      </c>
      <c r="F4" t="s">
        <v>130</v>
      </c>
    </row>
    <row r="5" spans="1:6" x14ac:dyDescent="0.3">
      <c r="A5" t="s">
        <v>123</v>
      </c>
      <c r="B5" t="s">
        <v>5517</v>
      </c>
      <c r="C5">
        <v>4</v>
      </c>
      <c r="D5" t="s">
        <v>41</v>
      </c>
      <c r="E5" s="3" t="str">
        <f t="shared" si="0"/>
        <v>2009-01-01</v>
      </c>
      <c r="F5" t="s">
        <v>130</v>
      </c>
    </row>
    <row r="6" spans="1:6" x14ac:dyDescent="0.3">
      <c r="A6" t="s">
        <v>123</v>
      </c>
      <c r="B6" t="s">
        <v>5517</v>
      </c>
      <c r="C6">
        <v>5</v>
      </c>
      <c r="D6" t="s">
        <v>3076</v>
      </c>
      <c r="E6" s="3" t="str">
        <f t="shared" si="0"/>
        <v>2009-01-01</v>
      </c>
      <c r="F6" t="s">
        <v>130</v>
      </c>
    </row>
    <row r="7" spans="1:6" x14ac:dyDescent="0.3">
      <c r="A7" t="s">
        <v>123</v>
      </c>
      <c r="B7" t="s">
        <v>5517</v>
      </c>
      <c r="C7">
        <v>6</v>
      </c>
      <c r="D7" t="s">
        <v>3077</v>
      </c>
      <c r="E7" s="3" t="str">
        <f t="shared" si="0"/>
        <v>2009-01-01</v>
      </c>
      <c r="F7" t="s">
        <v>130</v>
      </c>
    </row>
    <row r="8" spans="1:6" x14ac:dyDescent="0.3">
      <c r="A8" t="s">
        <v>123</v>
      </c>
      <c r="B8" t="s">
        <v>5517</v>
      </c>
      <c r="C8">
        <v>7</v>
      </c>
      <c r="D8" t="s">
        <v>3078</v>
      </c>
      <c r="E8" s="3" t="str">
        <f t="shared" si="0"/>
        <v>2009-01-01</v>
      </c>
      <c r="F8" t="s">
        <v>130</v>
      </c>
    </row>
    <row r="9" spans="1:6" x14ac:dyDescent="0.3">
      <c r="A9" t="s">
        <v>123</v>
      </c>
      <c r="B9" t="s">
        <v>5518</v>
      </c>
      <c r="C9">
        <v>8</v>
      </c>
      <c r="D9" t="s">
        <v>3079</v>
      </c>
      <c r="E9" s="3" t="str">
        <f t="shared" si="0"/>
        <v>2009-01-01</v>
      </c>
      <c r="F9" t="s">
        <v>130</v>
      </c>
    </row>
    <row r="10" spans="1:6" x14ac:dyDescent="0.3">
      <c r="A10" t="s">
        <v>123</v>
      </c>
      <c r="B10" t="s">
        <v>5518</v>
      </c>
      <c r="C10">
        <v>9</v>
      </c>
      <c r="D10" t="s">
        <v>3059</v>
      </c>
      <c r="E10" s="3" t="str">
        <f t="shared" si="0"/>
        <v>2009-01-01</v>
      </c>
      <c r="F10" t="s">
        <v>130</v>
      </c>
    </row>
    <row r="11" spans="1:6" x14ac:dyDescent="0.3">
      <c r="A11" t="s">
        <v>123</v>
      </c>
      <c r="B11" t="s">
        <v>5518</v>
      </c>
      <c r="C11">
        <v>10</v>
      </c>
      <c r="D11" t="s">
        <v>3080</v>
      </c>
      <c r="E11" s="3" t="str">
        <f t="shared" si="0"/>
        <v>2009-01-01</v>
      </c>
      <c r="F11" t="s">
        <v>130</v>
      </c>
    </row>
    <row r="12" spans="1:6" x14ac:dyDescent="0.3">
      <c r="A12" t="s">
        <v>123</v>
      </c>
      <c r="B12" t="s">
        <v>5518</v>
      </c>
      <c r="C12">
        <v>11</v>
      </c>
      <c r="D12" t="s">
        <v>3066</v>
      </c>
      <c r="E12" s="3" t="str">
        <f t="shared" si="0"/>
        <v>2009-01-01</v>
      </c>
      <c r="F12" t="s">
        <v>130</v>
      </c>
    </row>
    <row r="13" spans="1:6" x14ac:dyDescent="0.3">
      <c r="A13" t="s">
        <v>123</v>
      </c>
      <c r="B13" t="s">
        <v>5519</v>
      </c>
      <c r="C13">
        <v>99</v>
      </c>
      <c r="D13" t="s">
        <v>3069</v>
      </c>
      <c r="E13" s="3" t="str">
        <f t="shared" si="0"/>
        <v>2009-01-01</v>
      </c>
      <c r="F13" t="s">
        <v>130</v>
      </c>
    </row>
    <row r="14" spans="1:6" x14ac:dyDescent="0.3">
      <c r="A14" t="s">
        <v>123</v>
      </c>
      <c r="B14" t="s">
        <v>5520</v>
      </c>
      <c r="C14">
        <v>999</v>
      </c>
      <c r="D14" t="s">
        <v>3070</v>
      </c>
      <c r="E14" s="3" t="str">
        <f t="shared" si="0"/>
        <v>2009-01-01</v>
      </c>
      <c r="F14" t="s">
        <v>130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1"/>
  <sheetViews>
    <sheetView workbookViewId="0">
      <selection activeCell="G1" sqref="G1:G1048576"/>
    </sheetView>
  </sheetViews>
  <sheetFormatPr defaultRowHeight="14.4" x14ac:dyDescent="0.3"/>
  <cols>
    <col min="1" max="1" width="10.5546875" bestFit="1" customWidth="1"/>
    <col min="2" max="2" width="6.109375" customWidth="1"/>
    <col min="3" max="3" width="13.33203125" customWidth="1"/>
    <col min="4" max="4" width="18" customWidth="1"/>
    <col min="5" max="5" width="11" customWidth="1"/>
  </cols>
  <sheetData>
    <row r="1" spans="1:6" x14ac:dyDescent="0.3">
      <c r="A1" t="s">
        <v>117</v>
      </c>
      <c r="B1" t="s">
        <v>128</v>
      </c>
      <c r="C1" t="s">
        <v>129</v>
      </c>
      <c r="D1" t="s">
        <v>126</v>
      </c>
      <c r="E1" t="s">
        <v>121</v>
      </c>
      <c r="F1" t="s">
        <v>122</v>
      </c>
    </row>
    <row r="2" spans="1:6" x14ac:dyDescent="0.3">
      <c r="A2" t="s">
        <v>127</v>
      </c>
      <c r="B2" t="s">
        <v>5517</v>
      </c>
      <c r="C2">
        <v>1</v>
      </c>
      <c r="D2" t="s">
        <v>3043</v>
      </c>
      <c r="E2" s="3" t="str">
        <f t="shared" ref="E2:E31" si="0">TEXT("2009-01-01","YYYY-MM-DD")</f>
        <v>2009-01-01</v>
      </c>
      <c r="F2" t="s">
        <v>130</v>
      </c>
    </row>
    <row r="3" spans="1:6" x14ac:dyDescent="0.3">
      <c r="A3" t="s">
        <v>127</v>
      </c>
      <c r="B3" t="s">
        <v>5517</v>
      </c>
      <c r="C3">
        <v>2</v>
      </c>
      <c r="D3" t="s">
        <v>3044</v>
      </c>
      <c r="E3" s="3" t="str">
        <f t="shared" si="0"/>
        <v>2009-01-01</v>
      </c>
      <c r="F3" t="s">
        <v>130</v>
      </c>
    </row>
    <row r="4" spans="1:6" x14ac:dyDescent="0.3">
      <c r="A4" t="s">
        <v>127</v>
      </c>
      <c r="B4" t="s">
        <v>5517</v>
      </c>
      <c r="C4">
        <v>3</v>
      </c>
      <c r="D4" t="s">
        <v>3045</v>
      </c>
      <c r="E4" s="3" t="str">
        <f t="shared" si="0"/>
        <v>2009-01-01</v>
      </c>
      <c r="F4" t="s">
        <v>130</v>
      </c>
    </row>
    <row r="5" spans="1:6" x14ac:dyDescent="0.3">
      <c r="A5" t="s">
        <v>127</v>
      </c>
      <c r="B5" t="s">
        <v>5516</v>
      </c>
      <c r="C5">
        <v>4</v>
      </c>
      <c r="D5" t="s">
        <v>3046</v>
      </c>
      <c r="E5" s="3" t="str">
        <f t="shared" si="0"/>
        <v>2009-01-01</v>
      </c>
      <c r="F5" t="s">
        <v>130</v>
      </c>
    </row>
    <row r="6" spans="1:6" x14ac:dyDescent="0.3">
      <c r="A6" t="s">
        <v>127</v>
      </c>
      <c r="B6" t="s">
        <v>5516</v>
      </c>
      <c r="C6">
        <v>5</v>
      </c>
      <c r="D6" t="s">
        <v>3047</v>
      </c>
      <c r="E6" s="3" t="str">
        <f t="shared" si="0"/>
        <v>2009-01-01</v>
      </c>
      <c r="F6" t="s">
        <v>130</v>
      </c>
    </row>
    <row r="7" spans="1:6" x14ac:dyDescent="0.3">
      <c r="A7" t="s">
        <v>127</v>
      </c>
      <c r="B7" t="s">
        <v>5516</v>
      </c>
      <c r="C7">
        <v>6</v>
      </c>
      <c r="D7" t="s">
        <v>3048</v>
      </c>
      <c r="E7" s="3" t="str">
        <f t="shared" si="0"/>
        <v>2009-01-01</v>
      </c>
      <c r="F7" t="s">
        <v>130</v>
      </c>
    </row>
    <row r="8" spans="1:6" x14ac:dyDescent="0.3">
      <c r="A8" t="s">
        <v>127</v>
      </c>
      <c r="B8" t="s">
        <v>5516</v>
      </c>
      <c r="C8">
        <v>7</v>
      </c>
      <c r="D8" t="s">
        <v>29</v>
      </c>
      <c r="E8" s="3" t="str">
        <f t="shared" si="0"/>
        <v>2009-01-01</v>
      </c>
      <c r="F8" t="s">
        <v>130</v>
      </c>
    </row>
    <row r="9" spans="1:6" x14ac:dyDescent="0.3">
      <c r="A9" t="s">
        <v>127</v>
      </c>
      <c r="B9" t="s">
        <v>5520</v>
      </c>
      <c r="C9">
        <v>8</v>
      </c>
      <c r="D9" t="s">
        <v>3049</v>
      </c>
      <c r="E9" s="3" t="str">
        <f t="shared" si="0"/>
        <v>2009-01-01</v>
      </c>
      <c r="F9" t="s">
        <v>130</v>
      </c>
    </row>
    <row r="10" spans="1:6" x14ac:dyDescent="0.3">
      <c r="A10" t="s">
        <v>127</v>
      </c>
      <c r="B10" t="s">
        <v>5519</v>
      </c>
      <c r="C10">
        <v>9</v>
      </c>
      <c r="D10" t="s">
        <v>3050</v>
      </c>
      <c r="E10" s="3" t="str">
        <f t="shared" si="0"/>
        <v>2009-01-01</v>
      </c>
      <c r="F10" t="s">
        <v>130</v>
      </c>
    </row>
    <row r="11" spans="1:6" x14ac:dyDescent="0.3">
      <c r="A11" t="s">
        <v>127</v>
      </c>
      <c r="B11" t="s">
        <v>5519</v>
      </c>
      <c r="C11">
        <v>10</v>
      </c>
      <c r="D11" t="s">
        <v>3051</v>
      </c>
      <c r="E11" s="3" t="str">
        <f t="shared" si="0"/>
        <v>2009-01-01</v>
      </c>
      <c r="F11" t="s">
        <v>130</v>
      </c>
    </row>
    <row r="12" spans="1:6" x14ac:dyDescent="0.3">
      <c r="A12" t="s">
        <v>127</v>
      </c>
      <c r="B12" t="s">
        <v>5518</v>
      </c>
      <c r="C12">
        <v>11</v>
      </c>
      <c r="D12" t="s">
        <v>32</v>
      </c>
      <c r="E12" s="3" t="str">
        <f t="shared" si="0"/>
        <v>2009-01-01</v>
      </c>
      <c r="F12" t="s">
        <v>130</v>
      </c>
    </row>
    <row r="13" spans="1:6" x14ac:dyDescent="0.3">
      <c r="A13" t="s">
        <v>127</v>
      </c>
      <c r="B13" t="s">
        <v>5518</v>
      </c>
      <c r="C13">
        <v>12</v>
      </c>
      <c r="D13" t="s">
        <v>3052</v>
      </c>
      <c r="E13" s="3" t="str">
        <f t="shared" si="0"/>
        <v>2009-01-01</v>
      </c>
      <c r="F13" t="s">
        <v>130</v>
      </c>
    </row>
    <row r="14" spans="1:6" x14ac:dyDescent="0.3">
      <c r="A14" t="s">
        <v>127</v>
      </c>
      <c r="B14" t="s">
        <v>5520</v>
      </c>
      <c r="C14">
        <v>13</v>
      </c>
      <c r="D14" t="s">
        <v>3053</v>
      </c>
      <c r="E14" s="3" t="str">
        <f t="shared" si="0"/>
        <v>2009-01-01</v>
      </c>
      <c r="F14" t="s">
        <v>130</v>
      </c>
    </row>
    <row r="15" spans="1:6" x14ac:dyDescent="0.3">
      <c r="A15" t="s">
        <v>127</v>
      </c>
      <c r="B15" t="s">
        <v>5521</v>
      </c>
      <c r="C15">
        <v>14</v>
      </c>
      <c r="D15" t="s">
        <v>3054</v>
      </c>
      <c r="E15" s="3" t="str">
        <f t="shared" si="0"/>
        <v>2009-01-01</v>
      </c>
      <c r="F15" t="s">
        <v>130</v>
      </c>
    </row>
    <row r="16" spans="1:6" x14ac:dyDescent="0.3">
      <c r="A16" t="s">
        <v>127</v>
      </c>
      <c r="B16" t="s">
        <v>5521</v>
      </c>
      <c r="C16">
        <v>15</v>
      </c>
      <c r="D16" t="s">
        <v>3055</v>
      </c>
      <c r="E16" s="3" t="str">
        <f t="shared" si="0"/>
        <v>2009-01-01</v>
      </c>
      <c r="F16" t="s">
        <v>130</v>
      </c>
    </row>
    <row r="17" spans="1:6" x14ac:dyDescent="0.3">
      <c r="A17" t="s">
        <v>127</v>
      </c>
      <c r="B17" t="s">
        <v>5522</v>
      </c>
      <c r="C17">
        <v>16</v>
      </c>
      <c r="D17" t="s">
        <v>3056</v>
      </c>
      <c r="E17" s="3" t="str">
        <f t="shared" si="0"/>
        <v>2009-01-01</v>
      </c>
      <c r="F17" t="s">
        <v>130</v>
      </c>
    </row>
    <row r="18" spans="1:6" x14ac:dyDescent="0.3">
      <c r="A18" t="s">
        <v>127</v>
      </c>
      <c r="B18" t="s">
        <v>5522</v>
      </c>
      <c r="C18">
        <v>17</v>
      </c>
      <c r="D18" t="s">
        <v>3057</v>
      </c>
      <c r="E18" s="3" t="str">
        <f t="shared" si="0"/>
        <v>2009-01-01</v>
      </c>
      <c r="F18" t="s">
        <v>130</v>
      </c>
    </row>
    <row r="19" spans="1:6" x14ac:dyDescent="0.3">
      <c r="A19" t="s">
        <v>127</v>
      </c>
      <c r="B19" t="s">
        <v>5522</v>
      </c>
      <c r="C19">
        <v>18</v>
      </c>
      <c r="D19" t="s">
        <v>3058</v>
      </c>
      <c r="E19" s="3" t="str">
        <f t="shared" si="0"/>
        <v>2009-01-01</v>
      </c>
      <c r="F19" t="s">
        <v>130</v>
      </c>
    </row>
    <row r="20" spans="1:6" x14ac:dyDescent="0.3">
      <c r="A20" t="s">
        <v>127</v>
      </c>
      <c r="B20" t="s">
        <v>5523</v>
      </c>
      <c r="C20">
        <v>19</v>
      </c>
      <c r="D20" t="s">
        <v>3059</v>
      </c>
      <c r="E20" s="3" t="str">
        <f t="shared" si="0"/>
        <v>2009-01-01</v>
      </c>
      <c r="F20" t="s">
        <v>130</v>
      </c>
    </row>
    <row r="21" spans="1:6" x14ac:dyDescent="0.3">
      <c r="A21" t="s">
        <v>127</v>
      </c>
      <c r="B21" t="s">
        <v>5523</v>
      </c>
      <c r="C21">
        <v>20</v>
      </c>
      <c r="D21" t="s">
        <v>3060</v>
      </c>
      <c r="E21" s="3" t="str">
        <f t="shared" si="0"/>
        <v>2009-01-01</v>
      </c>
      <c r="F21" t="s">
        <v>130</v>
      </c>
    </row>
    <row r="22" spans="1:6" x14ac:dyDescent="0.3">
      <c r="A22" t="s">
        <v>127</v>
      </c>
      <c r="B22" t="s">
        <v>5524</v>
      </c>
      <c r="C22">
        <v>21</v>
      </c>
      <c r="D22" t="s">
        <v>3061</v>
      </c>
      <c r="E22" s="3" t="str">
        <f t="shared" si="0"/>
        <v>2009-01-01</v>
      </c>
      <c r="F22" t="s">
        <v>130</v>
      </c>
    </row>
    <row r="23" spans="1:6" x14ac:dyDescent="0.3">
      <c r="A23" t="s">
        <v>127</v>
      </c>
      <c r="B23" t="s">
        <v>5524</v>
      </c>
      <c r="C23">
        <v>22</v>
      </c>
      <c r="D23" t="s">
        <v>3062</v>
      </c>
      <c r="E23" s="3" t="str">
        <f t="shared" si="0"/>
        <v>2009-01-01</v>
      </c>
      <c r="F23" t="s">
        <v>130</v>
      </c>
    </row>
    <row r="24" spans="1:6" x14ac:dyDescent="0.3">
      <c r="A24" t="s">
        <v>127</v>
      </c>
      <c r="B24" t="s">
        <v>5523</v>
      </c>
      <c r="C24">
        <v>23</v>
      </c>
      <c r="D24" t="s">
        <v>3063</v>
      </c>
      <c r="E24" s="3" t="str">
        <f t="shared" si="0"/>
        <v>2009-01-01</v>
      </c>
      <c r="F24" t="s">
        <v>130</v>
      </c>
    </row>
    <row r="25" spans="1:6" x14ac:dyDescent="0.3">
      <c r="A25" t="s">
        <v>127</v>
      </c>
      <c r="B25" t="s">
        <v>5525</v>
      </c>
      <c r="C25">
        <v>24</v>
      </c>
      <c r="D25" t="s">
        <v>3064</v>
      </c>
      <c r="E25" s="3" t="str">
        <f t="shared" si="0"/>
        <v>2009-01-01</v>
      </c>
      <c r="F25" t="s">
        <v>130</v>
      </c>
    </row>
    <row r="26" spans="1:6" x14ac:dyDescent="0.3">
      <c r="A26" t="s">
        <v>127</v>
      </c>
      <c r="B26" t="s">
        <v>5525</v>
      </c>
      <c r="C26">
        <v>25</v>
      </c>
      <c r="D26" t="s">
        <v>3065</v>
      </c>
      <c r="E26" s="3" t="str">
        <f t="shared" si="0"/>
        <v>2009-01-01</v>
      </c>
      <c r="F26" t="s">
        <v>130</v>
      </c>
    </row>
    <row r="27" spans="1:6" x14ac:dyDescent="0.3">
      <c r="A27" t="s">
        <v>127</v>
      </c>
      <c r="B27" t="s">
        <v>5526</v>
      </c>
      <c r="C27">
        <v>26</v>
      </c>
      <c r="D27" t="s">
        <v>3066</v>
      </c>
      <c r="E27" s="3" t="str">
        <f t="shared" si="0"/>
        <v>2009-01-01</v>
      </c>
      <c r="F27" t="s">
        <v>130</v>
      </c>
    </row>
    <row r="28" spans="1:6" x14ac:dyDescent="0.3">
      <c r="A28" t="s">
        <v>127</v>
      </c>
      <c r="B28" t="s">
        <v>5526</v>
      </c>
      <c r="C28">
        <v>27</v>
      </c>
      <c r="D28" t="s">
        <v>3067</v>
      </c>
      <c r="E28" s="3" t="str">
        <f t="shared" si="0"/>
        <v>2009-01-01</v>
      </c>
      <c r="F28" t="s">
        <v>130</v>
      </c>
    </row>
    <row r="29" spans="1:6" x14ac:dyDescent="0.3">
      <c r="A29" t="s">
        <v>127</v>
      </c>
      <c r="B29" t="s">
        <v>5525</v>
      </c>
      <c r="C29">
        <v>28</v>
      </c>
      <c r="D29" t="s">
        <v>3068</v>
      </c>
      <c r="E29" s="3" t="str">
        <f t="shared" si="0"/>
        <v>2009-01-01</v>
      </c>
      <c r="F29" t="s">
        <v>130</v>
      </c>
    </row>
    <row r="30" spans="1:6" x14ac:dyDescent="0.3">
      <c r="A30" t="s">
        <v>127</v>
      </c>
      <c r="B30" t="s">
        <v>5527</v>
      </c>
      <c r="C30">
        <v>99</v>
      </c>
      <c r="D30" t="s">
        <v>3069</v>
      </c>
      <c r="E30" s="3" t="str">
        <f t="shared" si="0"/>
        <v>2009-01-01</v>
      </c>
      <c r="F30" t="s">
        <v>130</v>
      </c>
    </row>
    <row r="31" spans="1:6" x14ac:dyDescent="0.3">
      <c r="A31" t="s">
        <v>127</v>
      </c>
      <c r="B31" t="s">
        <v>5528</v>
      </c>
      <c r="C31">
        <v>999</v>
      </c>
      <c r="D31" t="s">
        <v>3070</v>
      </c>
      <c r="E31" s="3" t="str">
        <f t="shared" si="0"/>
        <v>2009-01-01</v>
      </c>
      <c r="F31" t="s">
        <v>130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topLeftCell="K1" workbookViewId="0">
      <pane ySplit="1" topLeftCell="A2" activePane="bottomLeft" state="frozen"/>
      <selection pane="bottomLeft" activeCell="V2" sqref="V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117</v>
      </c>
      <c r="B1" t="s">
        <v>131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137</v>
      </c>
      <c r="I1" t="s">
        <v>372</v>
      </c>
      <c r="J1" t="s">
        <v>138</v>
      </c>
      <c r="K1" t="s">
        <v>139</v>
      </c>
      <c r="L1" s="1" t="s">
        <v>140</v>
      </c>
      <c r="M1" t="s">
        <v>141</v>
      </c>
      <c r="N1" t="s">
        <v>142</v>
      </c>
      <c r="O1" t="s">
        <v>143</v>
      </c>
      <c r="P1" t="s">
        <v>144</v>
      </c>
      <c r="Q1" t="s">
        <v>145</v>
      </c>
      <c r="R1" t="s">
        <v>146</v>
      </c>
      <c r="S1" t="s">
        <v>147</v>
      </c>
      <c r="T1" t="s">
        <v>148</v>
      </c>
      <c r="U1" t="s">
        <v>149</v>
      </c>
      <c r="V1" t="s">
        <v>150</v>
      </c>
      <c r="W1" t="s">
        <v>151</v>
      </c>
      <c r="X1" t="s">
        <v>152</v>
      </c>
      <c r="Y1" t="s">
        <v>153</v>
      </c>
      <c r="Z1" t="s">
        <v>154</v>
      </c>
      <c r="AA1" t="s">
        <v>155</v>
      </c>
      <c r="AB1" t="s">
        <v>156</v>
      </c>
      <c r="AC1" t="s">
        <v>157</v>
      </c>
      <c r="AD1" t="s">
        <v>158</v>
      </c>
      <c r="AE1" t="s">
        <v>159</v>
      </c>
      <c r="AF1" t="s">
        <v>160</v>
      </c>
      <c r="AG1" t="s">
        <v>161</v>
      </c>
      <c r="AH1" t="s">
        <v>162</v>
      </c>
      <c r="AI1" t="s">
        <v>163</v>
      </c>
      <c r="AJ1" t="s">
        <v>164</v>
      </c>
      <c r="AK1" t="s">
        <v>165</v>
      </c>
      <c r="AL1" t="s">
        <v>166</v>
      </c>
    </row>
    <row r="2" spans="1:38" x14ac:dyDescent="0.3">
      <c r="A2" t="s">
        <v>371</v>
      </c>
      <c r="B2">
        <f ca="1">RANDBETWEEN(10000000,50000000)</f>
        <v>17878092</v>
      </c>
      <c r="C2">
        <f ca="1">RANDBETWEEN(1990,YEAR(TODAY()))</f>
        <v>2001</v>
      </c>
      <c r="D2" t="s">
        <v>27</v>
      </c>
      <c r="E2" t="s">
        <v>190</v>
      </c>
      <c r="F2" t="str">
        <f ca="1">"VIP-"&amp;RANDBETWEEN(100000,500000)</f>
        <v>VIP-271992</v>
      </c>
      <c r="G2">
        <f ca="1">RANDBETWEEN(10000,50000)</f>
        <v>28027</v>
      </c>
      <c r="H2">
        <f ca="1">RANDBETWEEN(100000,500000)</f>
        <v>380003</v>
      </c>
      <c r="I2" t="str">
        <f ca="1">VLOOKUP(RANDBETWEEN(1,60),Lookups!$A:$Q,12,FALSE)</f>
        <v>GMC</v>
      </c>
      <c r="J2" t="str">
        <f ca="1">VLOOKUP(RANDBETWEEN(1,4),Lookups!A:Q,13,FALSE)</f>
        <v>OTHER</v>
      </c>
      <c r="K2" t="s">
        <v>130</v>
      </c>
      <c r="L2" s="1">
        <v>42551</v>
      </c>
      <c r="M2">
        <f ca="1">RANDBETWEEN(100000,500000)</f>
        <v>423688</v>
      </c>
      <c r="N2" t="str">
        <f ca="1">VLOOKUP(RANDBETWEEN(1,212),Lookups!$A:$Q,11,FALSE)</f>
        <v>CHEV</v>
      </c>
      <c r="O2" t="str">
        <f ca="1">INDEX(Lookups!N:N,RANDBETWEEN(2,9),1)</f>
        <v>L</v>
      </c>
      <c r="P2">
        <f ca="1">INDEX(Lookups!O:O,RANDBETWEEN(2,82),1)</f>
        <v>56</v>
      </c>
      <c r="Q2" t="s">
        <v>130</v>
      </c>
      <c r="R2" t="s">
        <v>130</v>
      </c>
      <c r="S2" t="s">
        <v>130</v>
      </c>
      <c r="T2" t="str">
        <f ca="1">INDEX(Lookups!D:D,RANDBETWEEN(2,10),1)</f>
        <v>JC Kingston Transportation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130</v>
      </c>
      <c r="AB2" t="s">
        <v>130</v>
      </c>
      <c r="AC2">
        <f ca="1">RANDBETWEEN(10000,50000)</f>
        <v>15128</v>
      </c>
      <c r="AD2" t="str">
        <f ca="1">T2</f>
        <v>JC Kingston Transportation</v>
      </c>
      <c r="AE2" t="s">
        <v>130</v>
      </c>
      <c r="AF2" t="s">
        <v>130</v>
      </c>
      <c r="AG2" t="s">
        <v>130</v>
      </c>
      <c r="AH2" t="str">
        <f ca="1">TEXT(TODAY()-RANDBETWEEN(1,1234),"YYYY-MM-DD")</f>
        <v>2016-10-28</v>
      </c>
      <c r="AI2" t="str">
        <f ca="1">TEXT(TODAY()-RANDBETWEEN(1,365),"YYYY-MM-DD")</f>
        <v>2016-05-02</v>
      </c>
      <c r="AJ2" t="str">
        <f ca="1">TEXT(DATEVALUE(AI2)+365,"YYYY-MM-DD")</f>
        <v>2017-05-02</v>
      </c>
      <c r="AK2" t="s">
        <v>130</v>
      </c>
      <c r="AL2" t="s">
        <v>130</v>
      </c>
    </row>
    <row r="3" spans="1:38" x14ac:dyDescent="0.3">
      <c r="A3" t="s">
        <v>371</v>
      </c>
      <c r="B3">
        <f t="shared" ref="B3:B50" ca="1" si="0">RANDBETWEEN(10000000,50000000)</f>
        <v>21154843</v>
      </c>
      <c r="C3">
        <f t="shared" ref="C3:C50" ca="1" si="1">RANDBETWEEN(1990,YEAR(TODAY()))</f>
        <v>1994</v>
      </c>
      <c r="D3" t="s">
        <v>27</v>
      </c>
      <c r="E3" t="s">
        <v>190</v>
      </c>
      <c r="F3" t="str">
        <f t="shared" ref="F3:F50" ca="1" si="2">"VIP-"&amp;RANDBETWEEN(100000,500000)</f>
        <v>VIP-255814</v>
      </c>
      <c r="G3">
        <f t="shared" ref="G3:G50" ca="1" si="3">RANDBETWEEN(10000,50000)</f>
        <v>18206</v>
      </c>
      <c r="H3">
        <f t="shared" ref="H3:H50" ca="1" si="4">RANDBETWEEN(100000,500000)</f>
        <v>328839</v>
      </c>
      <c r="I3" t="str">
        <f ca="1">VLOOKUP(RANDBETWEEN(1,60),Lookups!$A:$Q,12,FALSE)</f>
        <v>IH</v>
      </c>
      <c r="J3" t="str">
        <f ca="1">VLOOKUP(RANDBETWEEN(1,4),Lookups!A:Q,13,FALSE)</f>
        <v>TBUS</v>
      </c>
      <c r="K3" t="s">
        <v>130</v>
      </c>
      <c r="L3" s="1">
        <v>42551</v>
      </c>
      <c r="M3">
        <f t="shared" ref="M3:M50" ca="1" si="5">RANDBETWEEN(100000,500000)</f>
        <v>385142</v>
      </c>
      <c r="N3" t="str">
        <f ca="1">VLOOKUP(RANDBETWEEN(1,212),Lookups!$A:$Q,11,FALSE)</f>
        <v>SPNTR</v>
      </c>
      <c r="O3" t="str">
        <f ca="1">INDEX(Lookups!N:N,RANDBETWEEN(2,9),1)</f>
        <v>D</v>
      </c>
      <c r="P3">
        <f ca="1">INDEX(Lookups!O:O,RANDBETWEEN(2,82),1)</f>
        <v>68</v>
      </c>
      <c r="Q3" t="s">
        <v>130</v>
      </c>
      <c r="R3" t="s">
        <v>130</v>
      </c>
      <c r="S3" t="s">
        <v>130</v>
      </c>
      <c r="T3" t="str">
        <f ca="1">INDEX(Lookups!D:D,RANDBETWEEN(2,10),1)</f>
        <v>BC Transit School Bus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130</v>
      </c>
      <c r="AB3" t="s">
        <v>130</v>
      </c>
      <c r="AC3">
        <f t="shared" ref="AC3:AC50" ca="1" si="8">RANDBETWEEN(10000,50000)</f>
        <v>28846</v>
      </c>
      <c r="AD3" t="str">
        <f t="shared" ref="AD3:AD50" ca="1" si="9">T3</f>
        <v>BC Transit School Bus</v>
      </c>
      <c r="AE3" t="s">
        <v>130</v>
      </c>
      <c r="AF3" t="s">
        <v>130</v>
      </c>
      <c r="AG3" t="s">
        <v>130</v>
      </c>
      <c r="AH3" t="str">
        <f t="shared" ref="AH3:AH50" ca="1" si="10">TEXT(TODAY()-RANDBETWEEN(1,1234),"YYYY-MM-DD")</f>
        <v>2014-07-25</v>
      </c>
      <c r="AI3" t="str">
        <f t="shared" ref="AI3:AI50" ca="1" si="11">TEXT(TODAY()-RANDBETWEEN(1,365),"YYYY-MM-DD")</f>
        <v>2016-10-13</v>
      </c>
      <c r="AJ3" t="str">
        <f t="shared" ref="AJ3:AJ50" ca="1" si="12">TEXT(DATEVALUE(AI3)+365,"YYYY-MM-DD")</f>
        <v>2017-10-13</v>
      </c>
      <c r="AK3" t="s">
        <v>130</v>
      </c>
      <c r="AL3" t="s">
        <v>130</v>
      </c>
    </row>
    <row r="4" spans="1:38" x14ac:dyDescent="0.3">
      <c r="A4" t="s">
        <v>371</v>
      </c>
      <c r="B4">
        <f t="shared" ca="1" si="0"/>
        <v>36941401</v>
      </c>
      <c r="C4">
        <f t="shared" ca="1" si="1"/>
        <v>2012</v>
      </c>
      <c r="D4" t="s">
        <v>27</v>
      </c>
      <c r="E4" t="s">
        <v>190</v>
      </c>
      <c r="F4" t="str">
        <f t="shared" ca="1" si="2"/>
        <v>VIP-382033</v>
      </c>
      <c r="G4">
        <f t="shared" ca="1" si="3"/>
        <v>30580</v>
      </c>
      <c r="H4">
        <f t="shared" ca="1" si="4"/>
        <v>434674</v>
      </c>
      <c r="I4">
        <f ca="1">VLOOKUP(RANDBETWEEN(1,60),Lookups!$A:$Q,12,FALSE)</f>
        <v>0</v>
      </c>
      <c r="J4" t="str">
        <f ca="1">VLOOKUP(RANDBETWEEN(1,4),Lookups!A:Q,13,FALSE)</f>
        <v>SBUS</v>
      </c>
      <c r="K4" t="s">
        <v>130</v>
      </c>
      <c r="L4" s="1">
        <v>42551</v>
      </c>
      <c r="M4">
        <f t="shared" ca="1" si="5"/>
        <v>203553</v>
      </c>
      <c r="N4" t="str">
        <f ca="1">VLOOKUP(RANDBETWEEN(1,212),Lookups!$A:$Q,11,FALSE)</f>
        <v>F/C</v>
      </c>
      <c r="O4" t="str">
        <f ca="1">INDEX(Lookups!N:N,RANDBETWEEN(2,9),1)</f>
        <v>D</v>
      </c>
      <c r="P4">
        <f ca="1">INDEX(Lookups!O:O,RANDBETWEEN(2,82),1)</f>
        <v>23</v>
      </c>
      <c r="Q4" t="s">
        <v>130</v>
      </c>
      <c r="R4" t="s">
        <v>130</v>
      </c>
      <c r="S4" t="s">
        <v>130</v>
      </c>
      <c r="T4" t="str">
        <f ca="1">INDEX(Lookups!D:D,RANDBETWEEN(2,10),1)</f>
        <v>Wilson's Transportion, Inc.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130</v>
      </c>
      <c r="AB4" t="s">
        <v>130</v>
      </c>
      <c r="AC4">
        <f t="shared" ca="1" si="8"/>
        <v>41981</v>
      </c>
      <c r="AD4" t="str">
        <f t="shared" ca="1" si="9"/>
        <v>Wilson's Transportion, Inc.</v>
      </c>
      <c r="AE4" t="s">
        <v>130</v>
      </c>
      <c r="AF4" t="s">
        <v>130</v>
      </c>
      <c r="AG4" t="s">
        <v>130</v>
      </c>
      <c r="AH4" t="str">
        <f t="shared" ca="1" si="10"/>
        <v>2014-07-24</v>
      </c>
      <c r="AI4" t="str">
        <f t="shared" ca="1" si="11"/>
        <v>2016-10-21</v>
      </c>
      <c r="AJ4" t="str">
        <f t="shared" ca="1" si="12"/>
        <v>2017-10-21</v>
      </c>
      <c r="AK4" t="s">
        <v>130</v>
      </c>
      <c r="AL4" t="s">
        <v>130</v>
      </c>
    </row>
    <row r="5" spans="1:38" x14ac:dyDescent="0.3">
      <c r="A5" t="s">
        <v>371</v>
      </c>
      <c r="B5">
        <f t="shared" ca="1" si="0"/>
        <v>12079657</v>
      </c>
      <c r="C5">
        <f t="shared" ca="1" si="1"/>
        <v>2009</v>
      </c>
      <c r="D5" t="s">
        <v>27</v>
      </c>
      <c r="E5" t="s">
        <v>190</v>
      </c>
      <c r="F5" t="str">
        <f t="shared" ca="1" si="2"/>
        <v>VIP-274045</v>
      </c>
      <c r="G5">
        <f t="shared" ca="1" si="3"/>
        <v>28641</v>
      </c>
      <c r="H5">
        <f t="shared" ca="1" si="4"/>
        <v>428609</v>
      </c>
      <c r="I5" t="str">
        <f ca="1">VLOOKUP(RANDBETWEEN(1,60),Lookups!$A:$Q,12,FALSE)</f>
        <v>PREMIERE</v>
      </c>
      <c r="J5" t="str">
        <f ca="1">VLOOKUP(RANDBETWEEN(1,4),Lookups!A:Q,13,FALSE)</f>
        <v>OTHER</v>
      </c>
      <c r="K5" t="s">
        <v>130</v>
      </c>
      <c r="L5" s="1">
        <v>42551</v>
      </c>
      <c r="M5">
        <f t="shared" ca="1" si="5"/>
        <v>171877</v>
      </c>
      <c r="N5" t="str">
        <f ca="1">VLOOKUP(RANDBETWEEN(1,212),Lookups!$A:$Q,11,FALSE)</f>
        <v>GIRARDIN MB-II</v>
      </c>
      <c r="O5" t="str">
        <f ca="1">INDEX(Lookups!N:N,RANDBETWEEN(2,9),1)</f>
        <v>N</v>
      </c>
      <c r="P5">
        <f ca="1">INDEX(Lookups!O:O,RANDBETWEEN(2,82),1)</f>
        <v>72</v>
      </c>
      <c r="Q5" t="s">
        <v>130</v>
      </c>
      <c r="R5" t="s">
        <v>130</v>
      </c>
      <c r="S5" t="s">
        <v>130</v>
      </c>
      <c r="T5" t="str">
        <f ca="1">INDEX(Lookups!D:D,RANDBETWEEN(2,10),1)</f>
        <v>Ferries Transit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130</v>
      </c>
      <c r="AB5" t="s">
        <v>130</v>
      </c>
      <c r="AC5">
        <f t="shared" ca="1" si="8"/>
        <v>13234</v>
      </c>
      <c r="AD5" t="str">
        <f t="shared" ca="1" si="9"/>
        <v>Ferries Transit</v>
      </c>
      <c r="AE5" t="s">
        <v>130</v>
      </c>
      <c r="AF5" t="s">
        <v>130</v>
      </c>
      <c r="AG5" t="s">
        <v>130</v>
      </c>
      <c r="AH5" t="str">
        <f t="shared" ca="1" si="10"/>
        <v>2015-10-02</v>
      </c>
      <c r="AI5" t="str">
        <f t="shared" ca="1" si="11"/>
        <v>2016-04-05</v>
      </c>
      <c r="AJ5" t="str">
        <f t="shared" ca="1" si="12"/>
        <v>2017-04-05</v>
      </c>
      <c r="AK5" t="s">
        <v>130</v>
      </c>
      <c r="AL5" t="s">
        <v>130</v>
      </c>
    </row>
    <row r="6" spans="1:38" x14ac:dyDescent="0.3">
      <c r="A6" t="s">
        <v>371</v>
      </c>
      <c r="B6">
        <f t="shared" ca="1" si="0"/>
        <v>36281587</v>
      </c>
      <c r="C6">
        <f t="shared" ca="1" si="1"/>
        <v>2009</v>
      </c>
      <c r="D6" t="s">
        <v>27</v>
      </c>
      <c r="E6" t="s">
        <v>190</v>
      </c>
      <c r="F6" t="str">
        <f t="shared" ca="1" si="2"/>
        <v>VIP-332555</v>
      </c>
      <c r="G6">
        <f t="shared" ca="1" si="3"/>
        <v>21092</v>
      </c>
      <c r="H6">
        <f t="shared" ca="1" si="4"/>
        <v>181203</v>
      </c>
      <c r="I6" t="str">
        <f ca="1">VLOOKUP(RANDBETWEEN(1,60),Lookups!$A:$Q,12,FALSE)</f>
        <v>IC</v>
      </c>
      <c r="J6" t="str">
        <f ca="1">VLOOKUP(RANDBETWEEN(1,4),Lookups!A:Q,13,FALSE)</f>
        <v>HBUS</v>
      </c>
      <c r="K6" t="s">
        <v>130</v>
      </c>
      <c r="L6" s="1">
        <v>42551</v>
      </c>
      <c r="M6">
        <f t="shared" ca="1" si="5"/>
        <v>456290</v>
      </c>
      <c r="N6" t="str">
        <f ca="1">VLOOKUP(RANDBETWEEN(1,212),Lookups!$A:$Q,11,FALSE)</f>
        <v>GIRADIN</v>
      </c>
      <c r="O6" t="str">
        <f ca="1">INDEX(Lookups!N:N,RANDBETWEEN(2,9),1)</f>
        <v>S</v>
      </c>
      <c r="P6">
        <f ca="1">INDEX(Lookups!O:O,RANDBETWEEN(2,82),1)</f>
        <v>7</v>
      </c>
      <c r="Q6" t="s">
        <v>130</v>
      </c>
      <c r="R6" t="s">
        <v>130</v>
      </c>
      <c r="S6" t="s">
        <v>130</v>
      </c>
      <c r="T6" t="str">
        <f ca="1">INDEX(Lookups!D:D,RANDBETWEEN(2,10),1)</f>
        <v>Jones Transportation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130</v>
      </c>
      <c r="AB6" t="s">
        <v>130</v>
      </c>
      <c r="AC6">
        <f t="shared" ca="1" si="8"/>
        <v>35542</v>
      </c>
      <c r="AD6" t="str">
        <f t="shared" ca="1" si="9"/>
        <v>Jones Transportation</v>
      </c>
      <c r="AE6" t="s">
        <v>130</v>
      </c>
      <c r="AF6" t="s">
        <v>130</v>
      </c>
      <c r="AG6" t="s">
        <v>130</v>
      </c>
      <c r="AH6" t="str">
        <f t="shared" ca="1" si="10"/>
        <v>2015-09-17</v>
      </c>
      <c r="AI6" t="str">
        <f t="shared" ca="1" si="11"/>
        <v>2016-10-01</v>
      </c>
      <c r="AJ6" t="str">
        <f t="shared" ca="1" si="12"/>
        <v>2017-10-01</v>
      </c>
      <c r="AK6" t="s">
        <v>130</v>
      </c>
      <c r="AL6" t="s">
        <v>130</v>
      </c>
    </row>
    <row r="7" spans="1:38" x14ac:dyDescent="0.3">
      <c r="A7" t="s">
        <v>371</v>
      </c>
      <c r="B7">
        <f t="shared" ca="1" si="0"/>
        <v>19844142</v>
      </c>
      <c r="C7">
        <f t="shared" ca="1" si="1"/>
        <v>2007</v>
      </c>
      <c r="D7" t="s">
        <v>27</v>
      </c>
      <c r="E7" t="s">
        <v>190</v>
      </c>
      <c r="F7" t="str">
        <f t="shared" ca="1" si="2"/>
        <v>VIP-308665</v>
      </c>
      <c r="G7">
        <f t="shared" ca="1" si="3"/>
        <v>39184</v>
      </c>
      <c r="H7">
        <f t="shared" ca="1" si="4"/>
        <v>428378</v>
      </c>
      <c r="I7" t="str">
        <f ca="1">VLOOKUP(RANDBETWEEN(1,60),Lookups!$A:$Q,12,FALSE)</f>
        <v>INTERNAT</v>
      </c>
      <c r="J7" t="str">
        <f ca="1">VLOOKUP(RANDBETWEEN(1,4),Lookups!A:Q,13,FALSE)</f>
        <v>OTHER</v>
      </c>
      <c r="K7" t="s">
        <v>130</v>
      </c>
      <c r="L7" s="1">
        <v>42551</v>
      </c>
      <c r="M7">
        <f t="shared" ca="1" si="5"/>
        <v>436422</v>
      </c>
      <c r="N7" t="str">
        <f ca="1">VLOOKUP(RANDBETWEEN(1,212),Lookups!$A:$Q,11,FALSE)</f>
        <v>E-350</v>
      </c>
      <c r="O7" t="str">
        <f ca="1">INDEX(Lookups!N:N,RANDBETWEEN(2,9),1)</f>
        <v>G</v>
      </c>
      <c r="P7">
        <f ca="1">INDEX(Lookups!O:O,RANDBETWEEN(2,82),1)</f>
        <v>15</v>
      </c>
      <c r="Q7" t="s">
        <v>130</v>
      </c>
      <c r="R7" t="s">
        <v>130</v>
      </c>
      <c r="S7" t="s">
        <v>130</v>
      </c>
      <c r="T7" t="str">
        <f ca="1">INDEX(Lookups!D:D,RANDBETWEEN(2,10),1)</f>
        <v>SMUS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130</v>
      </c>
      <c r="AB7" t="s">
        <v>130</v>
      </c>
      <c r="AC7">
        <f t="shared" ca="1" si="8"/>
        <v>26765</v>
      </c>
      <c r="AD7" t="str">
        <f t="shared" ca="1" si="9"/>
        <v>SMUS</v>
      </c>
      <c r="AE7" t="s">
        <v>130</v>
      </c>
      <c r="AF7" t="s">
        <v>130</v>
      </c>
      <c r="AG7" t="s">
        <v>130</v>
      </c>
      <c r="AH7" t="str">
        <f t="shared" ca="1" si="10"/>
        <v>2014-08-18</v>
      </c>
      <c r="AI7" t="str">
        <f t="shared" ca="1" si="11"/>
        <v>2016-03-29</v>
      </c>
      <c r="AJ7" t="str">
        <f t="shared" ca="1" si="12"/>
        <v>2017-03-29</v>
      </c>
      <c r="AK7" t="s">
        <v>130</v>
      </c>
      <c r="AL7" t="s">
        <v>130</v>
      </c>
    </row>
    <row r="8" spans="1:38" x14ac:dyDescent="0.3">
      <c r="A8" t="s">
        <v>371</v>
      </c>
      <c r="B8">
        <f t="shared" ca="1" si="0"/>
        <v>24853201</v>
      </c>
      <c r="C8">
        <f t="shared" ca="1" si="1"/>
        <v>2017</v>
      </c>
      <c r="D8" t="s">
        <v>27</v>
      </c>
      <c r="E8" t="s">
        <v>190</v>
      </c>
      <c r="F8" t="str">
        <f t="shared" ca="1" si="2"/>
        <v>VIP-416287</v>
      </c>
      <c r="G8">
        <f t="shared" ca="1" si="3"/>
        <v>44548</v>
      </c>
      <c r="H8">
        <f t="shared" ca="1" si="4"/>
        <v>112378</v>
      </c>
      <c r="I8" t="str">
        <f ca="1">VLOOKUP(RANDBETWEEN(1,60),Lookups!$A:$Q,12,FALSE)</f>
        <v>MCI</v>
      </c>
      <c r="J8" t="str">
        <f ca="1">VLOOKUP(RANDBETWEEN(1,4),Lookups!A:Q,13,FALSE)</f>
        <v>TBUS</v>
      </c>
      <c r="K8" t="s">
        <v>130</v>
      </c>
      <c r="L8" s="1">
        <v>42551</v>
      </c>
      <c r="M8">
        <f t="shared" ca="1" si="5"/>
        <v>324488</v>
      </c>
      <c r="N8" t="str">
        <f ca="1">VLOOKUP(RANDBETWEEN(1,212),Lookups!$A:$Q,11,FALSE)</f>
        <v>CHAMPION</v>
      </c>
      <c r="O8" t="str">
        <f ca="1">INDEX(Lookups!N:N,RANDBETWEEN(2,9),1)</f>
        <v>D</v>
      </c>
      <c r="P8">
        <f ca="1">INDEX(Lookups!O:O,RANDBETWEEN(2,82),1)</f>
        <v>42</v>
      </c>
      <c r="Q8" t="s">
        <v>130</v>
      </c>
      <c r="R8" t="s">
        <v>130</v>
      </c>
      <c r="S8" t="s">
        <v>130</v>
      </c>
      <c r="T8" t="str">
        <f ca="1">INDEX(Lookups!D:D,RANDBETWEEN(2,10),1)</f>
        <v>Jones Transportation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Archived</v>
      </c>
      <c r="AA8" t="s">
        <v>130</v>
      </c>
      <c r="AB8" t="s">
        <v>130</v>
      </c>
      <c r="AC8">
        <f t="shared" ca="1" si="8"/>
        <v>39991</v>
      </c>
      <c r="AD8" t="str">
        <f t="shared" ca="1" si="9"/>
        <v>Jones Transportation</v>
      </c>
      <c r="AE8" t="s">
        <v>130</v>
      </c>
      <c r="AF8" t="s">
        <v>130</v>
      </c>
      <c r="AG8" t="s">
        <v>130</v>
      </c>
      <c r="AH8" t="str">
        <f t="shared" ca="1" si="10"/>
        <v>2016-10-01</v>
      </c>
      <c r="AI8" t="str">
        <f t="shared" ca="1" si="11"/>
        <v>2016-02-04</v>
      </c>
      <c r="AJ8" t="str">
        <f t="shared" ca="1" si="12"/>
        <v>2017-02-03</v>
      </c>
      <c r="AK8" t="s">
        <v>130</v>
      </c>
      <c r="AL8" t="s">
        <v>130</v>
      </c>
    </row>
    <row r="9" spans="1:38" x14ac:dyDescent="0.3">
      <c r="A9" t="s">
        <v>371</v>
      </c>
      <c r="B9">
        <f t="shared" ca="1" si="0"/>
        <v>23690720</v>
      </c>
      <c r="C9">
        <f t="shared" ca="1" si="1"/>
        <v>2012</v>
      </c>
      <c r="D9" t="s">
        <v>27</v>
      </c>
      <c r="E9" t="s">
        <v>190</v>
      </c>
      <c r="F9" t="str">
        <f t="shared" ca="1" si="2"/>
        <v>VIP-400245</v>
      </c>
      <c r="G9">
        <f t="shared" ca="1" si="3"/>
        <v>11310</v>
      </c>
      <c r="H9">
        <f t="shared" ca="1" si="4"/>
        <v>444714</v>
      </c>
      <c r="I9" t="str">
        <f ca="1">VLOOKUP(RANDBETWEEN(1,60),Lookups!$A:$Q,12,FALSE)</f>
        <v>VANHOOL</v>
      </c>
      <c r="J9" t="str">
        <f ca="1">VLOOKUP(RANDBETWEEN(1,4),Lookups!A:Q,13,FALSE)</f>
        <v>TBUS</v>
      </c>
      <c r="K9" t="s">
        <v>130</v>
      </c>
      <c r="L9" s="1">
        <v>42551</v>
      </c>
      <c r="M9">
        <f t="shared" ca="1" si="5"/>
        <v>195968</v>
      </c>
      <c r="N9" t="str">
        <f ca="1">VLOOKUP(RANDBETWEEN(1,212),Lookups!$A:$Q,11,FALSE)</f>
        <v>PB40500</v>
      </c>
      <c r="O9" t="str">
        <f ca="1">INDEX(Lookups!N:N,RANDBETWEEN(2,9),1)</f>
        <v>P</v>
      </c>
      <c r="P9">
        <f ca="1">INDEX(Lookups!O:O,RANDBETWEEN(2,82),1)</f>
        <v>28</v>
      </c>
      <c r="Q9" t="s">
        <v>130</v>
      </c>
      <c r="R9" t="s">
        <v>130</v>
      </c>
      <c r="S9" t="s">
        <v>130</v>
      </c>
      <c r="T9" t="str">
        <f ca="1">INDEX(Lookups!D:D,RANDBETWEEN(2,10),1)</f>
        <v>Ferries Transit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130</v>
      </c>
      <c r="AB9" t="s">
        <v>130</v>
      </c>
      <c r="AC9">
        <f t="shared" ca="1" si="8"/>
        <v>34121</v>
      </c>
      <c r="AD9" t="str">
        <f t="shared" ca="1" si="9"/>
        <v>Ferries Transit</v>
      </c>
      <c r="AE9" t="s">
        <v>130</v>
      </c>
      <c r="AF9" t="s">
        <v>130</v>
      </c>
      <c r="AG9" t="s">
        <v>130</v>
      </c>
      <c r="AH9" t="str">
        <f t="shared" ca="1" si="10"/>
        <v>2014-08-24</v>
      </c>
      <c r="AI9" t="str">
        <f t="shared" ca="1" si="11"/>
        <v>2016-11-10</v>
      </c>
      <c r="AJ9" t="str">
        <f t="shared" ca="1" si="12"/>
        <v>2017-11-10</v>
      </c>
      <c r="AK9" t="s">
        <v>130</v>
      </c>
      <c r="AL9" t="s">
        <v>130</v>
      </c>
    </row>
    <row r="10" spans="1:38" x14ac:dyDescent="0.3">
      <c r="A10" t="s">
        <v>371</v>
      </c>
      <c r="B10">
        <f t="shared" ca="1" si="0"/>
        <v>44168772</v>
      </c>
      <c r="C10">
        <f t="shared" ca="1" si="1"/>
        <v>2011</v>
      </c>
      <c r="D10" t="s">
        <v>27</v>
      </c>
      <c r="E10" t="s">
        <v>190</v>
      </c>
      <c r="F10" t="str">
        <f t="shared" ca="1" si="2"/>
        <v>VIP-496575</v>
      </c>
      <c r="G10">
        <f t="shared" ca="1" si="3"/>
        <v>48011</v>
      </c>
      <c r="H10">
        <f t="shared" ca="1" si="4"/>
        <v>163025</v>
      </c>
      <c r="I10" t="str">
        <f ca="1">VLOOKUP(RANDBETWEEN(1,60),Lookups!$A:$Q,12,FALSE)</f>
        <v>INTERNATNAL</v>
      </c>
      <c r="J10" t="str">
        <f ca="1">VLOOKUP(RANDBETWEEN(1,4),Lookups!A:Q,13,FALSE)</f>
        <v>OTHER</v>
      </c>
      <c r="K10" t="s">
        <v>130</v>
      </c>
      <c r="L10" s="1">
        <v>42551</v>
      </c>
      <c r="M10">
        <f t="shared" ca="1" si="5"/>
        <v>418197</v>
      </c>
      <c r="N10" t="str">
        <f ca="1">VLOOKUP(RANDBETWEEN(1,212),Lookups!$A:$Q,11,FALSE)</f>
        <v>STARCRAFT</v>
      </c>
      <c r="O10" t="str">
        <f ca="1">INDEX(Lookups!N:N,RANDBETWEEN(2,9),1)</f>
        <v>N</v>
      </c>
      <c r="P10">
        <f ca="1">INDEX(Lookups!O:O,RANDBETWEEN(2,82),1)</f>
        <v>62</v>
      </c>
      <c r="Q10" t="s">
        <v>130</v>
      </c>
      <c r="R10" t="s">
        <v>130</v>
      </c>
      <c r="S10" t="s">
        <v>130</v>
      </c>
      <c r="T10" t="str">
        <f ca="1">INDEX(Lookups!D:D,RANDBETWEEN(2,10),1)</f>
        <v>BC Transit School Bus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130</v>
      </c>
      <c r="AB10" t="s">
        <v>130</v>
      </c>
      <c r="AC10">
        <f t="shared" ca="1" si="8"/>
        <v>44216</v>
      </c>
      <c r="AD10" t="str">
        <f t="shared" ca="1" si="9"/>
        <v>BC Transit School Bus</v>
      </c>
      <c r="AE10" t="s">
        <v>130</v>
      </c>
      <c r="AF10" t="s">
        <v>130</v>
      </c>
      <c r="AG10" t="s">
        <v>130</v>
      </c>
      <c r="AH10" t="str">
        <f t="shared" ca="1" si="10"/>
        <v>2015-03-21</v>
      </c>
      <c r="AI10" t="str">
        <f t="shared" ca="1" si="11"/>
        <v>2016-08-09</v>
      </c>
      <c r="AJ10" t="str">
        <f t="shared" ca="1" si="12"/>
        <v>2017-08-09</v>
      </c>
      <c r="AK10" t="s">
        <v>130</v>
      </c>
      <c r="AL10" t="s">
        <v>130</v>
      </c>
    </row>
    <row r="11" spans="1:38" x14ac:dyDescent="0.3">
      <c r="A11" t="s">
        <v>371</v>
      </c>
      <c r="B11">
        <f t="shared" ca="1" si="0"/>
        <v>37470609</v>
      </c>
      <c r="C11">
        <f t="shared" ca="1" si="1"/>
        <v>2015</v>
      </c>
      <c r="D11" t="s">
        <v>27</v>
      </c>
      <c r="E11" t="s">
        <v>190</v>
      </c>
      <c r="F11" t="str">
        <f t="shared" ca="1" si="2"/>
        <v>VIP-351233</v>
      </c>
      <c r="G11">
        <f t="shared" ca="1" si="3"/>
        <v>27035</v>
      </c>
      <c r="H11">
        <f t="shared" ca="1" si="4"/>
        <v>146768</v>
      </c>
      <c r="I11" t="str">
        <f ca="1">VLOOKUP(RANDBETWEEN(1,60),Lookups!$A:$Q,12,FALSE)</f>
        <v>BBIRD</v>
      </c>
      <c r="J11" t="str">
        <f ca="1">VLOOKUP(RANDBETWEEN(1,4),Lookups!A:Q,13,FALSE)</f>
        <v>TBUS</v>
      </c>
      <c r="K11" t="s">
        <v>130</v>
      </c>
      <c r="L11" s="1">
        <v>42551</v>
      </c>
      <c r="M11">
        <f t="shared" ca="1" si="5"/>
        <v>148155</v>
      </c>
      <c r="N11" t="str">
        <f ca="1">VLOOKUP(RANDBETWEEN(1,212),Lookups!$A:$Q,11,FALSE)</f>
        <v>ELDORADO</v>
      </c>
      <c r="O11" t="str">
        <f ca="1">INDEX(Lookups!N:N,RANDBETWEEN(2,9),1)</f>
        <v>P</v>
      </c>
      <c r="P11">
        <f ca="1">INDEX(Lookups!O:O,RANDBETWEEN(2,82),1)</f>
        <v>82</v>
      </c>
      <c r="Q11" t="s">
        <v>130</v>
      </c>
      <c r="R11" t="s">
        <v>130</v>
      </c>
      <c r="S11" t="s">
        <v>130</v>
      </c>
      <c r="T11" t="str">
        <f ca="1">INDEX(Lookups!D:D,RANDBETWEEN(2,10),1)</f>
        <v>SMUS</v>
      </c>
      <c r="U11" t="str">
        <f>INDEX(Names!G:G,60+ROW(),1)</f>
        <v>4526 Glover Road</v>
      </c>
      <c r="V11" t="str">
        <f t="shared" ca="1" si="6"/>
        <v>Unit 100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130</v>
      </c>
      <c r="AB11" t="s">
        <v>130</v>
      </c>
      <c r="AC11">
        <f t="shared" ca="1" si="8"/>
        <v>22919</v>
      </c>
      <c r="AD11" t="str">
        <f t="shared" ca="1" si="9"/>
        <v>SMUS</v>
      </c>
      <c r="AE11" t="s">
        <v>130</v>
      </c>
      <c r="AF11" t="s">
        <v>130</v>
      </c>
      <c r="AG11" t="s">
        <v>130</v>
      </c>
      <c r="AH11" t="str">
        <f t="shared" ca="1" si="10"/>
        <v>2014-04-04</v>
      </c>
      <c r="AI11" t="str">
        <f t="shared" ca="1" si="11"/>
        <v>2016-02-10</v>
      </c>
      <c r="AJ11" t="str">
        <f t="shared" ca="1" si="12"/>
        <v>2017-02-09</v>
      </c>
      <c r="AK11" t="s">
        <v>130</v>
      </c>
      <c r="AL11" t="s">
        <v>130</v>
      </c>
    </row>
    <row r="12" spans="1:38" x14ac:dyDescent="0.3">
      <c r="A12" t="s">
        <v>371</v>
      </c>
      <c r="B12">
        <f t="shared" ca="1" si="0"/>
        <v>12015327</v>
      </c>
      <c r="C12">
        <f t="shared" ca="1" si="1"/>
        <v>2000</v>
      </c>
      <c r="D12" t="s">
        <v>27</v>
      </c>
      <c r="E12" t="s">
        <v>190</v>
      </c>
      <c r="F12" t="str">
        <f t="shared" ca="1" si="2"/>
        <v>VIP-330341</v>
      </c>
      <c r="G12">
        <f t="shared" ca="1" si="3"/>
        <v>48348</v>
      </c>
      <c r="H12">
        <f t="shared" ca="1" si="4"/>
        <v>349944</v>
      </c>
      <c r="I12" t="str">
        <f ca="1">VLOOKUP(RANDBETWEEN(1,60),Lookups!$A:$Q,12,FALSE)</f>
        <v>GIRARDIN</v>
      </c>
      <c r="J12" t="str">
        <f ca="1">VLOOKUP(RANDBETWEEN(1,4),Lookups!A:Q,13,FALSE)</f>
        <v>TBUS</v>
      </c>
      <c r="K12" t="s">
        <v>130</v>
      </c>
      <c r="L12" s="1">
        <v>42551</v>
      </c>
      <c r="M12">
        <f t="shared" ca="1" si="5"/>
        <v>394698</v>
      </c>
      <c r="N12" t="str">
        <f ca="1">VLOOKUP(RANDBETWEEN(1,212),Lookups!$A:$Q,11,FALSE)</f>
        <v>F/C</v>
      </c>
      <c r="O12" t="str">
        <f ca="1">INDEX(Lookups!N:N,RANDBETWEEN(2,9),1)</f>
        <v>D</v>
      </c>
      <c r="P12">
        <f ca="1">INDEX(Lookups!O:O,RANDBETWEEN(2,82),1)</f>
        <v>42</v>
      </c>
      <c r="Q12" t="s">
        <v>130</v>
      </c>
      <c r="R12" t="s">
        <v>130</v>
      </c>
      <c r="S12" t="s">
        <v>130</v>
      </c>
      <c r="T12" t="str">
        <f ca="1">INDEX(Lookups!D:D,RANDBETWEEN(2,10),1)</f>
        <v>BC Transit School Bus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130</v>
      </c>
      <c r="AB12" t="s">
        <v>130</v>
      </c>
      <c r="AC12">
        <f t="shared" ca="1" si="8"/>
        <v>21693</v>
      </c>
      <c r="AD12" t="str">
        <f t="shared" ca="1" si="9"/>
        <v>BC Transit School Bus</v>
      </c>
      <c r="AE12" t="s">
        <v>130</v>
      </c>
      <c r="AF12" t="s">
        <v>130</v>
      </c>
      <c r="AG12" t="s">
        <v>130</v>
      </c>
      <c r="AH12" t="str">
        <f t="shared" ca="1" si="10"/>
        <v>2015-10-13</v>
      </c>
      <c r="AI12" t="str">
        <f t="shared" ca="1" si="11"/>
        <v>2016-05-11</v>
      </c>
      <c r="AJ12" t="str">
        <f t="shared" ca="1" si="12"/>
        <v>2017-05-11</v>
      </c>
      <c r="AK12" t="s">
        <v>130</v>
      </c>
      <c r="AL12" t="s">
        <v>130</v>
      </c>
    </row>
    <row r="13" spans="1:38" x14ac:dyDescent="0.3">
      <c r="A13" t="s">
        <v>371</v>
      </c>
      <c r="B13">
        <f t="shared" ca="1" si="0"/>
        <v>35071455</v>
      </c>
      <c r="C13">
        <f t="shared" ca="1" si="1"/>
        <v>2014</v>
      </c>
      <c r="D13" t="s">
        <v>27</v>
      </c>
      <c r="E13" t="s">
        <v>190</v>
      </c>
      <c r="F13" t="str">
        <f t="shared" ca="1" si="2"/>
        <v>VIP-229011</v>
      </c>
      <c r="G13">
        <f t="shared" ca="1" si="3"/>
        <v>32523</v>
      </c>
      <c r="H13">
        <f t="shared" ca="1" si="4"/>
        <v>198054</v>
      </c>
      <c r="I13" t="str">
        <f ca="1">VLOOKUP(RANDBETWEEN(1,60),Lookups!$A:$Q,12,FALSE)</f>
        <v>PONTIAC</v>
      </c>
      <c r="J13" t="str">
        <f ca="1">VLOOKUP(RANDBETWEEN(1,4),Lookups!A:Q,13,FALSE)</f>
        <v>HBUS</v>
      </c>
      <c r="K13" t="s">
        <v>130</v>
      </c>
      <c r="L13" s="1">
        <v>42551</v>
      </c>
      <c r="M13">
        <f t="shared" ca="1" si="5"/>
        <v>192659</v>
      </c>
      <c r="N13" t="str">
        <f ca="1">VLOOKUP(RANDBETWEEN(1,212),Lookups!$A:$Q,11,FALSE)</f>
        <v>SAFETY LINER</v>
      </c>
      <c r="O13" t="str">
        <f ca="1">INDEX(Lookups!N:N,RANDBETWEEN(2,9),1)</f>
        <v>L</v>
      </c>
      <c r="P13">
        <f ca="1">INDEX(Lookups!O:O,RANDBETWEEN(2,82),1)</f>
        <v>30</v>
      </c>
      <c r="Q13" t="s">
        <v>130</v>
      </c>
      <c r="R13" t="s">
        <v>130</v>
      </c>
      <c r="S13" t="s">
        <v>130</v>
      </c>
      <c r="T13" t="str">
        <f ca="1">INDEX(Lookups!D:D,RANDBETWEEN(2,10),1)</f>
        <v>JC Kingston Transportation</v>
      </c>
      <c r="U13" t="str">
        <f>INDEX(Names!G:G,60+ROW(),1)</f>
        <v>3694 Lake City Way</v>
      </c>
      <c r="V13" t="str">
        <f t="shared" ca="1" si="6"/>
        <v>Unit 100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Archived</v>
      </c>
      <c r="AA13" t="s">
        <v>130</v>
      </c>
      <c r="AB13" t="s">
        <v>130</v>
      </c>
      <c r="AC13">
        <f t="shared" ca="1" si="8"/>
        <v>21337</v>
      </c>
      <c r="AD13" t="str">
        <f t="shared" ca="1" si="9"/>
        <v>JC Kingston Transportation</v>
      </c>
      <c r="AE13" t="s">
        <v>130</v>
      </c>
      <c r="AF13" t="s">
        <v>130</v>
      </c>
      <c r="AG13" t="s">
        <v>130</v>
      </c>
      <c r="AH13" t="str">
        <f t="shared" ca="1" si="10"/>
        <v>2016-01-29</v>
      </c>
      <c r="AI13" t="str">
        <f t="shared" ca="1" si="11"/>
        <v>2016-08-11</v>
      </c>
      <c r="AJ13" t="str">
        <f t="shared" ca="1" si="12"/>
        <v>2017-08-11</v>
      </c>
      <c r="AK13" t="s">
        <v>130</v>
      </c>
      <c r="AL13" t="s">
        <v>130</v>
      </c>
    </row>
    <row r="14" spans="1:38" x14ac:dyDescent="0.3">
      <c r="A14" t="s">
        <v>371</v>
      </c>
      <c r="B14">
        <f t="shared" ca="1" si="0"/>
        <v>45717506</v>
      </c>
      <c r="C14">
        <f t="shared" ca="1" si="1"/>
        <v>2007</v>
      </c>
      <c r="D14" t="s">
        <v>27</v>
      </c>
      <c r="E14" t="s">
        <v>190</v>
      </c>
      <c r="F14" t="str">
        <f t="shared" ca="1" si="2"/>
        <v>VIP-232199</v>
      </c>
      <c r="G14">
        <f t="shared" ca="1" si="3"/>
        <v>41474</v>
      </c>
      <c r="H14">
        <f t="shared" ca="1" si="4"/>
        <v>147501</v>
      </c>
      <c r="I14" t="str">
        <f ca="1">VLOOKUP(RANDBETWEEN(1,60),Lookups!$A:$Q,12,FALSE)</f>
        <v>INTERANTIONAL</v>
      </c>
      <c r="J14" t="str">
        <f ca="1">VLOOKUP(RANDBETWEEN(1,4),Lookups!A:Q,13,FALSE)</f>
        <v>SBUS</v>
      </c>
      <c r="K14" t="s">
        <v>130</v>
      </c>
      <c r="L14" s="1">
        <v>42551</v>
      </c>
      <c r="M14">
        <f t="shared" ca="1" si="5"/>
        <v>320096</v>
      </c>
      <c r="N14" t="str">
        <f ca="1">VLOOKUP(RANDBETWEEN(1,212),Lookups!$A:$Q,11,FALSE)</f>
        <v>COACH</v>
      </c>
      <c r="O14" t="str">
        <f ca="1">INDEX(Lookups!N:N,RANDBETWEEN(2,9),1)</f>
        <v>L</v>
      </c>
      <c r="P14">
        <f ca="1">INDEX(Lookups!O:O,RANDBETWEEN(2,82),1)</f>
        <v>58</v>
      </c>
      <c r="Q14" t="s">
        <v>130</v>
      </c>
      <c r="R14" t="s">
        <v>130</v>
      </c>
      <c r="S14" t="s">
        <v>130</v>
      </c>
      <c r="T14" t="str">
        <f ca="1">INDEX(Lookups!D:D,RANDBETWEEN(2,10),1)</f>
        <v>Wilson's Transportion, Inc.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130</v>
      </c>
      <c r="AB14" t="s">
        <v>130</v>
      </c>
      <c r="AC14">
        <f t="shared" ca="1" si="8"/>
        <v>40043</v>
      </c>
      <c r="AD14" t="str">
        <f t="shared" ca="1" si="9"/>
        <v>Wilson's Transportion, Inc.</v>
      </c>
      <c r="AE14" t="s">
        <v>130</v>
      </c>
      <c r="AF14" t="s">
        <v>130</v>
      </c>
      <c r="AG14" t="s">
        <v>130</v>
      </c>
      <c r="AH14" t="str">
        <f t="shared" ca="1" si="10"/>
        <v>2016-08-07</v>
      </c>
      <c r="AI14" t="str">
        <f t="shared" ca="1" si="11"/>
        <v>2016-01-24</v>
      </c>
      <c r="AJ14" t="str">
        <f t="shared" ca="1" si="12"/>
        <v>2017-01-23</v>
      </c>
      <c r="AK14" t="s">
        <v>130</v>
      </c>
      <c r="AL14" t="s">
        <v>130</v>
      </c>
    </row>
    <row r="15" spans="1:38" x14ac:dyDescent="0.3">
      <c r="A15" t="s">
        <v>371</v>
      </c>
      <c r="B15">
        <f t="shared" ca="1" si="0"/>
        <v>39232291</v>
      </c>
      <c r="C15">
        <f t="shared" ca="1" si="1"/>
        <v>2001</v>
      </c>
      <c r="D15" t="s">
        <v>27</v>
      </c>
      <c r="E15" t="s">
        <v>190</v>
      </c>
      <c r="F15" t="str">
        <f t="shared" ca="1" si="2"/>
        <v>VIP-419521</v>
      </c>
      <c r="G15">
        <f t="shared" ca="1" si="3"/>
        <v>10485</v>
      </c>
      <c r="H15">
        <f t="shared" ca="1" si="4"/>
        <v>455415</v>
      </c>
      <c r="I15" t="str">
        <f ca="1">VLOOKUP(RANDBETWEEN(1,60),Lookups!$A:$Q,12,FALSE)</f>
        <v>INTERNATNA</v>
      </c>
      <c r="J15" t="str">
        <f ca="1">VLOOKUP(RANDBETWEEN(1,4),Lookups!A:Q,13,FALSE)</f>
        <v>TBUS</v>
      </c>
      <c r="K15" t="s">
        <v>130</v>
      </c>
      <c r="L15" s="1">
        <v>42551</v>
      </c>
      <c r="M15">
        <f t="shared" ca="1" si="5"/>
        <v>395889</v>
      </c>
      <c r="N15" t="str">
        <f ca="1">VLOOKUP(RANDBETWEEN(1,212),Lookups!$A:$Q,11,FALSE)</f>
        <v>INTERNATIONAL</v>
      </c>
      <c r="O15" t="str">
        <f ca="1">INDEX(Lookups!N:N,RANDBETWEEN(2,9),1)</f>
        <v>U</v>
      </c>
      <c r="P15">
        <f ca="1">INDEX(Lookups!O:O,RANDBETWEEN(2,82),1)</f>
        <v>57</v>
      </c>
      <c r="Q15" t="s">
        <v>130</v>
      </c>
      <c r="R15" t="s">
        <v>130</v>
      </c>
      <c r="S15" t="s">
        <v>130</v>
      </c>
      <c r="T15" t="str">
        <f ca="1">INDEX(Lookups!D:D,RANDBETWEEN(2,10),1)</f>
        <v>Edwards &amp; Co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130</v>
      </c>
      <c r="AB15" t="s">
        <v>130</v>
      </c>
      <c r="AC15">
        <f t="shared" ca="1" si="8"/>
        <v>36350</v>
      </c>
      <c r="AD15" t="str">
        <f t="shared" ca="1" si="9"/>
        <v>Edwards &amp; Co</v>
      </c>
      <c r="AE15" t="s">
        <v>130</v>
      </c>
      <c r="AF15" t="s">
        <v>130</v>
      </c>
      <c r="AG15" t="s">
        <v>130</v>
      </c>
      <c r="AH15" t="str">
        <f t="shared" ca="1" si="10"/>
        <v>2013-10-31</v>
      </c>
      <c r="AI15" t="str">
        <f t="shared" ca="1" si="11"/>
        <v>2016-08-03</v>
      </c>
      <c r="AJ15" t="str">
        <f t="shared" ca="1" si="12"/>
        <v>2017-08-03</v>
      </c>
      <c r="AK15" t="s">
        <v>130</v>
      </c>
      <c r="AL15" t="s">
        <v>130</v>
      </c>
    </row>
    <row r="16" spans="1:38" x14ac:dyDescent="0.3">
      <c r="A16" t="s">
        <v>371</v>
      </c>
      <c r="B16">
        <f t="shared" ca="1" si="0"/>
        <v>20833738</v>
      </c>
      <c r="C16">
        <f t="shared" ca="1" si="1"/>
        <v>1993</v>
      </c>
      <c r="D16" t="s">
        <v>27</v>
      </c>
      <c r="E16" t="s">
        <v>190</v>
      </c>
      <c r="F16" t="str">
        <f t="shared" ca="1" si="2"/>
        <v>VIP-340178</v>
      </c>
      <c r="G16">
        <f t="shared" ca="1" si="3"/>
        <v>33766</v>
      </c>
      <c r="H16">
        <f t="shared" ca="1" si="4"/>
        <v>435740</v>
      </c>
      <c r="I16" t="str">
        <f ca="1">VLOOKUP(RANDBETWEEN(1,60),Lookups!$A:$Q,12,FALSE)</f>
        <v>IHC</v>
      </c>
      <c r="J16" t="str">
        <f ca="1">VLOOKUP(RANDBETWEEN(1,4),Lookups!A:Q,13,FALSE)</f>
        <v>TBUS</v>
      </c>
      <c r="K16" t="s">
        <v>130</v>
      </c>
      <c r="L16" s="1">
        <v>42551</v>
      </c>
      <c r="M16">
        <f t="shared" ca="1" si="5"/>
        <v>127019</v>
      </c>
      <c r="N16" t="str">
        <f ca="1">VLOOKUP(RANDBETWEEN(1,212),Lookups!$A:$Q,11,FALSE)</f>
        <v>GIARDINE</v>
      </c>
      <c r="O16" t="str">
        <f ca="1">INDEX(Lookups!N:N,RANDBETWEEN(2,9),1)</f>
        <v>S</v>
      </c>
      <c r="P16">
        <f ca="1">INDEX(Lookups!O:O,RANDBETWEEN(2,82),1)</f>
        <v>55</v>
      </c>
      <c r="Q16" t="s">
        <v>130</v>
      </c>
      <c r="R16" t="s">
        <v>130</v>
      </c>
      <c r="S16" t="s">
        <v>130</v>
      </c>
      <c r="T16" t="str">
        <f ca="1">INDEX(Lookups!D:D,RANDBETWEEN(2,10),1)</f>
        <v>SMUS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130</v>
      </c>
      <c r="AB16" t="s">
        <v>130</v>
      </c>
      <c r="AC16">
        <f t="shared" ca="1" si="8"/>
        <v>44271</v>
      </c>
      <c r="AD16" t="str">
        <f t="shared" ca="1" si="9"/>
        <v>SMUS</v>
      </c>
      <c r="AE16" t="s">
        <v>130</v>
      </c>
      <c r="AF16" t="s">
        <v>130</v>
      </c>
      <c r="AG16" t="s">
        <v>130</v>
      </c>
      <c r="AH16" t="str">
        <f t="shared" ca="1" si="10"/>
        <v>2016-08-13</v>
      </c>
      <c r="AI16" t="str">
        <f t="shared" ca="1" si="11"/>
        <v>2016-08-10</v>
      </c>
      <c r="AJ16" t="str">
        <f t="shared" ca="1" si="12"/>
        <v>2017-08-10</v>
      </c>
      <c r="AK16" t="s">
        <v>130</v>
      </c>
      <c r="AL16" t="s">
        <v>130</v>
      </c>
    </row>
    <row r="17" spans="1:38" x14ac:dyDescent="0.3">
      <c r="A17" t="s">
        <v>371</v>
      </c>
      <c r="B17">
        <f t="shared" ca="1" si="0"/>
        <v>36524494</v>
      </c>
      <c r="C17">
        <f t="shared" ca="1" si="1"/>
        <v>2005</v>
      </c>
      <c r="D17" t="s">
        <v>27</v>
      </c>
      <c r="E17" t="s">
        <v>190</v>
      </c>
      <c r="F17" t="str">
        <f t="shared" ca="1" si="2"/>
        <v>VIP-475347</v>
      </c>
      <c r="G17">
        <f t="shared" ca="1" si="3"/>
        <v>19897</v>
      </c>
      <c r="H17">
        <f t="shared" ca="1" si="4"/>
        <v>161869</v>
      </c>
      <c r="I17" t="str">
        <f ca="1">VLOOKUP(RANDBETWEEN(1,60),Lookups!$A:$Q,12,FALSE)</f>
        <v>TOYOTA</v>
      </c>
      <c r="J17" t="str">
        <f ca="1">VLOOKUP(RANDBETWEEN(1,4),Lookups!A:Q,13,FALSE)</f>
        <v>SBUS</v>
      </c>
      <c r="K17" t="s">
        <v>130</v>
      </c>
      <c r="L17" s="1">
        <v>42551</v>
      </c>
      <c r="M17">
        <f t="shared" ca="1" si="5"/>
        <v>209611</v>
      </c>
      <c r="N17" t="str">
        <f ca="1">VLOOKUP(RANDBETWEEN(1,212),Lookups!$A:$Q,11,FALSE)</f>
        <v>2WDR</v>
      </c>
      <c r="O17" t="str">
        <f ca="1">INDEX(Lookups!N:N,RANDBETWEEN(2,9),1)</f>
        <v>U</v>
      </c>
      <c r="P17">
        <f ca="1">INDEX(Lookups!O:O,RANDBETWEEN(2,82),1)</f>
        <v>13</v>
      </c>
      <c r="Q17" t="s">
        <v>130</v>
      </c>
      <c r="R17" t="s">
        <v>130</v>
      </c>
      <c r="S17" t="s">
        <v>130</v>
      </c>
      <c r="T17" t="str">
        <f ca="1">INDEX(Lookups!D:D,RANDBETWEEN(2,10),1)</f>
        <v>SMUS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130</v>
      </c>
      <c r="AB17" t="s">
        <v>130</v>
      </c>
      <c r="AC17">
        <f t="shared" ca="1" si="8"/>
        <v>26591</v>
      </c>
      <c r="AD17" t="str">
        <f t="shared" ca="1" si="9"/>
        <v>SMUS</v>
      </c>
      <c r="AE17" t="s">
        <v>130</v>
      </c>
      <c r="AF17" t="s">
        <v>130</v>
      </c>
      <c r="AG17" t="s">
        <v>130</v>
      </c>
      <c r="AH17" t="str">
        <f t="shared" ca="1" si="10"/>
        <v>2013-09-07</v>
      </c>
      <c r="AI17" t="str">
        <f t="shared" ca="1" si="11"/>
        <v>2016-01-16</v>
      </c>
      <c r="AJ17" t="str">
        <f t="shared" ca="1" si="12"/>
        <v>2017-01-15</v>
      </c>
      <c r="AK17" t="s">
        <v>130</v>
      </c>
      <c r="AL17" t="s">
        <v>130</v>
      </c>
    </row>
    <row r="18" spans="1:38" x14ac:dyDescent="0.3">
      <c r="A18" t="s">
        <v>371</v>
      </c>
      <c r="B18">
        <f t="shared" ca="1" si="0"/>
        <v>24018529</v>
      </c>
      <c r="C18">
        <f t="shared" ca="1" si="1"/>
        <v>2014</v>
      </c>
      <c r="D18" t="s">
        <v>27</v>
      </c>
      <c r="E18" t="s">
        <v>190</v>
      </c>
      <c r="F18" t="str">
        <f t="shared" ca="1" si="2"/>
        <v>VIP-213515</v>
      </c>
      <c r="G18">
        <f t="shared" ca="1" si="3"/>
        <v>21354</v>
      </c>
      <c r="H18">
        <f t="shared" ca="1" si="4"/>
        <v>233927</v>
      </c>
      <c r="I18">
        <f ca="1">VLOOKUP(RANDBETWEEN(1,60),Lookups!$A:$Q,12,FALSE)</f>
        <v>0</v>
      </c>
      <c r="J18" t="str">
        <f ca="1">VLOOKUP(RANDBETWEEN(1,4),Lookups!A:Q,13,FALSE)</f>
        <v>OTHER</v>
      </c>
      <c r="K18" t="s">
        <v>130</v>
      </c>
      <c r="L18" s="1">
        <v>42551</v>
      </c>
      <c r="M18">
        <f t="shared" ca="1" si="5"/>
        <v>492935</v>
      </c>
      <c r="N18" t="str">
        <f ca="1">VLOOKUP(RANDBETWEEN(1,212),Lookups!$A:$Q,11,FALSE)</f>
        <v>CHAMPION</v>
      </c>
      <c r="O18" t="str">
        <f ca="1">INDEX(Lookups!N:N,RANDBETWEEN(2,9),1)</f>
        <v>N</v>
      </c>
      <c r="P18">
        <f ca="1">INDEX(Lookups!O:O,RANDBETWEEN(2,82),1)</f>
        <v>54</v>
      </c>
      <c r="Q18" t="s">
        <v>130</v>
      </c>
      <c r="R18" t="s">
        <v>130</v>
      </c>
      <c r="S18" t="s">
        <v>130</v>
      </c>
      <c r="T18" t="str">
        <f ca="1">INDEX(Lookups!D:D,RANDBETWEEN(2,10),1)</f>
        <v>BC Transit School Bus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130</v>
      </c>
      <c r="AB18" t="s">
        <v>130</v>
      </c>
      <c r="AC18">
        <f t="shared" ca="1" si="8"/>
        <v>46403</v>
      </c>
      <c r="AD18" t="str">
        <f t="shared" ca="1" si="9"/>
        <v>BC Transit School Bus</v>
      </c>
      <c r="AE18" t="s">
        <v>130</v>
      </c>
      <c r="AF18" t="s">
        <v>130</v>
      </c>
      <c r="AG18" t="s">
        <v>130</v>
      </c>
      <c r="AH18" t="str">
        <f t="shared" ca="1" si="10"/>
        <v>2016-05-11</v>
      </c>
      <c r="AI18" t="str">
        <f t="shared" ca="1" si="11"/>
        <v>2016-04-01</v>
      </c>
      <c r="AJ18" t="str">
        <f t="shared" ca="1" si="12"/>
        <v>2017-04-01</v>
      </c>
      <c r="AK18" t="s">
        <v>130</v>
      </c>
      <c r="AL18" t="s">
        <v>130</v>
      </c>
    </row>
    <row r="19" spans="1:38" x14ac:dyDescent="0.3">
      <c r="A19" t="s">
        <v>371</v>
      </c>
      <c r="B19">
        <f t="shared" ca="1" si="0"/>
        <v>18880168</v>
      </c>
      <c r="C19">
        <f t="shared" ca="1" si="1"/>
        <v>1997</v>
      </c>
      <c r="D19" t="s">
        <v>27</v>
      </c>
      <c r="E19" t="s">
        <v>190</v>
      </c>
      <c r="F19" t="str">
        <f t="shared" ca="1" si="2"/>
        <v>VIP-100118</v>
      </c>
      <c r="G19">
        <f t="shared" ca="1" si="3"/>
        <v>45683</v>
      </c>
      <c r="H19">
        <f t="shared" ca="1" si="4"/>
        <v>269446</v>
      </c>
      <c r="I19" t="str">
        <f ca="1">VLOOKUP(RANDBETWEEN(1,60),Lookups!$A:$Q,12,FALSE)</f>
        <v>INTERNATIONAL</v>
      </c>
      <c r="J19" t="str">
        <f ca="1">VLOOKUP(RANDBETWEEN(1,4),Lookups!A:Q,13,FALSE)</f>
        <v>OTHER</v>
      </c>
      <c r="K19" t="s">
        <v>130</v>
      </c>
      <c r="L19" s="1">
        <v>42551</v>
      </c>
      <c r="M19">
        <f t="shared" ca="1" si="5"/>
        <v>282358</v>
      </c>
      <c r="N19" t="str">
        <f ca="1">VLOOKUP(RANDBETWEEN(1,212),Lookups!$A:$Q,11,FALSE)</f>
        <v>CHEVY</v>
      </c>
      <c r="O19" t="str">
        <f ca="1">INDEX(Lookups!N:N,RANDBETWEEN(2,9),1)</f>
        <v>P</v>
      </c>
      <c r="P19">
        <f ca="1">INDEX(Lookups!O:O,RANDBETWEEN(2,82),1)</f>
        <v>15</v>
      </c>
      <c r="Q19" t="s">
        <v>130</v>
      </c>
      <c r="R19" t="s">
        <v>130</v>
      </c>
      <c r="S19" t="s">
        <v>130</v>
      </c>
      <c r="T19" t="str">
        <f ca="1">INDEX(Lookups!D:D,RANDBETWEEN(2,10),1)</f>
        <v>Edwards &amp; Co</v>
      </c>
      <c r="U19" t="str">
        <f>INDEX(Names!G:G,60+ROW(),1)</f>
        <v>4397 Burdett Avenue</v>
      </c>
      <c r="V19" t="str">
        <f t="shared" ca="1" si="6"/>
        <v>Unit 100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130</v>
      </c>
      <c r="AB19" t="s">
        <v>130</v>
      </c>
      <c r="AC19">
        <f t="shared" ca="1" si="8"/>
        <v>45928</v>
      </c>
      <c r="AD19" t="str">
        <f t="shared" ca="1" si="9"/>
        <v>Edwards &amp; Co</v>
      </c>
      <c r="AE19" t="s">
        <v>130</v>
      </c>
      <c r="AF19" t="s">
        <v>130</v>
      </c>
      <c r="AG19" t="s">
        <v>130</v>
      </c>
      <c r="AH19" t="str">
        <f t="shared" ca="1" si="10"/>
        <v>2014-07-12</v>
      </c>
      <c r="AI19" t="str">
        <f t="shared" ca="1" si="11"/>
        <v>2016-03-28</v>
      </c>
      <c r="AJ19" t="str">
        <f t="shared" ca="1" si="12"/>
        <v>2017-03-28</v>
      </c>
      <c r="AK19" t="s">
        <v>130</v>
      </c>
      <c r="AL19" t="s">
        <v>130</v>
      </c>
    </row>
    <row r="20" spans="1:38" x14ac:dyDescent="0.3">
      <c r="A20" t="s">
        <v>371</v>
      </c>
      <c r="B20">
        <f t="shared" ca="1" si="0"/>
        <v>21133086</v>
      </c>
      <c r="C20">
        <f t="shared" ca="1" si="1"/>
        <v>2014</v>
      </c>
      <c r="D20" t="s">
        <v>27</v>
      </c>
      <c r="E20" t="s">
        <v>190</v>
      </c>
      <c r="F20" t="str">
        <f t="shared" ca="1" si="2"/>
        <v>VIP-237842</v>
      </c>
      <c r="G20">
        <f t="shared" ca="1" si="3"/>
        <v>11854</v>
      </c>
      <c r="H20">
        <f t="shared" ca="1" si="4"/>
        <v>279711</v>
      </c>
      <c r="I20" t="str">
        <f ca="1">VLOOKUP(RANDBETWEEN(1,60),Lookups!$A:$Q,12,FALSE)</f>
        <v>INTERANTIONAL</v>
      </c>
      <c r="J20" t="str">
        <f ca="1">VLOOKUP(RANDBETWEEN(1,4),Lookups!A:Q,13,FALSE)</f>
        <v>SBUS</v>
      </c>
      <c r="K20" t="s">
        <v>130</v>
      </c>
      <c r="L20" s="1">
        <v>42551</v>
      </c>
      <c r="M20">
        <f t="shared" ca="1" si="5"/>
        <v>375580</v>
      </c>
      <c r="N20" t="str">
        <f ca="1">VLOOKUP(RANDBETWEEN(1,212),Lookups!$A:$Q,11,FALSE)</f>
        <v>H3-41</v>
      </c>
      <c r="O20" t="str">
        <f ca="1">INDEX(Lookups!N:N,RANDBETWEEN(2,9),1)</f>
        <v>L</v>
      </c>
      <c r="P20">
        <f ca="1">INDEX(Lookups!O:O,RANDBETWEEN(2,82),1)</f>
        <v>31</v>
      </c>
      <c r="Q20" t="s">
        <v>130</v>
      </c>
      <c r="R20" t="s">
        <v>130</v>
      </c>
      <c r="S20" t="s">
        <v>130</v>
      </c>
      <c r="T20" t="str">
        <f ca="1">INDEX(Lookups!D:D,RANDBETWEEN(2,10),1)</f>
        <v>SMUS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130</v>
      </c>
      <c r="AB20" t="s">
        <v>130</v>
      </c>
      <c r="AC20">
        <f t="shared" ca="1" si="8"/>
        <v>33912</v>
      </c>
      <c r="AD20" t="str">
        <f t="shared" ca="1" si="9"/>
        <v>SMUS</v>
      </c>
      <c r="AE20" t="s">
        <v>130</v>
      </c>
      <c r="AF20" t="s">
        <v>130</v>
      </c>
      <c r="AG20" t="s">
        <v>130</v>
      </c>
      <c r="AH20" t="str">
        <f t="shared" ca="1" si="10"/>
        <v>2016-02-29</v>
      </c>
      <c r="AI20" t="str">
        <f t="shared" ca="1" si="11"/>
        <v>2016-11-11</v>
      </c>
      <c r="AJ20" t="str">
        <f t="shared" ca="1" si="12"/>
        <v>2017-11-11</v>
      </c>
      <c r="AK20" t="s">
        <v>130</v>
      </c>
      <c r="AL20" t="s">
        <v>130</v>
      </c>
    </row>
    <row r="21" spans="1:38" x14ac:dyDescent="0.3">
      <c r="A21" t="s">
        <v>371</v>
      </c>
      <c r="B21">
        <f t="shared" ca="1" si="0"/>
        <v>28360998</v>
      </c>
      <c r="C21">
        <f t="shared" ca="1" si="1"/>
        <v>1999</v>
      </c>
      <c r="D21" t="s">
        <v>27</v>
      </c>
      <c r="E21" t="s">
        <v>190</v>
      </c>
      <c r="F21" t="str">
        <f t="shared" ca="1" si="2"/>
        <v>VIP-289227</v>
      </c>
      <c r="G21">
        <f t="shared" ca="1" si="3"/>
        <v>27306</v>
      </c>
      <c r="H21">
        <f t="shared" ca="1" si="4"/>
        <v>291971</v>
      </c>
      <c r="I21" t="str">
        <f ca="1">VLOOKUP(RANDBETWEEN(1,60),Lookups!$A:$Q,12,FALSE)</f>
        <v>PONTIAC</v>
      </c>
      <c r="J21" t="str">
        <f ca="1">VLOOKUP(RANDBETWEEN(1,4),Lookups!A:Q,13,FALSE)</f>
        <v>SBUS</v>
      </c>
      <c r="K21" t="s">
        <v>130</v>
      </c>
      <c r="L21" s="1">
        <v>42551</v>
      </c>
      <c r="M21">
        <f t="shared" ca="1" si="5"/>
        <v>216745</v>
      </c>
      <c r="N21" t="str">
        <f ca="1">VLOOKUP(RANDBETWEEN(1,212),Lookups!$A:$Q,11,FALSE)</f>
        <v>GIRARDIN G 5</v>
      </c>
      <c r="O21" t="str">
        <f ca="1">INDEX(Lookups!N:N,RANDBETWEEN(2,9),1)</f>
        <v>G</v>
      </c>
      <c r="P21">
        <f ca="1">INDEX(Lookups!O:O,RANDBETWEEN(2,82),1)</f>
        <v>70</v>
      </c>
      <c r="Q21" t="s">
        <v>130</v>
      </c>
      <c r="R21" t="s">
        <v>130</v>
      </c>
      <c r="S21" t="s">
        <v>130</v>
      </c>
      <c r="T21" t="str">
        <f ca="1">INDEX(Lookups!D:D,RANDBETWEEN(2,10),1)</f>
        <v>School District 62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130</v>
      </c>
      <c r="AB21" t="s">
        <v>130</v>
      </c>
      <c r="AC21">
        <f t="shared" ca="1" si="8"/>
        <v>28759</v>
      </c>
      <c r="AD21" t="str">
        <f t="shared" ca="1" si="9"/>
        <v>School District 62</v>
      </c>
      <c r="AE21" t="s">
        <v>130</v>
      </c>
      <c r="AF21" t="s">
        <v>130</v>
      </c>
      <c r="AG21" t="s">
        <v>130</v>
      </c>
      <c r="AH21" t="str">
        <f t="shared" ca="1" si="10"/>
        <v>2015-06-28</v>
      </c>
      <c r="AI21" t="str">
        <f t="shared" ca="1" si="11"/>
        <v>2016-03-18</v>
      </c>
      <c r="AJ21" t="str">
        <f t="shared" ca="1" si="12"/>
        <v>2017-03-18</v>
      </c>
      <c r="AK21" t="s">
        <v>130</v>
      </c>
      <c r="AL21" t="s">
        <v>130</v>
      </c>
    </row>
    <row r="22" spans="1:38" x14ac:dyDescent="0.3">
      <c r="A22" t="s">
        <v>371</v>
      </c>
      <c r="B22">
        <f t="shared" ca="1" si="0"/>
        <v>16799482</v>
      </c>
      <c r="C22">
        <f t="shared" ca="1" si="1"/>
        <v>2007</v>
      </c>
      <c r="D22" t="s">
        <v>27</v>
      </c>
      <c r="E22" t="s">
        <v>190</v>
      </c>
      <c r="F22" t="str">
        <f t="shared" ca="1" si="2"/>
        <v>VIP-434511</v>
      </c>
      <c r="G22">
        <f t="shared" ca="1" si="3"/>
        <v>48543</v>
      </c>
      <c r="H22">
        <f t="shared" ca="1" si="4"/>
        <v>208833</v>
      </c>
      <c r="I22" t="str">
        <f ca="1">VLOOKUP(RANDBETWEEN(1,60),Lookups!$A:$Q,12,FALSE)</f>
        <v>ADL</v>
      </c>
      <c r="J22" t="str">
        <f ca="1">VLOOKUP(RANDBETWEEN(1,4),Lookups!A:Q,13,FALSE)</f>
        <v>SBUS</v>
      </c>
      <c r="K22" t="s">
        <v>130</v>
      </c>
      <c r="L22" s="1">
        <v>42551</v>
      </c>
      <c r="M22">
        <f t="shared" ca="1" si="5"/>
        <v>195593</v>
      </c>
      <c r="N22" t="str">
        <f ca="1">VLOOKUP(RANDBETWEEN(1,212),Lookups!$A:$Q,11,FALSE)</f>
        <v>H-345</v>
      </c>
      <c r="O22" t="str">
        <f ca="1">INDEX(Lookups!N:N,RANDBETWEEN(2,9),1)</f>
        <v>G</v>
      </c>
      <c r="P22">
        <f ca="1">INDEX(Lookups!O:O,RANDBETWEEN(2,82),1)</f>
        <v>39</v>
      </c>
      <c r="Q22" t="s">
        <v>130</v>
      </c>
      <c r="R22" t="s">
        <v>130</v>
      </c>
      <c r="S22" t="s">
        <v>130</v>
      </c>
      <c r="T22" t="str">
        <f ca="1">INDEX(Lookups!D:D,RANDBETWEEN(2,10),1)</f>
        <v>SMUS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Archived</v>
      </c>
      <c r="AA22" t="s">
        <v>130</v>
      </c>
      <c r="AB22" t="s">
        <v>130</v>
      </c>
      <c r="AC22">
        <f t="shared" ca="1" si="8"/>
        <v>20159</v>
      </c>
      <c r="AD22" t="str">
        <f t="shared" ca="1" si="9"/>
        <v>SMUS</v>
      </c>
      <c r="AE22" t="s">
        <v>130</v>
      </c>
      <c r="AF22" t="s">
        <v>130</v>
      </c>
      <c r="AG22" t="s">
        <v>130</v>
      </c>
      <c r="AH22" t="str">
        <f t="shared" ca="1" si="10"/>
        <v>2014-05-18</v>
      </c>
      <c r="AI22" t="str">
        <f t="shared" ca="1" si="11"/>
        <v>2016-10-08</v>
      </c>
      <c r="AJ22" t="str">
        <f t="shared" ca="1" si="12"/>
        <v>2017-10-08</v>
      </c>
      <c r="AK22" t="s">
        <v>130</v>
      </c>
      <c r="AL22" t="s">
        <v>130</v>
      </c>
    </row>
    <row r="23" spans="1:38" x14ac:dyDescent="0.3">
      <c r="A23" t="s">
        <v>371</v>
      </c>
      <c r="B23">
        <f t="shared" ca="1" si="0"/>
        <v>46241940</v>
      </c>
      <c r="C23">
        <f t="shared" ca="1" si="1"/>
        <v>1994</v>
      </c>
      <c r="D23" t="s">
        <v>27</v>
      </c>
      <c r="E23" t="s">
        <v>190</v>
      </c>
      <c r="F23" t="str">
        <f t="shared" ca="1" si="2"/>
        <v>VIP-218611</v>
      </c>
      <c r="G23">
        <f t="shared" ca="1" si="3"/>
        <v>18300</v>
      </c>
      <c r="H23">
        <f t="shared" ca="1" si="4"/>
        <v>462836</v>
      </c>
      <c r="I23" t="str">
        <f ca="1">VLOOKUP(RANDBETWEEN(1,60),Lookups!$A:$Q,12,FALSE)</f>
        <v>CORBIEL</v>
      </c>
      <c r="J23" t="str">
        <f ca="1">VLOOKUP(RANDBETWEEN(1,4),Lookups!A:Q,13,FALSE)</f>
        <v>TBUS</v>
      </c>
      <c r="K23" t="s">
        <v>130</v>
      </c>
      <c r="L23" s="1">
        <v>42551</v>
      </c>
      <c r="M23">
        <f t="shared" ca="1" si="5"/>
        <v>394401</v>
      </c>
      <c r="N23" t="str">
        <f ca="1">VLOOKUP(RANDBETWEEN(1,212),Lookups!$A:$Q,11,FALSE)</f>
        <v>102 D3</v>
      </c>
      <c r="O23" t="str">
        <f ca="1">INDEX(Lookups!N:N,RANDBETWEEN(2,9),1)</f>
        <v>U</v>
      </c>
      <c r="P23">
        <f ca="1">INDEX(Lookups!O:O,RANDBETWEEN(2,82),1)</f>
        <v>1</v>
      </c>
      <c r="Q23" t="s">
        <v>130</v>
      </c>
      <c r="R23" t="s">
        <v>130</v>
      </c>
      <c r="S23" t="s">
        <v>130</v>
      </c>
      <c r="T23" t="str">
        <f ca="1">INDEX(Lookups!D:D,RANDBETWEEN(2,10),1)</f>
        <v>BC Transit School Bus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130</v>
      </c>
      <c r="AB23" t="s">
        <v>130</v>
      </c>
      <c r="AC23">
        <f t="shared" ca="1" si="8"/>
        <v>26676</v>
      </c>
      <c r="AD23" t="str">
        <f t="shared" ca="1" si="9"/>
        <v>BC Transit School Bus</v>
      </c>
      <c r="AE23" t="s">
        <v>130</v>
      </c>
      <c r="AF23" t="s">
        <v>130</v>
      </c>
      <c r="AG23" t="s">
        <v>130</v>
      </c>
      <c r="AH23" t="str">
        <f t="shared" ca="1" si="10"/>
        <v>2016-08-22</v>
      </c>
      <c r="AI23" t="str">
        <f t="shared" ca="1" si="11"/>
        <v>2016-02-06</v>
      </c>
      <c r="AJ23" t="str">
        <f t="shared" ca="1" si="12"/>
        <v>2017-02-05</v>
      </c>
      <c r="AK23" t="s">
        <v>130</v>
      </c>
      <c r="AL23" t="s">
        <v>130</v>
      </c>
    </row>
    <row r="24" spans="1:38" x14ac:dyDescent="0.3">
      <c r="A24" t="s">
        <v>371</v>
      </c>
      <c r="B24">
        <f t="shared" ca="1" si="0"/>
        <v>43079988</v>
      </c>
      <c r="C24">
        <f t="shared" ca="1" si="1"/>
        <v>2017</v>
      </c>
      <c r="D24" t="s">
        <v>27</v>
      </c>
      <c r="E24" t="s">
        <v>190</v>
      </c>
      <c r="F24" t="str">
        <f t="shared" ca="1" si="2"/>
        <v>VIP-423869</v>
      </c>
      <c r="G24">
        <f t="shared" ca="1" si="3"/>
        <v>41204</v>
      </c>
      <c r="H24">
        <f t="shared" ca="1" si="4"/>
        <v>230239</v>
      </c>
      <c r="I24" t="str">
        <f ca="1">VLOOKUP(RANDBETWEEN(1,60),Lookups!$A:$Q,12,FALSE)</f>
        <v>INTERNAT</v>
      </c>
      <c r="J24" t="str">
        <f ca="1">VLOOKUP(RANDBETWEEN(1,4),Lookups!A:Q,13,FALSE)</f>
        <v>TBUS</v>
      </c>
      <c r="K24" t="s">
        <v>130</v>
      </c>
      <c r="L24" s="1">
        <v>42551</v>
      </c>
      <c r="M24">
        <f t="shared" ca="1" si="5"/>
        <v>341223</v>
      </c>
      <c r="N24" t="str">
        <f ca="1">VLOOKUP(RANDBETWEEN(1,212),Lookups!$A:$Q,11,FALSE)</f>
        <v>SCHOOL BUS</v>
      </c>
      <c r="O24" t="str">
        <f ca="1">INDEX(Lookups!N:N,RANDBETWEEN(2,9),1)</f>
        <v>U</v>
      </c>
      <c r="P24">
        <f ca="1">INDEX(Lookups!O:O,RANDBETWEEN(2,82),1)</f>
        <v>34</v>
      </c>
      <c r="Q24" t="s">
        <v>130</v>
      </c>
      <c r="R24" t="s">
        <v>130</v>
      </c>
      <c r="S24" t="s">
        <v>130</v>
      </c>
      <c r="T24" t="str">
        <f ca="1">INDEX(Lookups!D:D,RANDBETWEEN(2,10),1)</f>
        <v>Wilson's Transportion, Inc.</v>
      </c>
      <c r="U24" t="str">
        <f>INDEX(Names!G:G,60+ROW(),1)</f>
        <v>2031 Blind Bay Road</v>
      </c>
      <c r="V24" t="str">
        <f t="shared" ca="1" si="6"/>
        <v>Unit 100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130</v>
      </c>
      <c r="AB24" t="s">
        <v>130</v>
      </c>
      <c r="AC24">
        <f t="shared" ca="1" si="8"/>
        <v>45780</v>
      </c>
      <c r="AD24" t="str">
        <f t="shared" ca="1" si="9"/>
        <v>Wilson's Transportion, Inc.</v>
      </c>
      <c r="AE24" t="s">
        <v>130</v>
      </c>
      <c r="AF24" t="s">
        <v>130</v>
      </c>
      <c r="AG24" t="s">
        <v>130</v>
      </c>
      <c r="AH24" t="str">
        <f t="shared" ca="1" si="10"/>
        <v>2015-10-05</v>
      </c>
      <c r="AI24" t="str">
        <f t="shared" ca="1" si="11"/>
        <v>2016-10-21</v>
      </c>
      <c r="AJ24" t="str">
        <f t="shared" ca="1" si="12"/>
        <v>2017-10-21</v>
      </c>
      <c r="AK24" t="s">
        <v>130</v>
      </c>
      <c r="AL24" t="s">
        <v>130</v>
      </c>
    </row>
    <row r="25" spans="1:38" x14ac:dyDescent="0.3">
      <c r="A25" t="s">
        <v>371</v>
      </c>
      <c r="B25">
        <f t="shared" ca="1" si="0"/>
        <v>17381152</v>
      </c>
      <c r="C25">
        <f t="shared" ca="1" si="1"/>
        <v>2002</v>
      </c>
      <c r="D25" t="s">
        <v>27</v>
      </c>
      <c r="E25" t="s">
        <v>190</v>
      </c>
      <c r="F25" t="str">
        <f t="shared" ca="1" si="2"/>
        <v>VIP-204939</v>
      </c>
      <c r="G25">
        <f t="shared" ca="1" si="3"/>
        <v>18898</v>
      </c>
      <c r="H25">
        <f t="shared" ca="1" si="4"/>
        <v>291140</v>
      </c>
      <c r="I25">
        <f ca="1">VLOOKUP(RANDBETWEEN(1,60),Lookups!$A:$Q,12,FALSE)</f>
        <v>0</v>
      </c>
      <c r="J25" t="str">
        <f ca="1">VLOOKUP(RANDBETWEEN(1,4),Lookups!A:Q,13,FALSE)</f>
        <v>OTHER</v>
      </c>
      <c r="K25" t="s">
        <v>130</v>
      </c>
      <c r="L25" s="1">
        <v>42551</v>
      </c>
      <c r="M25">
        <f t="shared" ca="1" si="5"/>
        <v>481629</v>
      </c>
      <c r="N25" t="e">
        <f ca="1">VLOOKUP(RANDBETWEEN(1,212),Lookups!$A:$Q,11,FALSE)</f>
        <v>#N/A</v>
      </c>
      <c r="O25" t="str">
        <f ca="1">INDEX(Lookups!N:N,RANDBETWEEN(2,9),1)</f>
        <v>P</v>
      </c>
      <c r="P25">
        <f ca="1">INDEX(Lookups!O:O,RANDBETWEEN(2,82),1)</f>
        <v>1</v>
      </c>
      <c r="Q25" t="s">
        <v>130</v>
      </c>
      <c r="R25" t="s">
        <v>130</v>
      </c>
      <c r="S25" t="s">
        <v>130</v>
      </c>
      <c r="T25" t="str">
        <f ca="1">INDEX(Lookups!D:D,RANDBETWEEN(2,10),1)</f>
        <v>Jones Transportation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130</v>
      </c>
      <c r="AB25" t="s">
        <v>130</v>
      </c>
      <c r="AC25">
        <f t="shared" ca="1" si="8"/>
        <v>41537</v>
      </c>
      <c r="AD25" t="str">
        <f t="shared" ca="1" si="9"/>
        <v>Jones Transportation</v>
      </c>
      <c r="AE25" t="s">
        <v>130</v>
      </c>
      <c r="AF25" t="s">
        <v>130</v>
      </c>
      <c r="AG25" t="s">
        <v>130</v>
      </c>
      <c r="AH25" t="str">
        <f t="shared" ca="1" si="10"/>
        <v>2016-04-20</v>
      </c>
      <c r="AI25" t="str">
        <f t="shared" ca="1" si="11"/>
        <v>2016-08-22</v>
      </c>
      <c r="AJ25" t="str">
        <f t="shared" ca="1" si="12"/>
        <v>2017-08-22</v>
      </c>
      <c r="AK25" t="s">
        <v>130</v>
      </c>
      <c r="AL25" t="s">
        <v>130</v>
      </c>
    </row>
    <row r="26" spans="1:38" x14ac:dyDescent="0.3">
      <c r="A26" t="s">
        <v>371</v>
      </c>
      <c r="B26">
        <f t="shared" ca="1" si="0"/>
        <v>43076551</v>
      </c>
      <c r="C26">
        <f t="shared" ca="1" si="1"/>
        <v>1998</v>
      </c>
      <c r="D26" t="s">
        <v>27</v>
      </c>
      <c r="E26" t="s">
        <v>190</v>
      </c>
      <c r="F26" t="str">
        <f t="shared" ca="1" si="2"/>
        <v>VIP-175295</v>
      </c>
      <c r="G26">
        <f t="shared" ca="1" si="3"/>
        <v>11697</v>
      </c>
      <c r="H26">
        <f t="shared" ca="1" si="4"/>
        <v>296986</v>
      </c>
      <c r="I26">
        <f ca="1">VLOOKUP(RANDBETWEEN(1,60),Lookups!$A:$Q,12,FALSE)</f>
        <v>0</v>
      </c>
      <c r="J26" t="str">
        <f ca="1">VLOOKUP(RANDBETWEEN(1,4),Lookups!A:Q,13,FALSE)</f>
        <v>SBUS</v>
      </c>
      <c r="K26" t="s">
        <v>130</v>
      </c>
      <c r="L26" s="1">
        <v>42551</v>
      </c>
      <c r="M26">
        <f t="shared" ca="1" si="5"/>
        <v>464435</v>
      </c>
      <c r="N26" t="str">
        <f ca="1">VLOOKUP(RANDBETWEEN(1,212),Lookups!$A:$Q,11,FALSE)</f>
        <v>CE 200</v>
      </c>
      <c r="O26" t="str">
        <f ca="1">INDEX(Lookups!N:N,RANDBETWEEN(2,9),1)</f>
        <v>U</v>
      </c>
      <c r="P26">
        <f ca="1">INDEX(Lookups!O:O,RANDBETWEEN(2,82),1)</f>
        <v>63</v>
      </c>
      <c r="Q26" t="s">
        <v>130</v>
      </c>
      <c r="R26" t="s">
        <v>130</v>
      </c>
      <c r="S26" t="s">
        <v>130</v>
      </c>
      <c r="T26" t="str">
        <f ca="1">INDEX(Lookups!D:D,RANDBETWEEN(2,10),1)</f>
        <v>Jones Transportation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130</v>
      </c>
      <c r="AB26" t="s">
        <v>130</v>
      </c>
      <c r="AC26">
        <f t="shared" ca="1" si="8"/>
        <v>29508</v>
      </c>
      <c r="AD26" t="str">
        <f t="shared" ca="1" si="9"/>
        <v>Jones Transportation</v>
      </c>
      <c r="AE26" t="s">
        <v>130</v>
      </c>
      <c r="AF26" t="s">
        <v>130</v>
      </c>
      <c r="AG26" t="s">
        <v>130</v>
      </c>
      <c r="AH26" t="str">
        <f t="shared" ca="1" si="10"/>
        <v>2016-11-21</v>
      </c>
      <c r="AI26" t="str">
        <f t="shared" ca="1" si="11"/>
        <v>2016-06-22</v>
      </c>
      <c r="AJ26" t="str">
        <f t="shared" ca="1" si="12"/>
        <v>2017-06-22</v>
      </c>
      <c r="AK26" t="s">
        <v>130</v>
      </c>
      <c r="AL26" t="s">
        <v>130</v>
      </c>
    </row>
    <row r="27" spans="1:38" x14ac:dyDescent="0.3">
      <c r="A27" t="s">
        <v>371</v>
      </c>
      <c r="B27">
        <f t="shared" ca="1" si="0"/>
        <v>43687480</v>
      </c>
      <c r="C27">
        <f t="shared" ca="1" si="1"/>
        <v>2011</v>
      </c>
      <c r="D27" t="s">
        <v>27</v>
      </c>
      <c r="E27" t="s">
        <v>190</v>
      </c>
      <c r="F27" t="str">
        <f t="shared" ca="1" si="2"/>
        <v>VIP-322173</v>
      </c>
      <c r="G27">
        <f t="shared" ca="1" si="3"/>
        <v>35406</v>
      </c>
      <c r="H27">
        <f t="shared" ca="1" si="4"/>
        <v>259721</v>
      </c>
      <c r="I27" t="str">
        <f ca="1">VLOOKUP(RANDBETWEEN(1,60),Lookups!$A:$Q,12,FALSE)</f>
        <v>PREMIERE</v>
      </c>
      <c r="J27" t="str">
        <f ca="1">VLOOKUP(RANDBETWEEN(1,4),Lookups!A:Q,13,FALSE)</f>
        <v>HBUS</v>
      </c>
      <c r="K27" t="s">
        <v>130</v>
      </c>
      <c r="L27" s="1">
        <v>42551</v>
      </c>
      <c r="M27">
        <f t="shared" ca="1" si="5"/>
        <v>487804</v>
      </c>
      <c r="N27" t="str">
        <f ca="1">VLOOKUP(RANDBETWEEN(1,212),Lookups!$A:$Q,11,FALSE)</f>
        <v>PB105</v>
      </c>
      <c r="O27" t="str">
        <f ca="1">INDEX(Lookups!N:N,RANDBETWEEN(2,9),1)</f>
        <v>N</v>
      </c>
      <c r="P27">
        <f ca="1">INDEX(Lookups!O:O,RANDBETWEEN(2,82),1)</f>
        <v>17</v>
      </c>
      <c r="Q27" t="s">
        <v>130</v>
      </c>
      <c r="R27" t="s">
        <v>130</v>
      </c>
      <c r="S27" t="s">
        <v>130</v>
      </c>
      <c r="T27" t="str">
        <f ca="1">INDEX(Lookups!D:D,RANDBETWEEN(2,10),1)</f>
        <v>JC Kingston Transportation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130</v>
      </c>
      <c r="AB27" t="s">
        <v>130</v>
      </c>
      <c r="AC27">
        <f t="shared" ca="1" si="8"/>
        <v>45437</v>
      </c>
      <c r="AD27" t="str">
        <f t="shared" ca="1" si="9"/>
        <v>JC Kingston Transportation</v>
      </c>
      <c r="AE27" t="s">
        <v>130</v>
      </c>
      <c r="AF27" t="s">
        <v>130</v>
      </c>
      <c r="AG27" t="s">
        <v>130</v>
      </c>
      <c r="AH27" t="str">
        <f t="shared" ca="1" si="10"/>
        <v>2016-04-07</v>
      </c>
      <c r="AI27" t="str">
        <f t="shared" ca="1" si="11"/>
        <v>2016-12-17</v>
      </c>
      <c r="AJ27" t="str">
        <f t="shared" ca="1" si="12"/>
        <v>2017-12-17</v>
      </c>
      <c r="AK27" t="s">
        <v>130</v>
      </c>
      <c r="AL27" t="s">
        <v>130</v>
      </c>
    </row>
    <row r="28" spans="1:38" x14ac:dyDescent="0.3">
      <c r="A28" t="s">
        <v>371</v>
      </c>
      <c r="B28">
        <f t="shared" ca="1" si="0"/>
        <v>44417425</v>
      </c>
      <c r="C28">
        <f t="shared" ca="1" si="1"/>
        <v>2001</v>
      </c>
      <c r="D28" t="s">
        <v>27</v>
      </c>
      <c r="E28" t="s">
        <v>190</v>
      </c>
      <c r="F28" t="str">
        <f t="shared" ca="1" si="2"/>
        <v>VIP-367746</v>
      </c>
      <c r="G28">
        <f t="shared" ca="1" si="3"/>
        <v>41812</v>
      </c>
      <c r="H28">
        <f t="shared" ca="1" si="4"/>
        <v>170606</v>
      </c>
      <c r="I28" t="str">
        <f ca="1">VLOOKUP(RANDBETWEEN(1,60),Lookups!$A:$Q,12,FALSE)</f>
        <v>INTERANTIONAL</v>
      </c>
      <c r="J28" t="str">
        <f ca="1">VLOOKUP(RANDBETWEEN(1,4),Lookups!A:Q,13,FALSE)</f>
        <v>SBUS</v>
      </c>
      <c r="K28" t="s">
        <v>130</v>
      </c>
      <c r="L28" s="1">
        <v>42551</v>
      </c>
      <c r="M28">
        <f t="shared" ca="1" si="5"/>
        <v>186317</v>
      </c>
      <c r="N28" t="str">
        <f ca="1">VLOOKUP(RANDBETWEEN(1,212),Lookups!$A:$Q,11,FALSE)</f>
        <v>CHEVY</v>
      </c>
      <c r="O28" t="str">
        <f ca="1">INDEX(Lookups!N:N,RANDBETWEEN(2,9),1)</f>
        <v>H</v>
      </c>
      <c r="P28">
        <f ca="1">INDEX(Lookups!O:O,RANDBETWEEN(2,82),1)</f>
        <v>36</v>
      </c>
      <c r="Q28" t="s">
        <v>130</v>
      </c>
      <c r="R28" t="s">
        <v>130</v>
      </c>
      <c r="S28" t="s">
        <v>130</v>
      </c>
      <c r="T28" t="str">
        <f ca="1">INDEX(Lookups!D:D,RANDBETWEEN(2,10),1)</f>
        <v>Wilson's Transportion, Inc.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130</v>
      </c>
      <c r="AB28" t="s">
        <v>130</v>
      </c>
      <c r="AC28">
        <f t="shared" ca="1" si="8"/>
        <v>46328</v>
      </c>
      <c r="AD28" t="str">
        <f t="shared" ca="1" si="9"/>
        <v>Wilson's Transportion, Inc.</v>
      </c>
      <c r="AE28" t="s">
        <v>130</v>
      </c>
      <c r="AF28" t="s">
        <v>130</v>
      </c>
      <c r="AG28" t="s">
        <v>130</v>
      </c>
      <c r="AH28" t="str">
        <f t="shared" ca="1" si="10"/>
        <v>2014-05-09</v>
      </c>
      <c r="AI28" t="str">
        <f t="shared" ca="1" si="11"/>
        <v>2016-04-27</v>
      </c>
      <c r="AJ28" t="str">
        <f t="shared" ca="1" si="12"/>
        <v>2017-04-27</v>
      </c>
      <c r="AK28" t="s">
        <v>130</v>
      </c>
      <c r="AL28" t="s">
        <v>130</v>
      </c>
    </row>
    <row r="29" spans="1:38" x14ac:dyDescent="0.3">
      <c r="A29" t="s">
        <v>371</v>
      </c>
      <c r="B29">
        <f t="shared" ca="1" si="0"/>
        <v>39333693</v>
      </c>
      <c r="C29">
        <f t="shared" ca="1" si="1"/>
        <v>2006</v>
      </c>
      <c r="D29" t="s">
        <v>27</v>
      </c>
      <c r="E29" t="s">
        <v>190</v>
      </c>
      <c r="F29" t="str">
        <f t="shared" ca="1" si="2"/>
        <v>VIP-176083</v>
      </c>
      <c r="G29">
        <f t="shared" ca="1" si="3"/>
        <v>11404</v>
      </c>
      <c r="H29">
        <f t="shared" ca="1" si="4"/>
        <v>162394</v>
      </c>
      <c r="I29" t="str">
        <f ca="1">VLOOKUP(RANDBETWEEN(1,60),Lookups!$A:$Q,12,FALSE)</f>
        <v>BLUE BIRD</v>
      </c>
      <c r="J29" t="str">
        <f ca="1">VLOOKUP(RANDBETWEEN(1,4),Lookups!A:Q,13,FALSE)</f>
        <v>HBUS</v>
      </c>
      <c r="K29" t="s">
        <v>130</v>
      </c>
      <c r="L29" s="1">
        <v>42551</v>
      </c>
      <c r="M29">
        <f t="shared" ca="1" si="5"/>
        <v>303328</v>
      </c>
      <c r="N29" t="str">
        <f ca="1">VLOOKUP(RANDBETWEEN(1,212),Lookups!$A:$Q,11,FALSE)</f>
        <v>VISTA/NAVISTAR</v>
      </c>
      <c r="O29" t="str">
        <f ca="1">INDEX(Lookups!N:N,RANDBETWEEN(2,9),1)</f>
        <v>S</v>
      </c>
      <c r="P29">
        <f ca="1">INDEX(Lookups!O:O,RANDBETWEEN(2,82),1)</f>
        <v>32</v>
      </c>
      <c r="Q29" t="s">
        <v>130</v>
      </c>
      <c r="R29" t="s">
        <v>130</v>
      </c>
      <c r="S29" t="s">
        <v>130</v>
      </c>
      <c r="T29" t="str">
        <f ca="1">INDEX(Lookups!D:D,RANDBETWEEN(2,10),1)</f>
        <v>SMUS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130</v>
      </c>
      <c r="AB29" t="s">
        <v>130</v>
      </c>
      <c r="AC29">
        <f t="shared" ca="1" si="8"/>
        <v>35728</v>
      </c>
      <c r="AD29" t="str">
        <f t="shared" ca="1" si="9"/>
        <v>SMUS</v>
      </c>
      <c r="AE29" t="s">
        <v>130</v>
      </c>
      <c r="AF29" t="s">
        <v>130</v>
      </c>
      <c r="AG29" t="s">
        <v>130</v>
      </c>
      <c r="AH29" t="str">
        <f t="shared" ca="1" si="10"/>
        <v>2015-05-05</v>
      </c>
      <c r="AI29" t="str">
        <f t="shared" ca="1" si="11"/>
        <v>2016-04-15</v>
      </c>
      <c r="AJ29" t="str">
        <f t="shared" ca="1" si="12"/>
        <v>2017-04-15</v>
      </c>
      <c r="AK29" t="s">
        <v>130</v>
      </c>
      <c r="AL29" t="s">
        <v>130</v>
      </c>
    </row>
    <row r="30" spans="1:38" x14ac:dyDescent="0.3">
      <c r="A30" t="s">
        <v>371</v>
      </c>
      <c r="B30">
        <f t="shared" ca="1" si="0"/>
        <v>14238245</v>
      </c>
      <c r="C30">
        <f t="shared" ca="1" si="1"/>
        <v>2001</v>
      </c>
      <c r="D30" t="s">
        <v>27</v>
      </c>
      <c r="E30" t="s">
        <v>190</v>
      </c>
      <c r="F30" t="str">
        <f t="shared" ca="1" si="2"/>
        <v>VIP-499697</v>
      </c>
      <c r="G30">
        <f t="shared" ca="1" si="3"/>
        <v>16324</v>
      </c>
      <c r="H30">
        <f t="shared" ca="1" si="4"/>
        <v>326111</v>
      </c>
      <c r="I30" t="str">
        <f ca="1">VLOOKUP(RANDBETWEEN(1,60),Lookups!$A:$Q,12,FALSE)</f>
        <v>MINION R</v>
      </c>
      <c r="J30" t="str">
        <f ca="1">VLOOKUP(RANDBETWEEN(1,4),Lookups!A:Q,13,FALSE)</f>
        <v>OTHER</v>
      </c>
      <c r="K30" t="s">
        <v>130</v>
      </c>
      <c r="L30" s="1">
        <v>42551</v>
      </c>
      <c r="M30">
        <f t="shared" ca="1" si="5"/>
        <v>171349</v>
      </c>
      <c r="N30" t="str">
        <f ca="1">VLOOKUP(RANDBETWEEN(1,212),Lookups!$A:$Q,11,FALSE)</f>
        <v>J4500</v>
      </c>
      <c r="O30" t="str">
        <f ca="1">INDEX(Lookups!N:N,RANDBETWEEN(2,9),1)</f>
        <v>L</v>
      </c>
      <c r="P30">
        <f ca="1">INDEX(Lookups!O:O,RANDBETWEEN(2,82),1)</f>
        <v>32</v>
      </c>
      <c r="Q30" t="s">
        <v>130</v>
      </c>
      <c r="R30" t="s">
        <v>130</v>
      </c>
      <c r="S30" t="s">
        <v>130</v>
      </c>
      <c r="T30" t="str">
        <f ca="1">INDEX(Lookups!D:D,RANDBETWEEN(2,10),1)</f>
        <v>Ferries Transit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130</v>
      </c>
      <c r="AB30" t="s">
        <v>130</v>
      </c>
      <c r="AC30">
        <f t="shared" ca="1" si="8"/>
        <v>33418</v>
      </c>
      <c r="AD30" t="str">
        <f t="shared" ca="1" si="9"/>
        <v>Ferries Transit</v>
      </c>
      <c r="AE30" t="s">
        <v>130</v>
      </c>
      <c r="AF30" t="s">
        <v>130</v>
      </c>
      <c r="AG30" t="s">
        <v>130</v>
      </c>
      <c r="AH30" t="str">
        <f t="shared" ca="1" si="10"/>
        <v>2015-09-30</v>
      </c>
      <c r="AI30" t="str">
        <f t="shared" ca="1" si="11"/>
        <v>2016-11-29</v>
      </c>
      <c r="AJ30" t="str">
        <f t="shared" ca="1" si="12"/>
        <v>2017-11-29</v>
      </c>
      <c r="AK30" t="s">
        <v>130</v>
      </c>
      <c r="AL30" t="s">
        <v>130</v>
      </c>
    </row>
    <row r="31" spans="1:38" x14ac:dyDescent="0.3">
      <c r="A31" t="s">
        <v>371</v>
      </c>
      <c r="B31">
        <f t="shared" ca="1" si="0"/>
        <v>44613465</v>
      </c>
      <c r="C31">
        <f t="shared" ca="1" si="1"/>
        <v>2014</v>
      </c>
      <c r="D31" t="s">
        <v>27</v>
      </c>
      <c r="E31" t="s">
        <v>190</v>
      </c>
      <c r="F31" t="str">
        <f t="shared" ca="1" si="2"/>
        <v>VIP-350412</v>
      </c>
      <c r="G31">
        <f t="shared" ca="1" si="3"/>
        <v>32922</v>
      </c>
      <c r="H31">
        <f t="shared" ca="1" si="4"/>
        <v>373750</v>
      </c>
      <c r="I31" t="str">
        <f ca="1">VLOOKUP(RANDBETWEEN(1,60),Lookups!$A:$Q,12,FALSE)</f>
        <v>BLUE BIRDS</v>
      </c>
      <c r="J31" t="str">
        <f ca="1">VLOOKUP(RANDBETWEEN(1,4),Lookups!A:Q,13,FALSE)</f>
        <v>SBUS</v>
      </c>
      <c r="K31" t="s">
        <v>130</v>
      </c>
      <c r="L31" s="1">
        <v>42551</v>
      </c>
      <c r="M31">
        <f t="shared" ca="1" si="5"/>
        <v>455512</v>
      </c>
      <c r="N31" t="str">
        <f ca="1">VLOOKUP(RANDBETWEEN(1,212),Lookups!$A:$Q,11,FALSE)</f>
        <v>SAVNA 3500</v>
      </c>
      <c r="O31" t="str">
        <f ca="1">INDEX(Lookups!N:N,RANDBETWEEN(2,9),1)</f>
        <v>N</v>
      </c>
      <c r="P31">
        <f ca="1">INDEX(Lookups!O:O,RANDBETWEEN(2,82),1)</f>
        <v>50</v>
      </c>
      <c r="Q31" t="s">
        <v>130</v>
      </c>
      <c r="R31" t="s">
        <v>130</v>
      </c>
      <c r="S31" t="s">
        <v>130</v>
      </c>
      <c r="T31" t="str">
        <f ca="1">INDEX(Lookups!D:D,RANDBETWEEN(2,10),1)</f>
        <v>BC Transit School Bus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130</v>
      </c>
      <c r="AB31" t="s">
        <v>130</v>
      </c>
      <c r="AC31">
        <f t="shared" ca="1" si="8"/>
        <v>28533</v>
      </c>
      <c r="AD31" t="str">
        <f t="shared" ca="1" si="9"/>
        <v>BC Transit School Bus</v>
      </c>
      <c r="AE31" t="s">
        <v>130</v>
      </c>
      <c r="AF31" t="s">
        <v>130</v>
      </c>
      <c r="AG31" t="s">
        <v>130</v>
      </c>
      <c r="AH31" t="str">
        <f t="shared" ca="1" si="10"/>
        <v>2014-02-04</v>
      </c>
      <c r="AI31" t="str">
        <f t="shared" ca="1" si="11"/>
        <v>2016-10-01</v>
      </c>
      <c r="AJ31" t="str">
        <f t="shared" ca="1" si="12"/>
        <v>2017-10-01</v>
      </c>
      <c r="AK31" t="s">
        <v>130</v>
      </c>
      <c r="AL31" t="s">
        <v>130</v>
      </c>
    </row>
    <row r="32" spans="1:38" x14ac:dyDescent="0.3">
      <c r="A32" t="s">
        <v>371</v>
      </c>
      <c r="B32">
        <f t="shared" ca="1" si="0"/>
        <v>11691203</v>
      </c>
      <c r="C32">
        <f t="shared" ca="1" si="1"/>
        <v>1993</v>
      </c>
      <c r="D32" t="s">
        <v>27</v>
      </c>
      <c r="E32" t="s">
        <v>190</v>
      </c>
      <c r="F32" t="str">
        <f t="shared" ca="1" si="2"/>
        <v>VIP-146332</v>
      </c>
      <c r="G32">
        <f t="shared" ca="1" si="3"/>
        <v>31831</v>
      </c>
      <c r="H32">
        <f t="shared" ca="1" si="4"/>
        <v>201916</v>
      </c>
      <c r="I32" t="str">
        <f ca="1">VLOOKUP(RANDBETWEEN(1,60),Lookups!$A:$Q,12,FALSE)</f>
        <v>INTERANTIONAL</v>
      </c>
      <c r="J32" t="str">
        <f ca="1">VLOOKUP(RANDBETWEEN(1,4),Lookups!A:Q,13,FALSE)</f>
        <v>OTHER</v>
      </c>
      <c r="K32" t="s">
        <v>130</v>
      </c>
      <c r="L32" s="1">
        <v>42551</v>
      </c>
      <c r="M32">
        <f t="shared" ca="1" si="5"/>
        <v>179862</v>
      </c>
      <c r="N32" t="str">
        <f ca="1">VLOOKUP(RANDBETWEEN(1,212),Lookups!$A:$Q,11,FALSE)</f>
        <v>PB405</v>
      </c>
      <c r="O32" t="str">
        <f ca="1">INDEX(Lookups!N:N,RANDBETWEEN(2,9),1)</f>
        <v>D</v>
      </c>
      <c r="P32">
        <f ca="1">INDEX(Lookups!O:O,RANDBETWEEN(2,82),1)</f>
        <v>84</v>
      </c>
      <c r="Q32" t="s">
        <v>130</v>
      </c>
      <c r="R32" t="s">
        <v>130</v>
      </c>
      <c r="S32" t="s">
        <v>130</v>
      </c>
      <c r="T32" t="str">
        <f ca="1">INDEX(Lookups!D:D,RANDBETWEEN(2,10),1)</f>
        <v>JC Kingston Transportation</v>
      </c>
      <c r="U32" t="str">
        <f>INDEX(Names!G:G,60+ROW(),1)</f>
        <v>4537 St George Street</v>
      </c>
      <c r="V32" t="str">
        <f t="shared" ca="1" si="6"/>
        <v>Unit 100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130</v>
      </c>
      <c r="AB32" t="s">
        <v>130</v>
      </c>
      <c r="AC32">
        <f t="shared" ca="1" si="8"/>
        <v>38450</v>
      </c>
      <c r="AD32" t="str">
        <f t="shared" ca="1" si="9"/>
        <v>JC Kingston Transportation</v>
      </c>
      <c r="AE32" t="s">
        <v>130</v>
      </c>
      <c r="AF32" t="s">
        <v>130</v>
      </c>
      <c r="AG32" t="s">
        <v>130</v>
      </c>
      <c r="AH32" t="str">
        <f t="shared" ca="1" si="10"/>
        <v>2013-12-21</v>
      </c>
      <c r="AI32" t="str">
        <f t="shared" ca="1" si="11"/>
        <v>2016-02-28</v>
      </c>
      <c r="AJ32" t="str">
        <f t="shared" ca="1" si="12"/>
        <v>2017-02-27</v>
      </c>
      <c r="AK32" t="s">
        <v>130</v>
      </c>
      <c r="AL32" t="s">
        <v>130</v>
      </c>
    </row>
    <row r="33" spans="1:38" x14ac:dyDescent="0.3">
      <c r="A33" t="s">
        <v>371</v>
      </c>
      <c r="B33">
        <f t="shared" ca="1" si="0"/>
        <v>12849415</v>
      </c>
      <c r="C33">
        <f t="shared" ca="1" si="1"/>
        <v>2003</v>
      </c>
      <c r="D33" t="s">
        <v>27</v>
      </c>
      <c r="E33" t="s">
        <v>190</v>
      </c>
      <c r="F33" t="str">
        <f t="shared" ca="1" si="2"/>
        <v>VIP-331662</v>
      </c>
      <c r="G33">
        <f t="shared" ca="1" si="3"/>
        <v>21735</v>
      </c>
      <c r="H33">
        <f t="shared" ca="1" si="4"/>
        <v>379862</v>
      </c>
      <c r="I33" t="str">
        <f ca="1">VLOOKUP(RANDBETWEEN(1,60),Lookups!$A:$Q,12,FALSE)</f>
        <v>INT</v>
      </c>
      <c r="J33" t="str">
        <f ca="1">VLOOKUP(RANDBETWEEN(1,4),Lookups!A:Q,13,FALSE)</f>
        <v>TBUS</v>
      </c>
      <c r="K33" t="s">
        <v>130</v>
      </c>
      <c r="L33" s="1">
        <v>42551</v>
      </c>
      <c r="M33">
        <f t="shared" ca="1" si="5"/>
        <v>185797</v>
      </c>
      <c r="N33" t="str">
        <f ca="1">VLOOKUP(RANDBETWEEN(1,212),Lookups!$A:$Q,11,FALSE)</f>
        <v>G4500</v>
      </c>
      <c r="O33" t="str">
        <f ca="1">INDEX(Lookups!N:N,RANDBETWEEN(2,9),1)</f>
        <v>G</v>
      </c>
      <c r="P33">
        <f ca="1">INDEX(Lookups!O:O,RANDBETWEEN(2,82),1)</f>
        <v>27</v>
      </c>
      <c r="Q33" t="s">
        <v>130</v>
      </c>
      <c r="R33" t="s">
        <v>130</v>
      </c>
      <c r="S33" t="s">
        <v>130</v>
      </c>
      <c r="T33" t="str">
        <f ca="1">INDEX(Lookups!D:D,RANDBETWEEN(2,10),1)</f>
        <v>Ferries Transit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130</v>
      </c>
      <c r="AB33" t="s">
        <v>130</v>
      </c>
      <c r="AC33">
        <f t="shared" ca="1" si="8"/>
        <v>12511</v>
      </c>
      <c r="AD33" t="str">
        <f t="shared" ca="1" si="9"/>
        <v>Ferries Transit</v>
      </c>
      <c r="AE33" t="s">
        <v>130</v>
      </c>
      <c r="AF33" t="s">
        <v>130</v>
      </c>
      <c r="AG33" t="s">
        <v>130</v>
      </c>
      <c r="AH33" t="str">
        <f t="shared" ca="1" si="10"/>
        <v>2014-02-10</v>
      </c>
      <c r="AI33" t="str">
        <f t="shared" ca="1" si="11"/>
        <v>2016-04-14</v>
      </c>
      <c r="AJ33" t="str">
        <f t="shared" ca="1" si="12"/>
        <v>2017-04-14</v>
      </c>
      <c r="AK33" t="s">
        <v>130</v>
      </c>
      <c r="AL33" t="s">
        <v>130</v>
      </c>
    </row>
    <row r="34" spans="1:38" x14ac:dyDescent="0.3">
      <c r="A34" t="s">
        <v>371</v>
      </c>
      <c r="B34">
        <f t="shared" ca="1" si="0"/>
        <v>34112329</v>
      </c>
      <c r="C34">
        <f t="shared" ca="1" si="1"/>
        <v>1995</v>
      </c>
      <c r="D34" t="s">
        <v>27</v>
      </c>
      <c r="E34" t="s">
        <v>190</v>
      </c>
      <c r="F34" t="str">
        <f t="shared" ca="1" si="2"/>
        <v>VIP-322715</v>
      </c>
      <c r="G34">
        <f t="shared" ca="1" si="3"/>
        <v>27242</v>
      </c>
      <c r="H34">
        <f t="shared" ca="1" si="4"/>
        <v>135332</v>
      </c>
      <c r="I34" t="str">
        <f ca="1">VLOOKUP(RANDBETWEEN(1,60),Lookups!$A:$Q,12,FALSE)</f>
        <v>IHC</v>
      </c>
      <c r="J34" t="str">
        <f ca="1">VLOOKUP(RANDBETWEEN(1,4),Lookups!A:Q,13,FALSE)</f>
        <v>HBUS</v>
      </c>
      <c r="K34" t="s">
        <v>130</v>
      </c>
      <c r="L34" s="1">
        <v>42551</v>
      </c>
      <c r="M34">
        <f t="shared" ca="1" si="5"/>
        <v>163427</v>
      </c>
      <c r="N34" t="str">
        <f ca="1">VLOOKUP(RANDBETWEEN(1,212),Lookups!$A:$Q,11,FALSE)</f>
        <v>FS85</v>
      </c>
      <c r="O34" t="str">
        <f ca="1">INDEX(Lookups!N:N,RANDBETWEEN(2,9),1)</f>
        <v>G</v>
      </c>
      <c r="P34">
        <f ca="1">INDEX(Lookups!O:O,RANDBETWEEN(2,82),1)</f>
        <v>85</v>
      </c>
      <c r="Q34" t="s">
        <v>130</v>
      </c>
      <c r="R34" t="s">
        <v>130</v>
      </c>
      <c r="S34" t="s">
        <v>130</v>
      </c>
      <c r="T34" t="str">
        <f ca="1">INDEX(Lookups!D:D,RANDBETWEEN(2,10),1)</f>
        <v>BC Transit School Bus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Archived</v>
      </c>
      <c r="AA34" t="s">
        <v>130</v>
      </c>
      <c r="AB34" t="s">
        <v>130</v>
      </c>
      <c r="AC34">
        <f t="shared" ca="1" si="8"/>
        <v>41196</v>
      </c>
      <c r="AD34" t="str">
        <f t="shared" ca="1" si="9"/>
        <v>BC Transit School Bus</v>
      </c>
      <c r="AE34" t="s">
        <v>130</v>
      </c>
      <c r="AF34" t="s">
        <v>130</v>
      </c>
      <c r="AG34" t="s">
        <v>130</v>
      </c>
      <c r="AH34" t="str">
        <f t="shared" ca="1" si="10"/>
        <v>2016-10-30</v>
      </c>
      <c r="AI34" t="str">
        <f t="shared" ca="1" si="11"/>
        <v>2016-01-12</v>
      </c>
      <c r="AJ34" t="str">
        <f t="shared" ca="1" si="12"/>
        <v>2017-01-11</v>
      </c>
      <c r="AK34" t="s">
        <v>130</v>
      </c>
      <c r="AL34" t="s">
        <v>130</v>
      </c>
    </row>
    <row r="35" spans="1:38" x14ac:dyDescent="0.3">
      <c r="A35" t="s">
        <v>371</v>
      </c>
      <c r="B35">
        <f t="shared" ca="1" si="0"/>
        <v>22436587</v>
      </c>
      <c r="C35">
        <f t="shared" ca="1" si="1"/>
        <v>2011</v>
      </c>
      <c r="D35" t="s">
        <v>27</v>
      </c>
      <c r="E35" t="s">
        <v>190</v>
      </c>
      <c r="F35" t="str">
        <f t="shared" ca="1" si="2"/>
        <v>VIP-181609</v>
      </c>
      <c r="G35">
        <f t="shared" ca="1" si="3"/>
        <v>14929</v>
      </c>
      <c r="H35">
        <f t="shared" ca="1" si="4"/>
        <v>128336</v>
      </c>
      <c r="I35" t="str">
        <f ca="1">VLOOKUP(RANDBETWEEN(1,60),Lookups!$A:$Q,12,FALSE)</f>
        <v>FREIGHTLINER</v>
      </c>
      <c r="J35" t="str">
        <f ca="1">VLOOKUP(RANDBETWEEN(1,4),Lookups!A:Q,13,FALSE)</f>
        <v>SBUS</v>
      </c>
      <c r="K35" t="s">
        <v>130</v>
      </c>
      <c r="L35" s="1">
        <v>42551</v>
      </c>
      <c r="M35">
        <f t="shared" ca="1" si="5"/>
        <v>211257</v>
      </c>
      <c r="N35" t="str">
        <f ca="1">VLOOKUP(RANDBETWEEN(1,212),Lookups!$A:$Q,11,FALSE)</f>
        <v>IHC NAVISTAR</v>
      </c>
      <c r="O35" t="str">
        <f ca="1">INDEX(Lookups!N:N,RANDBETWEEN(2,9),1)</f>
        <v>H</v>
      </c>
      <c r="P35">
        <f ca="1">INDEX(Lookups!O:O,RANDBETWEEN(2,82),1)</f>
        <v>58</v>
      </c>
      <c r="Q35" t="s">
        <v>130</v>
      </c>
      <c r="R35" t="s">
        <v>130</v>
      </c>
      <c r="S35" t="s">
        <v>130</v>
      </c>
      <c r="T35" t="str">
        <f ca="1">INDEX(Lookups!D:D,RANDBETWEEN(2,10),1)</f>
        <v>SMUS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130</v>
      </c>
      <c r="AB35" t="s">
        <v>130</v>
      </c>
      <c r="AC35">
        <f t="shared" ca="1" si="8"/>
        <v>21967</v>
      </c>
      <c r="AD35" t="str">
        <f t="shared" ca="1" si="9"/>
        <v>SMUS</v>
      </c>
      <c r="AE35" t="s">
        <v>130</v>
      </c>
      <c r="AF35" t="s">
        <v>130</v>
      </c>
      <c r="AG35" t="s">
        <v>130</v>
      </c>
      <c r="AH35" t="str">
        <f t="shared" ca="1" si="10"/>
        <v>2014-08-02</v>
      </c>
      <c r="AI35" t="str">
        <f t="shared" ca="1" si="11"/>
        <v>2016-10-08</v>
      </c>
      <c r="AJ35" t="str">
        <f t="shared" ca="1" si="12"/>
        <v>2017-10-08</v>
      </c>
      <c r="AK35" t="s">
        <v>130</v>
      </c>
      <c r="AL35" t="s">
        <v>130</v>
      </c>
    </row>
    <row r="36" spans="1:38" x14ac:dyDescent="0.3">
      <c r="A36" t="s">
        <v>371</v>
      </c>
      <c r="B36">
        <f t="shared" ca="1" si="0"/>
        <v>38541351</v>
      </c>
      <c r="C36">
        <f t="shared" ca="1" si="1"/>
        <v>2013</v>
      </c>
      <c r="D36" t="s">
        <v>27</v>
      </c>
      <c r="E36" t="s">
        <v>190</v>
      </c>
      <c r="F36" t="str">
        <f t="shared" ca="1" si="2"/>
        <v>VIP-117599</v>
      </c>
      <c r="G36">
        <f t="shared" ca="1" si="3"/>
        <v>15435</v>
      </c>
      <c r="H36">
        <f t="shared" ca="1" si="4"/>
        <v>127950</v>
      </c>
      <c r="I36" t="str">
        <f ca="1">VLOOKUP(RANDBETWEEN(1,60),Lookups!$A:$Q,12,FALSE)</f>
        <v>INTERNATINAL</v>
      </c>
      <c r="J36" t="str">
        <f ca="1">VLOOKUP(RANDBETWEEN(1,4),Lookups!A:Q,13,FALSE)</f>
        <v>SBUS</v>
      </c>
      <c r="K36" t="s">
        <v>130</v>
      </c>
      <c r="L36" s="1">
        <v>42551</v>
      </c>
      <c r="M36">
        <f t="shared" ca="1" si="5"/>
        <v>334782</v>
      </c>
      <c r="N36" t="str">
        <f ca="1">VLOOKUP(RANDBETWEEN(1,212),Lookups!$A:$Q,11,FALSE)</f>
        <v>RE</v>
      </c>
      <c r="O36" t="str">
        <f ca="1">INDEX(Lookups!N:N,RANDBETWEEN(2,9),1)</f>
        <v>S</v>
      </c>
      <c r="P36">
        <f ca="1">INDEX(Lookups!O:O,RANDBETWEEN(2,82),1)</f>
        <v>57</v>
      </c>
      <c r="Q36" t="s">
        <v>130</v>
      </c>
      <c r="R36" t="s">
        <v>130</v>
      </c>
      <c r="S36" t="s">
        <v>130</v>
      </c>
      <c r="T36" t="str">
        <f ca="1">INDEX(Lookups!D:D,RANDBETWEEN(2,10),1)</f>
        <v>School District 62</v>
      </c>
      <c r="U36" t="str">
        <f>INDEX(Names!G:G,60+ROW(),1)</f>
        <v>2120 Burdett Avenue</v>
      </c>
      <c r="V36" t="str">
        <f t="shared" ca="1" si="6"/>
        <v>Unit 100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130</v>
      </c>
      <c r="AB36" t="s">
        <v>130</v>
      </c>
      <c r="AC36">
        <f t="shared" ca="1" si="8"/>
        <v>17488</v>
      </c>
      <c r="AD36" t="str">
        <f t="shared" ca="1" si="9"/>
        <v>School District 62</v>
      </c>
      <c r="AE36" t="s">
        <v>130</v>
      </c>
      <c r="AF36" t="s">
        <v>130</v>
      </c>
      <c r="AG36" t="s">
        <v>130</v>
      </c>
      <c r="AH36" t="str">
        <f t="shared" ca="1" si="10"/>
        <v>2013-09-24</v>
      </c>
      <c r="AI36" t="str">
        <f t="shared" ca="1" si="11"/>
        <v>2016-05-28</v>
      </c>
      <c r="AJ36" t="str">
        <f t="shared" ca="1" si="12"/>
        <v>2017-05-28</v>
      </c>
      <c r="AK36" t="s">
        <v>130</v>
      </c>
      <c r="AL36" t="s">
        <v>130</v>
      </c>
    </row>
    <row r="37" spans="1:38" x14ac:dyDescent="0.3">
      <c r="A37" t="s">
        <v>371</v>
      </c>
      <c r="B37">
        <f t="shared" ca="1" si="0"/>
        <v>11417138</v>
      </c>
      <c r="C37">
        <f t="shared" ca="1" si="1"/>
        <v>2004</v>
      </c>
      <c r="D37" t="s">
        <v>27</v>
      </c>
      <c r="E37" t="s">
        <v>190</v>
      </c>
      <c r="F37" t="str">
        <f t="shared" ca="1" si="2"/>
        <v>VIP-186197</v>
      </c>
      <c r="G37">
        <f t="shared" ca="1" si="3"/>
        <v>29327</v>
      </c>
      <c r="H37">
        <f t="shared" ca="1" si="4"/>
        <v>334188</v>
      </c>
      <c r="I37" t="str">
        <f ca="1">VLOOKUP(RANDBETWEEN(1,60),Lookups!$A:$Q,12,FALSE)</f>
        <v>INTERNATNAL</v>
      </c>
      <c r="J37" t="str">
        <f ca="1">VLOOKUP(RANDBETWEEN(1,4),Lookups!A:Q,13,FALSE)</f>
        <v>TBUS</v>
      </c>
      <c r="K37" t="s">
        <v>130</v>
      </c>
      <c r="L37" s="1">
        <v>42551</v>
      </c>
      <c r="M37">
        <f t="shared" ca="1" si="5"/>
        <v>140228</v>
      </c>
      <c r="N37" t="str">
        <f ca="1">VLOOKUP(RANDBETWEEN(1,212),Lookups!$A:$Q,11,FALSE)</f>
        <v>J4500</v>
      </c>
      <c r="O37" t="str">
        <f ca="1">INDEX(Lookups!N:N,RANDBETWEEN(2,9),1)</f>
        <v>P</v>
      </c>
      <c r="P37">
        <f ca="1">INDEX(Lookups!O:O,RANDBETWEEN(2,82),1)</f>
        <v>84</v>
      </c>
      <c r="Q37" t="s">
        <v>130</v>
      </c>
      <c r="R37" t="s">
        <v>130</v>
      </c>
      <c r="S37" t="s">
        <v>130</v>
      </c>
      <c r="T37" t="str">
        <f ca="1">INDEX(Lookups!D:D,RANDBETWEEN(2,10),1)</f>
        <v>School District 62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Archived</v>
      </c>
      <c r="AA37" t="s">
        <v>130</v>
      </c>
      <c r="AB37" t="s">
        <v>130</v>
      </c>
      <c r="AC37">
        <f t="shared" ca="1" si="8"/>
        <v>44640</v>
      </c>
      <c r="AD37" t="str">
        <f t="shared" ca="1" si="9"/>
        <v>School District 62</v>
      </c>
      <c r="AE37" t="s">
        <v>130</v>
      </c>
      <c r="AF37" t="s">
        <v>130</v>
      </c>
      <c r="AG37" t="s">
        <v>130</v>
      </c>
      <c r="AH37" t="str">
        <f t="shared" ca="1" si="10"/>
        <v>2014-09-10</v>
      </c>
      <c r="AI37" t="str">
        <f t="shared" ca="1" si="11"/>
        <v>2016-10-08</v>
      </c>
      <c r="AJ37" t="str">
        <f t="shared" ca="1" si="12"/>
        <v>2017-10-08</v>
      </c>
      <c r="AK37" t="s">
        <v>130</v>
      </c>
      <c r="AL37" t="s">
        <v>130</v>
      </c>
    </row>
    <row r="38" spans="1:38" x14ac:dyDescent="0.3">
      <c r="A38" t="s">
        <v>371</v>
      </c>
      <c r="B38">
        <f t="shared" ca="1" si="0"/>
        <v>29298453</v>
      </c>
      <c r="C38">
        <f t="shared" ca="1" si="1"/>
        <v>2017</v>
      </c>
      <c r="D38" t="s">
        <v>27</v>
      </c>
      <c r="E38" t="s">
        <v>190</v>
      </c>
      <c r="F38" t="str">
        <f t="shared" ca="1" si="2"/>
        <v>VIP-181539</v>
      </c>
      <c r="G38">
        <f t="shared" ca="1" si="3"/>
        <v>27570</v>
      </c>
      <c r="H38">
        <f t="shared" ca="1" si="4"/>
        <v>146580</v>
      </c>
      <c r="I38" t="str">
        <f ca="1">VLOOKUP(RANDBETWEEN(1,60),Lookups!$A:$Q,12,FALSE)</f>
        <v>FREUGHTLINER</v>
      </c>
      <c r="J38" t="str">
        <f ca="1">VLOOKUP(RANDBETWEEN(1,4),Lookups!A:Q,13,FALSE)</f>
        <v>OTHER</v>
      </c>
      <c r="K38" t="s">
        <v>130</v>
      </c>
      <c r="L38" s="1">
        <v>42551</v>
      </c>
      <c r="M38">
        <f t="shared" ca="1" si="5"/>
        <v>199794</v>
      </c>
      <c r="N38" t="str">
        <f ca="1">VLOOKUP(RANDBETWEEN(1,212),Lookups!$A:$Q,11,FALSE)</f>
        <v>EC300</v>
      </c>
      <c r="O38" t="str">
        <f ca="1">INDEX(Lookups!N:N,RANDBETWEEN(2,9),1)</f>
        <v>D</v>
      </c>
      <c r="P38">
        <f ca="1">INDEX(Lookups!O:O,RANDBETWEEN(2,82),1)</f>
        <v>25</v>
      </c>
      <c r="Q38" t="s">
        <v>130</v>
      </c>
      <c r="R38" t="s">
        <v>130</v>
      </c>
      <c r="S38" t="s">
        <v>130</v>
      </c>
      <c r="T38" t="str">
        <f ca="1">INDEX(Lookups!D:D,RANDBETWEEN(2,10),1)</f>
        <v>Wilson's Transportion, Inc.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130</v>
      </c>
      <c r="AB38" t="s">
        <v>130</v>
      </c>
      <c r="AC38">
        <f t="shared" ca="1" si="8"/>
        <v>27350</v>
      </c>
      <c r="AD38" t="str">
        <f t="shared" ca="1" si="9"/>
        <v>Wilson's Transportion, Inc.</v>
      </c>
      <c r="AE38" t="s">
        <v>130</v>
      </c>
      <c r="AF38" t="s">
        <v>130</v>
      </c>
      <c r="AG38" t="s">
        <v>130</v>
      </c>
      <c r="AH38" t="str">
        <f t="shared" ca="1" si="10"/>
        <v>2016-11-22</v>
      </c>
      <c r="AI38" t="str">
        <f t="shared" ca="1" si="11"/>
        <v>2016-07-03</v>
      </c>
      <c r="AJ38" t="str">
        <f t="shared" ca="1" si="12"/>
        <v>2017-07-03</v>
      </c>
      <c r="AK38" t="s">
        <v>130</v>
      </c>
      <c r="AL38" t="s">
        <v>130</v>
      </c>
    </row>
    <row r="39" spans="1:38" x14ac:dyDescent="0.3">
      <c r="A39" t="s">
        <v>371</v>
      </c>
      <c r="B39">
        <f t="shared" ca="1" si="0"/>
        <v>13494171</v>
      </c>
      <c r="C39">
        <f t="shared" ca="1" si="1"/>
        <v>1999</v>
      </c>
      <c r="D39" t="s">
        <v>27</v>
      </c>
      <c r="E39" t="s">
        <v>190</v>
      </c>
      <c r="F39" t="str">
        <f t="shared" ca="1" si="2"/>
        <v>VIP-482425</v>
      </c>
      <c r="G39">
        <f t="shared" ca="1" si="3"/>
        <v>40031</v>
      </c>
      <c r="H39">
        <f t="shared" ca="1" si="4"/>
        <v>435633</v>
      </c>
      <c r="I39" t="str">
        <f ca="1">VLOOKUP(RANDBETWEEN(1,60),Lookups!$A:$Q,12,FALSE)</f>
        <v>MC1</v>
      </c>
      <c r="J39" t="str">
        <f ca="1">VLOOKUP(RANDBETWEEN(1,4),Lookups!A:Q,13,FALSE)</f>
        <v>TBUS</v>
      </c>
      <c r="K39" t="s">
        <v>130</v>
      </c>
      <c r="L39" s="1">
        <v>42551</v>
      </c>
      <c r="M39">
        <f t="shared" ca="1" si="5"/>
        <v>278115</v>
      </c>
      <c r="N39" t="str">
        <f ca="1">VLOOKUP(RANDBETWEEN(1,212),Lookups!$A:$Q,11,FALSE)</f>
        <v>SAFT</v>
      </c>
      <c r="O39" t="str">
        <f ca="1">INDEX(Lookups!N:N,RANDBETWEEN(2,9),1)</f>
        <v>N</v>
      </c>
      <c r="P39">
        <f ca="1">INDEX(Lookups!O:O,RANDBETWEEN(2,82),1)</f>
        <v>38</v>
      </c>
      <c r="Q39" t="s">
        <v>130</v>
      </c>
      <c r="R39" t="s">
        <v>130</v>
      </c>
      <c r="S39" t="s">
        <v>130</v>
      </c>
      <c r="T39" t="str">
        <f ca="1">INDEX(Lookups!D:D,RANDBETWEEN(2,10),1)</f>
        <v>JC Kingston Transportation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Active</v>
      </c>
      <c r="AA39" t="s">
        <v>130</v>
      </c>
      <c r="AB39" t="s">
        <v>130</v>
      </c>
      <c r="AC39">
        <f t="shared" ca="1" si="8"/>
        <v>13282</v>
      </c>
      <c r="AD39" t="str">
        <f t="shared" ca="1" si="9"/>
        <v>JC Kingston Transportation</v>
      </c>
      <c r="AE39" t="s">
        <v>130</v>
      </c>
      <c r="AF39" t="s">
        <v>130</v>
      </c>
      <c r="AG39" t="s">
        <v>130</v>
      </c>
      <c r="AH39" t="str">
        <f t="shared" ca="1" si="10"/>
        <v>2015-05-02</v>
      </c>
      <c r="AI39" t="str">
        <f t="shared" ca="1" si="11"/>
        <v>2016-07-15</v>
      </c>
      <c r="AJ39" t="str">
        <f t="shared" ca="1" si="12"/>
        <v>2017-07-15</v>
      </c>
      <c r="AK39" t="s">
        <v>130</v>
      </c>
      <c r="AL39" t="s">
        <v>130</v>
      </c>
    </row>
    <row r="40" spans="1:38" x14ac:dyDescent="0.3">
      <c r="A40" t="s">
        <v>371</v>
      </c>
      <c r="B40">
        <f t="shared" ca="1" si="0"/>
        <v>40314079</v>
      </c>
      <c r="C40">
        <f t="shared" ca="1" si="1"/>
        <v>1999</v>
      </c>
      <c r="D40" t="s">
        <v>27</v>
      </c>
      <c r="E40" t="s">
        <v>190</v>
      </c>
      <c r="F40" t="str">
        <f t="shared" ca="1" si="2"/>
        <v>VIP-400114</v>
      </c>
      <c r="G40">
        <f t="shared" ca="1" si="3"/>
        <v>46312</v>
      </c>
      <c r="H40">
        <f t="shared" ca="1" si="4"/>
        <v>227606</v>
      </c>
      <c r="I40" t="str">
        <f ca="1">VLOOKUP(RANDBETWEEN(1,60),Lookups!$A:$Q,12,FALSE)</f>
        <v>CHEVROLET</v>
      </c>
      <c r="J40" t="str">
        <f ca="1">VLOOKUP(RANDBETWEEN(1,4),Lookups!A:Q,13,FALSE)</f>
        <v>HBUS</v>
      </c>
      <c r="K40" t="s">
        <v>130</v>
      </c>
      <c r="L40" s="1">
        <v>42551</v>
      </c>
      <c r="M40">
        <f t="shared" ca="1" si="5"/>
        <v>123746</v>
      </c>
      <c r="N40" t="str">
        <f ca="1">VLOOKUP(RANDBETWEEN(1,212),Lookups!$A:$Q,11,FALSE)</f>
        <v>SUPRE</v>
      </c>
      <c r="O40" t="str">
        <f ca="1">INDEX(Lookups!N:N,RANDBETWEEN(2,9),1)</f>
        <v>N</v>
      </c>
      <c r="P40">
        <f ca="1">INDEX(Lookups!O:O,RANDBETWEEN(2,82),1)</f>
        <v>10</v>
      </c>
      <c r="Q40" t="s">
        <v>130</v>
      </c>
      <c r="R40" t="s">
        <v>130</v>
      </c>
      <c r="S40" t="s">
        <v>130</v>
      </c>
      <c r="T40" t="str">
        <f ca="1">INDEX(Lookups!D:D,RANDBETWEEN(2,10),1)</f>
        <v>School District 62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130</v>
      </c>
      <c r="AB40" t="s">
        <v>130</v>
      </c>
      <c r="AC40">
        <f t="shared" ca="1" si="8"/>
        <v>41573</v>
      </c>
      <c r="AD40" t="str">
        <f t="shared" ca="1" si="9"/>
        <v>School District 62</v>
      </c>
      <c r="AE40" t="s">
        <v>130</v>
      </c>
      <c r="AF40" t="s">
        <v>130</v>
      </c>
      <c r="AG40" t="s">
        <v>130</v>
      </c>
      <c r="AH40" t="str">
        <f t="shared" ca="1" si="10"/>
        <v>2013-11-03</v>
      </c>
      <c r="AI40" t="str">
        <f t="shared" ca="1" si="11"/>
        <v>2016-06-15</v>
      </c>
      <c r="AJ40" t="str">
        <f t="shared" ca="1" si="12"/>
        <v>2017-06-15</v>
      </c>
      <c r="AK40" t="s">
        <v>130</v>
      </c>
      <c r="AL40" t="s">
        <v>130</v>
      </c>
    </row>
    <row r="41" spans="1:38" x14ac:dyDescent="0.3">
      <c r="A41" t="s">
        <v>371</v>
      </c>
      <c r="B41">
        <f t="shared" ca="1" si="0"/>
        <v>16969126</v>
      </c>
      <c r="C41">
        <f t="shared" ca="1" si="1"/>
        <v>2016</v>
      </c>
      <c r="D41" t="s">
        <v>27</v>
      </c>
      <c r="E41" t="s">
        <v>190</v>
      </c>
      <c r="F41" t="str">
        <f t="shared" ca="1" si="2"/>
        <v>VIP-124102</v>
      </c>
      <c r="G41">
        <f t="shared" ca="1" si="3"/>
        <v>19911</v>
      </c>
      <c r="H41">
        <f t="shared" ca="1" si="4"/>
        <v>205240</v>
      </c>
      <c r="I41" t="str">
        <f ca="1">VLOOKUP(RANDBETWEEN(1,60),Lookups!$A:$Q,12,FALSE)</f>
        <v>MC1</v>
      </c>
      <c r="J41" t="str">
        <f ca="1">VLOOKUP(RANDBETWEEN(1,4),Lookups!A:Q,13,FALSE)</f>
        <v>TBUS</v>
      </c>
      <c r="K41" t="s">
        <v>130</v>
      </c>
      <c r="L41" s="1">
        <v>42551</v>
      </c>
      <c r="M41">
        <f t="shared" ca="1" si="5"/>
        <v>236477</v>
      </c>
      <c r="N41" t="str">
        <f ca="1">VLOOKUP(RANDBETWEEN(1,212),Lookups!$A:$Q,11,FALSE)</f>
        <v>CR300</v>
      </c>
      <c r="O41" t="str">
        <f ca="1">INDEX(Lookups!N:N,RANDBETWEEN(2,9),1)</f>
        <v>L</v>
      </c>
      <c r="P41">
        <f ca="1">INDEX(Lookups!O:O,RANDBETWEEN(2,82),1)</f>
        <v>20</v>
      </c>
      <c r="Q41" t="s">
        <v>130</v>
      </c>
      <c r="R41" t="s">
        <v>130</v>
      </c>
      <c r="S41" t="s">
        <v>130</v>
      </c>
      <c r="T41" t="str">
        <f ca="1">INDEX(Lookups!D:D,RANDBETWEEN(2,10),1)</f>
        <v>Edwards &amp; Co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Archived</v>
      </c>
      <c r="AA41" t="s">
        <v>130</v>
      </c>
      <c r="AB41" t="s">
        <v>130</v>
      </c>
      <c r="AC41">
        <f t="shared" ca="1" si="8"/>
        <v>38449</v>
      </c>
      <c r="AD41" t="str">
        <f t="shared" ca="1" si="9"/>
        <v>Edwards &amp; Co</v>
      </c>
      <c r="AE41" t="s">
        <v>130</v>
      </c>
      <c r="AF41" t="s">
        <v>130</v>
      </c>
      <c r="AG41" t="s">
        <v>130</v>
      </c>
      <c r="AH41" t="str">
        <f t="shared" ca="1" si="10"/>
        <v>2016-11-19</v>
      </c>
      <c r="AI41" t="str">
        <f t="shared" ca="1" si="11"/>
        <v>2016-12-24</v>
      </c>
      <c r="AJ41" t="str">
        <f t="shared" ca="1" si="12"/>
        <v>2017-12-24</v>
      </c>
      <c r="AK41" t="s">
        <v>130</v>
      </c>
      <c r="AL41" t="s">
        <v>130</v>
      </c>
    </row>
    <row r="42" spans="1:38" x14ac:dyDescent="0.3">
      <c r="A42" t="s">
        <v>371</v>
      </c>
      <c r="B42">
        <f t="shared" ca="1" si="0"/>
        <v>43060153</v>
      </c>
      <c r="C42">
        <f t="shared" ca="1" si="1"/>
        <v>1999</v>
      </c>
      <c r="D42" t="s">
        <v>27</v>
      </c>
      <c r="E42" t="s">
        <v>190</v>
      </c>
      <c r="F42" t="str">
        <f t="shared" ca="1" si="2"/>
        <v>VIP-120045</v>
      </c>
      <c r="G42">
        <f t="shared" ca="1" si="3"/>
        <v>33191</v>
      </c>
      <c r="H42">
        <f t="shared" ca="1" si="4"/>
        <v>253701</v>
      </c>
      <c r="I42" t="str">
        <f ca="1">VLOOKUP(RANDBETWEEN(1,60),Lookups!$A:$Q,12,FALSE)</f>
        <v>NAVISTAR</v>
      </c>
      <c r="J42" t="str">
        <f ca="1">VLOOKUP(RANDBETWEEN(1,4),Lookups!A:Q,13,FALSE)</f>
        <v>OTHER</v>
      </c>
      <c r="K42" t="s">
        <v>130</v>
      </c>
      <c r="L42" s="1">
        <v>42551</v>
      </c>
      <c r="M42">
        <f t="shared" ca="1" si="5"/>
        <v>217089</v>
      </c>
      <c r="N42" t="str">
        <f ca="1">VLOOKUP(RANDBETWEEN(1,212),Lookups!$A:$Q,11,FALSE)</f>
        <v>CONVENTIONAL</v>
      </c>
      <c r="O42" t="str">
        <f ca="1">INDEX(Lookups!N:N,RANDBETWEEN(2,9),1)</f>
        <v>G</v>
      </c>
      <c r="P42">
        <f ca="1">INDEX(Lookups!O:O,RANDBETWEEN(2,82),1)</f>
        <v>53</v>
      </c>
      <c r="Q42" t="s">
        <v>130</v>
      </c>
      <c r="R42" t="s">
        <v>130</v>
      </c>
      <c r="S42" t="s">
        <v>130</v>
      </c>
      <c r="T42" t="str">
        <f ca="1">INDEX(Lookups!D:D,RANDBETWEEN(2,10),1)</f>
        <v>Edwards &amp; Co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130</v>
      </c>
      <c r="AB42" t="s">
        <v>130</v>
      </c>
      <c r="AC42">
        <f t="shared" ca="1" si="8"/>
        <v>28873</v>
      </c>
      <c r="AD42" t="str">
        <f t="shared" ca="1" si="9"/>
        <v>Edwards &amp; Co</v>
      </c>
      <c r="AE42" t="s">
        <v>130</v>
      </c>
      <c r="AF42" t="s">
        <v>130</v>
      </c>
      <c r="AG42" t="s">
        <v>130</v>
      </c>
      <c r="AH42" t="str">
        <f t="shared" ca="1" si="10"/>
        <v>2016-06-17</v>
      </c>
      <c r="AI42" t="str">
        <f t="shared" ca="1" si="11"/>
        <v>2016-10-22</v>
      </c>
      <c r="AJ42" t="str">
        <f t="shared" ca="1" si="12"/>
        <v>2017-10-22</v>
      </c>
      <c r="AK42" t="s">
        <v>130</v>
      </c>
      <c r="AL42" t="s">
        <v>130</v>
      </c>
    </row>
    <row r="43" spans="1:38" x14ac:dyDescent="0.3">
      <c r="A43" t="s">
        <v>371</v>
      </c>
      <c r="B43">
        <f t="shared" ca="1" si="0"/>
        <v>33653281</v>
      </c>
      <c r="C43">
        <f t="shared" ca="1" si="1"/>
        <v>2004</v>
      </c>
      <c r="D43" t="s">
        <v>27</v>
      </c>
      <c r="E43" t="s">
        <v>190</v>
      </c>
      <c r="F43" t="str">
        <f t="shared" ca="1" si="2"/>
        <v>VIP-360572</v>
      </c>
      <c r="G43">
        <f t="shared" ca="1" si="3"/>
        <v>15969</v>
      </c>
      <c r="H43">
        <f t="shared" ca="1" si="4"/>
        <v>475601</v>
      </c>
      <c r="I43" t="str">
        <f ca="1">VLOOKUP(RANDBETWEEN(1,60),Lookups!$A:$Q,12,FALSE)</f>
        <v>PREVOST</v>
      </c>
      <c r="J43" t="str">
        <f ca="1">VLOOKUP(RANDBETWEEN(1,4),Lookups!A:Q,13,FALSE)</f>
        <v>HBUS</v>
      </c>
      <c r="K43" t="s">
        <v>130</v>
      </c>
      <c r="L43" s="1">
        <v>42551</v>
      </c>
      <c r="M43">
        <f t="shared" ca="1" si="5"/>
        <v>292102</v>
      </c>
      <c r="N43" t="str">
        <f ca="1">VLOOKUP(RANDBETWEEN(1,212),Lookups!$A:$Q,11,FALSE)</f>
        <v>RE</v>
      </c>
      <c r="O43" t="str">
        <f ca="1">INDEX(Lookups!N:N,RANDBETWEEN(2,9),1)</f>
        <v>L</v>
      </c>
      <c r="P43">
        <f ca="1">INDEX(Lookups!O:O,RANDBETWEEN(2,82),1)</f>
        <v>30</v>
      </c>
      <c r="Q43" t="s">
        <v>130</v>
      </c>
      <c r="R43" t="s">
        <v>130</v>
      </c>
      <c r="S43" t="s">
        <v>130</v>
      </c>
      <c r="T43" t="str">
        <f ca="1">INDEX(Lookups!D:D,RANDBETWEEN(2,10),1)</f>
        <v>Jones Transportation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130</v>
      </c>
      <c r="AB43" t="s">
        <v>130</v>
      </c>
      <c r="AC43">
        <f t="shared" ca="1" si="8"/>
        <v>12071</v>
      </c>
      <c r="AD43" t="str">
        <f t="shared" ca="1" si="9"/>
        <v>Jones Transportation</v>
      </c>
      <c r="AE43" t="s">
        <v>130</v>
      </c>
      <c r="AF43" t="s">
        <v>130</v>
      </c>
      <c r="AG43" t="s">
        <v>130</v>
      </c>
      <c r="AH43" t="str">
        <f t="shared" ca="1" si="10"/>
        <v>2015-03-15</v>
      </c>
      <c r="AI43" t="str">
        <f t="shared" ca="1" si="11"/>
        <v>2016-09-09</v>
      </c>
      <c r="AJ43" t="str">
        <f t="shared" ca="1" si="12"/>
        <v>2017-09-09</v>
      </c>
      <c r="AK43" t="s">
        <v>130</v>
      </c>
      <c r="AL43" t="s">
        <v>130</v>
      </c>
    </row>
    <row r="44" spans="1:38" x14ac:dyDescent="0.3">
      <c r="A44" t="s">
        <v>371</v>
      </c>
      <c r="B44">
        <f t="shared" ca="1" si="0"/>
        <v>29075715</v>
      </c>
      <c r="C44">
        <f t="shared" ca="1" si="1"/>
        <v>2009</v>
      </c>
      <c r="D44" t="s">
        <v>27</v>
      </c>
      <c r="E44" t="s">
        <v>190</v>
      </c>
      <c r="F44" t="str">
        <f t="shared" ca="1" si="2"/>
        <v>VIP-387784</v>
      </c>
      <c r="G44">
        <f t="shared" ca="1" si="3"/>
        <v>13352</v>
      </c>
      <c r="H44">
        <f t="shared" ca="1" si="4"/>
        <v>274257</v>
      </c>
      <c r="I44">
        <f ca="1">VLOOKUP(RANDBETWEEN(1,60),Lookups!$A:$Q,12,FALSE)</f>
        <v>0</v>
      </c>
      <c r="J44" t="str">
        <f ca="1">VLOOKUP(RANDBETWEEN(1,4),Lookups!A:Q,13,FALSE)</f>
        <v>HBUS</v>
      </c>
      <c r="K44" t="s">
        <v>130</v>
      </c>
      <c r="L44" s="1">
        <v>42551</v>
      </c>
      <c r="M44">
        <f t="shared" ca="1" si="5"/>
        <v>409973</v>
      </c>
      <c r="N44">
        <f ca="1">VLOOKUP(RANDBETWEEN(1,212),Lookups!$A:$Q,11,FALSE)</f>
        <v>121</v>
      </c>
      <c r="O44" t="str">
        <f ca="1">INDEX(Lookups!N:N,RANDBETWEEN(2,9),1)</f>
        <v>P</v>
      </c>
      <c r="P44">
        <f ca="1">INDEX(Lookups!O:O,RANDBETWEEN(2,82),1)</f>
        <v>47</v>
      </c>
      <c r="Q44" t="s">
        <v>130</v>
      </c>
      <c r="R44" t="s">
        <v>130</v>
      </c>
      <c r="S44" t="s">
        <v>130</v>
      </c>
      <c r="T44" t="str">
        <f ca="1">INDEX(Lookups!D:D,RANDBETWEEN(2,10),1)</f>
        <v>SMUS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130</v>
      </c>
      <c r="AB44" t="s">
        <v>130</v>
      </c>
      <c r="AC44">
        <f t="shared" ca="1" si="8"/>
        <v>13157</v>
      </c>
      <c r="AD44" t="str">
        <f t="shared" ca="1" si="9"/>
        <v>SMUS</v>
      </c>
      <c r="AE44" t="s">
        <v>130</v>
      </c>
      <c r="AF44" t="s">
        <v>130</v>
      </c>
      <c r="AG44" t="s">
        <v>130</v>
      </c>
      <c r="AH44" t="str">
        <f t="shared" ca="1" si="10"/>
        <v>2016-07-11</v>
      </c>
      <c r="AI44" t="str">
        <f t="shared" ca="1" si="11"/>
        <v>2016-08-29</v>
      </c>
      <c r="AJ44" t="str">
        <f t="shared" ca="1" si="12"/>
        <v>2017-08-29</v>
      </c>
      <c r="AK44" t="s">
        <v>130</v>
      </c>
      <c r="AL44" t="s">
        <v>130</v>
      </c>
    </row>
    <row r="45" spans="1:38" x14ac:dyDescent="0.3">
      <c r="A45" t="s">
        <v>371</v>
      </c>
      <c r="B45">
        <f t="shared" ca="1" si="0"/>
        <v>47548598</v>
      </c>
      <c r="C45">
        <f t="shared" ca="1" si="1"/>
        <v>2015</v>
      </c>
      <c r="D45" t="s">
        <v>27</v>
      </c>
      <c r="E45" t="s">
        <v>190</v>
      </c>
      <c r="F45" t="str">
        <f t="shared" ca="1" si="2"/>
        <v>VIP-368364</v>
      </c>
      <c r="G45">
        <f t="shared" ca="1" si="3"/>
        <v>45819</v>
      </c>
      <c r="H45">
        <f t="shared" ca="1" si="4"/>
        <v>175226</v>
      </c>
      <c r="I45" t="str">
        <f ca="1">VLOOKUP(RANDBETWEEN(1,60),Lookups!$A:$Q,12,FALSE)</f>
        <v>IHC</v>
      </c>
      <c r="J45" t="str">
        <f ca="1">VLOOKUP(RANDBETWEEN(1,4),Lookups!A:Q,13,FALSE)</f>
        <v>TBUS</v>
      </c>
      <c r="K45" t="s">
        <v>130</v>
      </c>
      <c r="L45" s="1">
        <v>42551</v>
      </c>
      <c r="M45">
        <f t="shared" ca="1" si="5"/>
        <v>309506</v>
      </c>
      <c r="N45" t="str">
        <f ca="1">VLOOKUP(RANDBETWEEN(1,212),Lookups!$A:$Q,11,FALSE)</f>
        <v>CANADIAN</v>
      </c>
      <c r="O45" t="str">
        <f ca="1">INDEX(Lookups!N:N,RANDBETWEEN(2,9),1)</f>
        <v>L</v>
      </c>
      <c r="P45">
        <f ca="1">INDEX(Lookups!O:O,RANDBETWEEN(2,82),1)</f>
        <v>90</v>
      </c>
      <c r="Q45" t="s">
        <v>130</v>
      </c>
      <c r="R45" t="s">
        <v>130</v>
      </c>
      <c r="S45" t="s">
        <v>130</v>
      </c>
      <c r="T45" t="str">
        <f ca="1">INDEX(Lookups!D:D,RANDBETWEEN(2,10),1)</f>
        <v>Edwards &amp; Co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130</v>
      </c>
      <c r="AB45" t="s">
        <v>130</v>
      </c>
      <c r="AC45">
        <f t="shared" ca="1" si="8"/>
        <v>23681</v>
      </c>
      <c r="AD45" t="str">
        <f t="shared" ca="1" si="9"/>
        <v>Edwards &amp; Co</v>
      </c>
      <c r="AE45" t="s">
        <v>130</v>
      </c>
      <c r="AF45" t="s">
        <v>130</v>
      </c>
      <c r="AG45" t="s">
        <v>130</v>
      </c>
      <c r="AH45" t="str">
        <f t="shared" ca="1" si="10"/>
        <v>2016-02-05</v>
      </c>
      <c r="AI45" t="str">
        <f t="shared" ca="1" si="11"/>
        <v>2016-04-11</v>
      </c>
      <c r="AJ45" t="str">
        <f t="shared" ca="1" si="12"/>
        <v>2017-04-11</v>
      </c>
      <c r="AK45" t="s">
        <v>130</v>
      </c>
      <c r="AL45" t="s">
        <v>130</v>
      </c>
    </row>
    <row r="46" spans="1:38" x14ac:dyDescent="0.3">
      <c r="A46" t="s">
        <v>371</v>
      </c>
      <c r="B46">
        <f t="shared" ca="1" si="0"/>
        <v>48944822</v>
      </c>
      <c r="C46">
        <f t="shared" ca="1" si="1"/>
        <v>1996</v>
      </c>
      <c r="D46" t="s">
        <v>27</v>
      </c>
      <c r="E46" t="s">
        <v>190</v>
      </c>
      <c r="F46" t="str">
        <f t="shared" ca="1" si="2"/>
        <v>VIP-113431</v>
      </c>
      <c r="G46">
        <f t="shared" ca="1" si="3"/>
        <v>29957</v>
      </c>
      <c r="H46">
        <f t="shared" ca="1" si="4"/>
        <v>111969</v>
      </c>
      <c r="I46" t="str">
        <f ca="1">VLOOKUP(RANDBETWEEN(1,60),Lookups!$A:$Q,12,FALSE)</f>
        <v>SUPREME</v>
      </c>
      <c r="J46" t="str">
        <f ca="1">VLOOKUP(RANDBETWEEN(1,4),Lookups!A:Q,13,FALSE)</f>
        <v>OTHER</v>
      </c>
      <c r="K46" t="s">
        <v>130</v>
      </c>
      <c r="L46" s="1">
        <v>42551</v>
      </c>
      <c r="M46">
        <f t="shared" ca="1" si="5"/>
        <v>151354</v>
      </c>
      <c r="N46" t="str">
        <f ca="1">VLOOKUP(RANDBETWEEN(1,212),Lookups!$A:$Q,11,FALSE)</f>
        <v>GIRADIN</v>
      </c>
      <c r="O46" t="str">
        <f ca="1">INDEX(Lookups!N:N,RANDBETWEEN(2,9),1)</f>
        <v>D</v>
      </c>
      <c r="P46">
        <f ca="1">INDEX(Lookups!O:O,RANDBETWEEN(2,82),1)</f>
        <v>60</v>
      </c>
      <c r="Q46" t="s">
        <v>130</v>
      </c>
      <c r="R46" t="s">
        <v>130</v>
      </c>
      <c r="S46" t="s">
        <v>130</v>
      </c>
      <c r="T46" t="str">
        <f ca="1">INDEX(Lookups!D:D,RANDBETWEEN(2,10),1)</f>
        <v>JC Kingston Transportation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130</v>
      </c>
      <c r="AB46" t="s">
        <v>130</v>
      </c>
      <c r="AC46">
        <f t="shared" ca="1" si="8"/>
        <v>17590</v>
      </c>
      <c r="AD46" t="str">
        <f t="shared" ca="1" si="9"/>
        <v>JC Kingston Transportation</v>
      </c>
      <c r="AE46" t="s">
        <v>130</v>
      </c>
      <c r="AF46" t="s">
        <v>130</v>
      </c>
      <c r="AG46" t="s">
        <v>130</v>
      </c>
      <c r="AH46" t="str">
        <f t="shared" ca="1" si="10"/>
        <v>2015-11-01</v>
      </c>
      <c r="AI46" t="str">
        <f t="shared" ca="1" si="11"/>
        <v>2016-06-02</v>
      </c>
      <c r="AJ46" t="str">
        <f t="shared" ca="1" si="12"/>
        <v>2017-06-02</v>
      </c>
      <c r="AK46" t="s">
        <v>130</v>
      </c>
      <c r="AL46" t="s">
        <v>130</v>
      </c>
    </row>
    <row r="47" spans="1:38" x14ac:dyDescent="0.3">
      <c r="A47" t="s">
        <v>371</v>
      </c>
      <c r="B47">
        <f t="shared" ca="1" si="0"/>
        <v>10042662</v>
      </c>
      <c r="C47">
        <f t="shared" ca="1" si="1"/>
        <v>1998</v>
      </c>
      <c r="D47" t="s">
        <v>27</v>
      </c>
      <c r="E47" t="s">
        <v>190</v>
      </c>
      <c r="F47" t="str">
        <f t="shared" ca="1" si="2"/>
        <v>VIP-106258</v>
      </c>
      <c r="G47">
        <f t="shared" ca="1" si="3"/>
        <v>13099</v>
      </c>
      <c r="H47">
        <f t="shared" ca="1" si="4"/>
        <v>161180</v>
      </c>
      <c r="I47" t="str">
        <f ca="1">VLOOKUP(RANDBETWEEN(1,60),Lookups!$A:$Q,12,FALSE)</f>
        <v>CORBELL</v>
      </c>
      <c r="J47" t="str">
        <f ca="1">VLOOKUP(RANDBETWEEN(1,4),Lookups!A:Q,13,FALSE)</f>
        <v>SBUS</v>
      </c>
      <c r="K47" t="s">
        <v>130</v>
      </c>
      <c r="L47" s="1">
        <v>42551</v>
      </c>
      <c r="M47">
        <f t="shared" ca="1" si="5"/>
        <v>461185</v>
      </c>
      <c r="N47" t="str">
        <f ca="1">VLOOKUP(RANDBETWEEN(1,212),Lookups!$A:$Q,11,FALSE)</f>
        <v>SFTLN</v>
      </c>
      <c r="O47" t="str">
        <f ca="1">INDEX(Lookups!N:N,RANDBETWEEN(2,9),1)</f>
        <v>L</v>
      </c>
      <c r="P47">
        <f ca="1">INDEX(Lookups!O:O,RANDBETWEEN(2,82),1)</f>
        <v>16</v>
      </c>
      <c r="Q47" t="s">
        <v>130</v>
      </c>
      <c r="R47" t="s">
        <v>130</v>
      </c>
      <c r="S47" t="s">
        <v>130</v>
      </c>
      <c r="T47" t="str">
        <f ca="1">INDEX(Lookups!D:D,RANDBETWEEN(2,10),1)</f>
        <v>Ferries Transit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130</v>
      </c>
      <c r="AB47" t="s">
        <v>130</v>
      </c>
      <c r="AC47">
        <f t="shared" ca="1" si="8"/>
        <v>11040</v>
      </c>
      <c r="AD47" t="str">
        <f t="shared" ca="1" si="9"/>
        <v>Ferries Transit</v>
      </c>
      <c r="AE47" t="s">
        <v>130</v>
      </c>
      <c r="AF47" t="s">
        <v>130</v>
      </c>
      <c r="AG47" t="s">
        <v>130</v>
      </c>
      <c r="AH47" t="str">
        <f t="shared" ca="1" si="10"/>
        <v>2016-06-09</v>
      </c>
      <c r="AI47" t="str">
        <f t="shared" ca="1" si="11"/>
        <v>2016-08-02</v>
      </c>
      <c r="AJ47" t="str">
        <f t="shared" ca="1" si="12"/>
        <v>2017-08-02</v>
      </c>
      <c r="AK47" t="s">
        <v>130</v>
      </c>
      <c r="AL47" t="s">
        <v>130</v>
      </c>
    </row>
    <row r="48" spans="1:38" x14ac:dyDescent="0.3">
      <c r="A48" t="s">
        <v>371</v>
      </c>
      <c r="B48">
        <f t="shared" ca="1" si="0"/>
        <v>47258814</v>
      </c>
      <c r="C48">
        <f t="shared" ca="1" si="1"/>
        <v>2001</v>
      </c>
      <c r="D48" t="s">
        <v>27</v>
      </c>
      <c r="E48" t="s">
        <v>190</v>
      </c>
      <c r="F48" t="str">
        <f t="shared" ca="1" si="2"/>
        <v>VIP-461288</v>
      </c>
      <c r="G48">
        <f t="shared" ca="1" si="3"/>
        <v>19716</v>
      </c>
      <c r="H48">
        <f t="shared" ca="1" si="4"/>
        <v>116553</v>
      </c>
      <c r="I48" t="str">
        <f ca="1">VLOOKUP(RANDBETWEEN(1,60),Lookups!$A:$Q,12,FALSE)</f>
        <v>INTERNATINAL</v>
      </c>
      <c r="J48" t="str">
        <f ca="1">VLOOKUP(RANDBETWEEN(1,4),Lookups!A:Q,13,FALSE)</f>
        <v>HBUS</v>
      </c>
      <c r="K48" t="s">
        <v>130</v>
      </c>
      <c r="L48" s="1">
        <v>42551</v>
      </c>
      <c r="M48">
        <f t="shared" ca="1" si="5"/>
        <v>246345</v>
      </c>
      <c r="N48" t="str">
        <f ca="1">VLOOKUP(RANDBETWEEN(1,212),Lookups!$A:$Q,11,FALSE)</f>
        <v>SCHOOL BUS</v>
      </c>
      <c r="O48" t="str">
        <f ca="1">INDEX(Lookups!N:N,RANDBETWEEN(2,9),1)</f>
        <v>L</v>
      </c>
      <c r="P48">
        <f ca="1">INDEX(Lookups!O:O,RANDBETWEEN(2,82),1)</f>
        <v>49</v>
      </c>
      <c r="Q48" t="s">
        <v>130</v>
      </c>
      <c r="R48" t="s">
        <v>130</v>
      </c>
      <c r="S48" t="s">
        <v>130</v>
      </c>
      <c r="T48" t="str">
        <f ca="1">INDEX(Lookups!D:D,RANDBETWEEN(2,10),1)</f>
        <v>JC Kingston Transportation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Archived</v>
      </c>
      <c r="AA48" t="s">
        <v>130</v>
      </c>
      <c r="AB48" t="s">
        <v>130</v>
      </c>
      <c r="AC48">
        <f t="shared" ca="1" si="8"/>
        <v>31389</v>
      </c>
      <c r="AD48" t="str">
        <f t="shared" ca="1" si="9"/>
        <v>JC Kingston Transportation</v>
      </c>
      <c r="AE48" t="s">
        <v>130</v>
      </c>
      <c r="AF48" t="s">
        <v>130</v>
      </c>
      <c r="AG48" t="s">
        <v>130</v>
      </c>
      <c r="AH48" t="str">
        <f t="shared" ca="1" si="10"/>
        <v>2014-11-12</v>
      </c>
      <c r="AI48" t="str">
        <f t="shared" ca="1" si="11"/>
        <v>2016-11-19</v>
      </c>
      <c r="AJ48" t="str">
        <f t="shared" ca="1" si="12"/>
        <v>2017-11-19</v>
      </c>
      <c r="AK48" t="s">
        <v>130</v>
      </c>
      <c r="AL48" t="s">
        <v>130</v>
      </c>
    </row>
    <row r="49" spans="1:38" x14ac:dyDescent="0.3">
      <c r="A49" t="s">
        <v>371</v>
      </c>
      <c r="B49">
        <f t="shared" ca="1" si="0"/>
        <v>34486651</v>
      </c>
      <c r="C49">
        <f t="shared" ca="1" si="1"/>
        <v>1992</v>
      </c>
      <c r="D49" t="s">
        <v>27</v>
      </c>
      <c r="E49" t="s">
        <v>190</v>
      </c>
      <c r="F49" t="str">
        <f t="shared" ca="1" si="2"/>
        <v>VIP-155903</v>
      </c>
      <c r="G49">
        <f t="shared" ca="1" si="3"/>
        <v>47079</v>
      </c>
      <c r="H49">
        <f t="shared" ca="1" si="4"/>
        <v>104278</v>
      </c>
      <c r="I49" t="str">
        <f ca="1">VLOOKUP(RANDBETWEEN(1,60),Lookups!$A:$Q,12,FALSE)</f>
        <v>STARCRAFT</v>
      </c>
      <c r="J49" t="str">
        <f ca="1">VLOOKUP(RANDBETWEEN(1,4),Lookups!A:Q,13,FALSE)</f>
        <v>TBUS</v>
      </c>
      <c r="K49" t="s">
        <v>130</v>
      </c>
      <c r="L49" s="1">
        <v>42551</v>
      </c>
      <c r="M49">
        <f t="shared" ca="1" si="5"/>
        <v>456171</v>
      </c>
      <c r="N49" t="str">
        <f ca="1">VLOOKUP(RANDBETWEEN(1,212),Lookups!$A:$Q,11,FALSE)</f>
        <v>I/C</v>
      </c>
      <c r="O49" t="str">
        <f ca="1">INDEX(Lookups!N:N,RANDBETWEEN(2,9),1)</f>
        <v>S</v>
      </c>
      <c r="P49">
        <f ca="1">INDEX(Lookups!O:O,RANDBETWEEN(2,82),1)</f>
        <v>35</v>
      </c>
      <c r="Q49" t="s">
        <v>130</v>
      </c>
      <c r="R49" t="s">
        <v>130</v>
      </c>
      <c r="S49" t="s">
        <v>130</v>
      </c>
      <c r="T49" t="str">
        <f ca="1">INDEX(Lookups!D:D,RANDBETWEEN(2,10),1)</f>
        <v>JC Kingston Transportation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130</v>
      </c>
      <c r="AB49" t="s">
        <v>130</v>
      </c>
      <c r="AC49">
        <f t="shared" ca="1" si="8"/>
        <v>13650</v>
      </c>
      <c r="AD49" t="str">
        <f t="shared" ca="1" si="9"/>
        <v>JC Kingston Transportation</v>
      </c>
      <c r="AE49" t="s">
        <v>130</v>
      </c>
      <c r="AF49" t="s">
        <v>130</v>
      </c>
      <c r="AG49" t="s">
        <v>130</v>
      </c>
      <c r="AH49" t="str">
        <f t="shared" ca="1" si="10"/>
        <v>2014-05-22</v>
      </c>
      <c r="AI49" t="str">
        <f t="shared" ca="1" si="11"/>
        <v>2016-10-16</v>
      </c>
      <c r="AJ49" t="str">
        <f t="shared" ca="1" si="12"/>
        <v>2017-10-16</v>
      </c>
      <c r="AK49" t="s">
        <v>130</v>
      </c>
      <c r="AL49" t="s">
        <v>130</v>
      </c>
    </row>
    <row r="50" spans="1:38" x14ac:dyDescent="0.3">
      <c r="A50" t="s">
        <v>371</v>
      </c>
      <c r="B50">
        <f t="shared" ca="1" si="0"/>
        <v>42505814</v>
      </c>
      <c r="C50">
        <f t="shared" ca="1" si="1"/>
        <v>1999</v>
      </c>
      <c r="D50" t="s">
        <v>27</v>
      </c>
      <c r="E50" t="s">
        <v>190</v>
      </c>
      <c r="F50" t="str">
        <f t="shared" ca="1" si="2"/>
        <v>VIP-476778</v>
      </c>
      <c r="G50">
        <f t="shared" ca="1" si="3"/>
        <v>36896</v>
      </c>
      <c r="H50">
        <f t="shared" ca="1" si="4"/>
        <v>115712</v>
      </c>
      <c r="I50" t="str">
        <f ca="1">VLOOKUP(RANDBETWEEN(1,60),Lookups!$A:$Q,12,FALSE)</f>
        <v>NAVISTAR</v>
      </c>
      <c r="J50" t="str">
        <f ca="1">VLOOKUP(RANDBETWEEN(1,4),Lookups!A:Q,13,FALSE)</f>
        <v>OTHER</v>
      </c>
      <c r="K50" t="s">
        <v>130</v>
      </c>
      <c r="L50" s="1">
        <v>42551</v>
      </c>
      <c r="M50">
        <f t="shared" ca="1" si="5"/>
        <v>255664</v>
      </c>
      <c r="N50" t="str">
        <f ca="1">VLOOKUP(RANDBETWEEN(1,212),Lookups!$A:$Q,11,FALSE)</f>
        <v>SAFT</v>
      </c>
      <c r="O50" t="str">
        <f ca="1">INDEX(Lookups!N:N,RANDBETWEEN(2,9),1)</f>
        <v>P</v>
      </c>
      <c r="P50">
        <f ca="1">INDEX(Lookups!O:O,RANDBETWEEN(2,82),1)</f>
        <v>28</v>
      </c>
      <c r="Q50" t="s">
        <v>130</v>
      </c>
      <c r="R50" t="s">
        <v>130</v>
      </c>
      <c r="S50" t="s">
        <v>130</v>
      </c>
      <c r="T50" t="str">
        <f ca="1">INDEX(Lookups!D:D,RANDBETWEEN(2,10),1)</f>
        <v>JC Kingston Transportation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130</v>
      </c>
      <c r="AB50" t="s">
        <v>130</v>
      </c>
      <c r="AC50">
        <f t="shared" ca="1" si="8"/>
        <v>43452</v>
      </c>
      <c r="AD50" t="str">
        <f t="shared" ca="1" si="9"/>
        <v>JC Kingston Transportation</v>
      </c>
      <c r="AE50" t="s">
        <v>130</v>
      </c>
      <c r="AF50" t="s">
        <v>130</v>
      </c>
      <c r="AG50" t="s">
        <v>130</v>
      </c>
      <c r="AH50" t="str">
        <f t="shared" ca="1" si="10"/>
        <v>2016-07-20</v>
      </c>
      <c r="AI50" t="str">
        <f t="shared" ca="1" si="11"/>
        <v>2016-09-15</v>
      </c>
      <c r="AJ50" t="str">
        <f t="shared" ca="1" si="12"/>
        <v>2017-09-15</v>
      </c>
      <c r="AK50" t="s">
        <v>130</v>
      </c>
      <c r="AL50" t="s">
        <v>130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1"/>
  <sheetViews>
    <sheetView workbookViewId="0">
      <selection activeCell="A2" sqref="A2"/>
    </sheetView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2.88671875" bestFit="1" customWidth="1"/>
    <col min="7" max="7" width="6" bestFit="1" customWidth="1"/>
    <col min="8" max="8" width="14.33203125" bestFit="1" customWidth="1"/>
    <col min="9" max="9" width="13.33203125" bestFit="1" customWidth="1"/>
    <col min="10" max="11" width="15.77734375" bestFit="1" customWidth="1"/>
    <col min="12" max="12" width="14.109375" bestFit="1" customWidth="1"/>
    <col min="13" max="13" width="14.6640625" bestFit="1" customWidth="1"/>
    <col min="14" max="14" width="18.88671875" bestFit="1" customWidth="1"/>
    <col min="15" max="15" width="10.109375" bestFit="1" customWidth="1"/>
    <col min="16" max="16" width="13.109375" bestFit="1" customWidth="1"/>
    <col min="17" max="17" width="15.109375" bestFit="1" customWidth="1"/>
    <col min="18" max="18" width="16.6640625" bestFit="1" customWidth="1"/>
    <col min="19" max="19" width="23.5546875" bestFit="1" customWidth="1"/>
    <col min="20" max="20" width="13.44140625" bestFit="1" customWidth="1"/>
    <col min="21" max="21" width="19.44140625" bestFit="1" customWidth="1"/>
    <col min="22" max="22" width="22.44140625" bestFit="1" customWidth="1"/>
    <col min="23" max="23" width="16.77734375" bestFit="1" customWidth="1"/>
  </cols>
  <sheetData>
    <row r="1" spans="1:23" x14ac:dyDescent="0.3">
      <c r="A1" t="s">
        <v>117</v>
      </c>
      <c r="B1" t="s">
        <v>426</v>
      </c>
      <c r="C1" t="s">
        <v>427</v>
      </c>
      <c r="D1" t="s">
        <v>428</v>
      </c>
      <c r="E1" t="s">
        <v>429</v>
      </c>
      <c r="F1" t="s">
        <v>430</v>
      </c>
      <c r="G1" t="s">
        <v>431</v>
      </c>
      <c r="H1" t="s">
        <v>432</v>
      </c>
      <c r="I1" t="s">
        <v>3039</v>
      </c>
      <c r="J1" t="s">
        <v>5537</v>
      </c>
      <c r="K1" t="s">
        <v>5538</v>
      </c>
      <c r="L1" t="s">
        <v>5539</v>
      </c>
      <c r="M1" t="s">
        <v>5541</v>
      </c>
      <c r="N1" t="s">
        <v>5540</v>
      </c>
      <c r="O1" t="s">
        <v>433</v>
      </c>
      <c r="P1" t="s">
        <v>434</v>
      </c>
      <c r="Q1" t="s">
        <v>435</v>
      </c>
      <c r="R1" t="s">
        <v>436</v>
      </c>
      <c r="S1" t="s">
        <v>437</v>
      </c>
      <c r="T1" t="s">
        <v>438</v>
      </c>
      <c r="U1" t="s">
        <v>439</v>
      </c>
      <c r="V1" t="s">
        <v>440</v>
      </c>
      <c r="W1" t="s">
        <v>441</v>
      </c>
    </row>
    <row r="2" spans="1:23" x14ac:dyDescent="0.3">
      <c r="A2" t="s">
        <v>2945</v>
      </c>
      <c r="B2">
        <f ca="1">CCW.csv!B2</f>
        <v>17878092</v>
      </c>
      <c r="C2" t="str">
        <f>Lookups!Q2</f>
        <v>MNG 505</v>
      </c>
      <c r="D2" t="str">
        <f ca="1">Lookups!P2&amp;RANDBETWEEN(1111,9999)</f>
        <v>4UZABRCS08CY62727</v>
      </c>
      <c r="E2">
        <f ca="1">RANDBETWEEN(1,COUNTA(Owners.csv!A:A))</f>
        <v>3</v>
      </c>
      <c r="F2">
        <f ca="1">RANDBETWEEN(25111,39999)</f>
        <v>28517</v>
      </c>
      <c r="G2" t="s">
        <v>2997</v>
      </c>
      <c r="H2" s="1" t="s">
        <v>2998</v>
      </c>
      <c r="I2" t="str">
        <f ca="1">"rg:{ 'id': '"&amp;RANDBETWEEN(1,COUNTA(ServiceAreas.csv!D:D))&amp;"'}"</f>
        <v>rg:{ 'id': '1'}</v>
      </c>
      <c r="J2" t="str">
        <f ca="1">INDEX(Names!G:G,70+$E2,1)</f>
        <v>3694 Lake City Way</v>
      </c>
      <c r="K2" t="str">
        <f ca="1">IF(RANDBETWEEN(1,10) &gt; 9,"Unit 100","rg:None")</f>
        <v>rg:None</v>
      </c>
      <c r="L2" t="str">
        <f ca="1">INDEX(Names!H:H,70+$E2,1)</f>
        <v>Burnaby</v>
      </c>
      <c r="M2" t="str">
        <f ca="1">INDEX(Names!I:I,70+$E2,1)</f>
        <v>BC</v>
      </c>
      <c r="N2" t="str">
        <f ca="1">INDEX(Names!J:J,70+$E2,1)</f>
        <v>V5A 2Z6</v>
      </c>
      <c r="O2" t="s">
        <v>130</v>
      </c>
      <c r="P2" t="str">
        <f ca="1">TEXT(TODAY()+RANDBETWEEN(-10,350),"YYYY-MM-DD")</f>
        <v>2017-10-17</v>
      </c>
      <c r="Q2" t="str">
        <f ca="1">"rg:{'id': '"&amp;RANDBETWEEN(1,COUNTA(schoolDistricts.csv!B:B))&amp;"'}"</f>
        <v>rg:{'id': '8'}</v>
      </c>
      <c r="R2" t="str">
        <f ca="1">IF(RANDBETWEEN(1,10) &lt; 8,"rg:False","rg:True")</f>
        <v>rg:True</v>
      </c>
      <c r="S2" t="str">
        <f ca="1">IF(R2="rg:False","rg:None",INDEX(Lookups!R:R,RANDBETWEEN(2,32),1))</f>
        <v>COLLINGWOOD SCHOOL SOCIET</v>
      </c>
      <c r="T2" t="str">
        <f ca="1">INDEX(Lookups!S:S,RANDBETWEEN(2,5),1)</f>
        <v>Class 2</v>
      </c>
      <c r="U2">
        <f ca="1">CCW.csv!G2</f>
        <v>28027</v>
      </c>
      <c r="V2">
        <f ca="1">CCW.csv!P2-1</f>
        <v>55</v>
      </c>
      <c r="W2">
        <f ca="1">IF(RANDBETWEEN(1,10) &lt; 7,0,RANDBETWEEN(1,5))</f>
        <v>0</v>
      </c>
    </row>
    <row r="3" spans="1:23" x14ac:dyDescent="0.3">
      <c r="A3" t="s">
        <v>2945</v>
      </c>
      <c r="B3">
        <f ca="1">CCW.csv!B3</f>
        <v>21154843</v>
      </c>
      <c r="C3" t="str">
        <f>Lookups!Q3</f>
        <v>PLB 734</v>
      </c>
      <c r="D3" t="str">
        <f ca="1">Lookups!P3&amp;RANDBETWEEN(1111,9999)</f>
        <v>1M8PDMTA7VP048132</v>
      </c>
      <c r="E3">
        <f ca="1">RANDBETWEEN(1,COUNTA(Owners.csv!A:A))</f>
        <v>19</v>
      </c>
      <c r="F3">
        <f t="shared" ref="F3:F31" ca="1" si="0">RANDBETWEEN(25111,39999)</f>
        <v>30891</v>
      </c>
      <c r="G3" t="s">
        <v>2997</v>
      </c>
      <c r="H3" s="1" t="s">
        <v>2998</v>
      </c>
      <c r="I3" t="str">
        <f ca="1">"rg:{ 'id': '"&amp;RANDBETWEEN(1,COUNTA(ServiceAreas.csv!D:D))&amp;"'}"</f>
        <v>rg:{ 'id': '10'}</v>
      </c>
      <c r="J3" t="str">
        <f ca="1">INDEX(Names!G:G,70+$E3,1)</f>
        <v>1477 Hastings Street</v>
      </c>
      <c r="K3" t="str">
        <f t="shared" ref="K3:K31" ca="1" si="1">IF(RANDBETWEEN(1,10) &gt; 9,"Unit 100","rg:None")</f>
        <v>rg:None</v>
      </c>
      <c r="L3" t="str">
        <f ca="1">INDEX(Names!H:H,70+$E3,1)</f>
        <v>Vancouver</v>
      </c>
      <c r="M3" t="str">
        <f ca="1">INDEX(Names!I:I,70+$E3,1)</f>
        <v>BC</v>
      </c>
      <c r="N3" t="str">
        <f ca="1">INDEX(Names!J:J,70+$E3,1)</f>
        <v>V6C 1B4</v>
      </c>
      <c r="O3" t="s">
        <v>130</v>
      </c>
      <c r="P3" t="str">
        <f t="shared" ref="P3:P31" ca="1" si="2">TEXT(TODAY()+RANDBETWEEN(-10,350),"YYYY-MM-DD")</f>
        <v>2017-07-29</v>
      </c>
      <c r="Q3" t="str">
        <f ca="1">"rg:{'id': '"&amp;RANDBETWEEN(1,COUNTA(schoolDistricts.csv!B:B))&amp;"'}"</f>
        <v>rg:{'id': '11'}</v>
      </c>
      <c r="R3" t="str">
        <f t="shared" ref="R3:R31" ca="1" si="3">IF(RANDBETWEEN(1,10) &lt; 8,"rg:False","rg:True")</f>
        <v>rg:True</v>
      </c>
      <c r="S3" t="str">
        <f ca="1">IF(R3="rg:False","rg:None",INDEX(Lookups!R:R,RANDBETWEEN(2,32),1))</f>
        <v>DUNCAN CHRISTIAN SCHOOL</v>
      </c>
      <c r="T3" t="str">
        <f ca="1">INDEX(Lookups!S:S,RANDBETWEEN(2,5),1)</f>
        <v>Class 1</v>
      </c>
      <c r="U3">
        <f ca="1">CCW.csv!G3</f>
        <v>18206</v>
      </c>
      <c r="V3">
        <f ca="1">CCW.csv!P3-1</f>
        <v>67</v>
      </c>
      <c r="W3">
        <f t="shared" ref="W3:W31" ca="1" si="4">IF(RANDBETWEEN(1,10) &lt; 7,0,RANDBETWEEN(1,5))</f>
        <v>0</v>
      </c>
    </row>
    <row r="4" spans="1:23" x14ac:dyDescent="0.3">
      <c r="A4" t="s">
        <v>2945</v>
      </c>
      <c r="B4">
        <f ca="1">CCW.csv!B4</f>
        <v>36941401</v>
      </c>
      <c r="C4" t="str">
        <f>Lookups!Q4</f>
        <v>NNR 799</v>
      </c>
      <c r="D4" t="str">
        <f ca="1">Lookups!P4&amp;RANDBETWEEN(1111,9999)</f>
        <v>1GBHG31R7X1118528</v>
      </c>
      <c r="E4">
        <f ca="1">RANDBETWEEN(1,COUNTA(Owners.csv!A:A))</f>
        <v>13</v>
      </c>
      <c r="F4">
        <f t="shared" ca="1" si="0"/>
        <v>28392</v>
      </c>
      <c r="G4" t="s">
        <v>2997</v>
      </c>
      <c r="H4" s="1" t="s">
        <v>2998</v>
      </c>
      <c r="I4" t="str">
        <f ca="1">"rg:{ 'id': '"&amp;RANDBETWEEN(1,COUNTA(ServiceAreas.csv!D:D))&amp;"'}"</f>
        <v>rg:{ 'id': '18'}</v>
      </c>
      <c r="J4" t="str">
        <f ca="1">INDEX(Names!G:G,70+$E4,1)</f>
        <v>2913 Blind Bay Road</v>
      </c>
      <c r="K4" t="str">
        <f t="shared" ca="1" si="1"/>
        <v>rg:None</v>
      </c>
      <c r="L4" t="str">
        <f ca="1">INDEX(Names!H:H,70+$E4,1)</f>
        <v>Blue River</v>
      </c>
      <c r="M4" t="str">
        <f ca="1">INDEX(Names!I:I,70+$E4,1)</f>
        <v>BC</v>
      </c>
      <c r="N4" t="str">
        <f ca="1">INDEX(Names!J:J,70+$E4,1)</f>
        <v>V0E 1J0</v>
      </c>
      <c r="O4" t="s">
        <v>130</v>
      </c>
      <c r="P4" t="str">
        <f t="shared" ca="1" si="2"/>
        <v>2017-09-16</v>
      </c>
      <c r="Q4" t="str">
        <f ca="1">"rg:{'id': '"&amp;RANDBETWEEN(1,COUNTA(schoolDistricts.csv!B:B))&amp;"'}"</f>
        <v>rg:{'id': '31'}</v>
      </c>
      <c r="R4" t="str">
        <f t="shared" ca="1" si="3"/>
        <v>rg:True</v>
      </c>
      <c r="S4" t="str">
        <f ca="1">IF(R4="rg:False","rg:None",INDEX(Lookups!R:R,RANDBETWEEN(2,32),1))</f>
        <v>NANAIMO CHRISTIAN SCHOOL</v>
      </c>
      <c r="T4" t="str">
        <f ca="1">INDEX(Lookups!S:S,RANDBETWEEN(2,5),1)</f>
        <v>Class 4</v>
      </c>
      <c r="U4">
        <f ca="1">CCW.csv!G4</f>
        <v>30580</v>
      </c>
      <c r="V4">
        <f ca="1">CCW.csv!P4-1</f>
        <v>22</v>
      </c>
      <c r="W4">
        <f t="shared" ca="1" si="4"/>
        <v>2</v>
      </c>
    </row>
    <row r="5" spans="1:23" x14ac:dyDescent="0.3">
      <c r="A5" t="s">
        <v>2945</v>
      </c>
      <c r="B5">
        <f ca="1">CCW.csv!B5</f>
        <v>12079657</v>
      </c>
      <c r="C5" t="str">
        <f>Lookups!Q5</f>
        <v>NNN 110</v>
      </c>
      <c r="D5" t="str">
        <f ca="1">Lookups!P5&amp;RANDBETWEEN(1111,9999)</f>
        <v>1BAANB7A7XF085552</v>
      </c>
      <c r="E5">
        <f ca="1">RANDBETWEEN(1,COUNTA(Owners.csv!A:A))</f>
        <v>14</v>
      </c>
      <c r="F5">
        <f t="shared" ca="1" si="0"/>
        <v>30076</v>
      </c>
      <c r="G5" t="s">
        <v>2997</v>
      </c>
      <c r="H5" s="1" t="s">
        <v>2998</v>
      </c>
      <c r="I5" t="str">
        <f ca="1">"rg:{ 'id': '"&amp;RANDBETWEEN(1,COUNTA(ServiceAreas.csv!D:D))&amp;"'}"</f>
        <v>rg:{ 'id': '10'}</v>
      </c>
      <c r="J5" t="str">
        <f ca="1">INDEX(Names!G:G,70+$E5,1)</f>
        <v>2031 Blind Bay Road</v>
      </c>
      <c r="K5" t="str">
        <f t="shared" ca="1" si="1"/>
        <v>rg:None</v>
      </c>
      <c r="L5" t="str">
        <f ca="1">INDEX(Names!H:H,70+$E5,1)</f>
        <v>Sicamous</v>
      </c>
      <c r="M5" t="str">
        <f ca="1">INDEX(Names!I:I,70+$E5,1)</f>
        <v>BC</v>
      </c>
      <c r="N5" t="str">
        <f ca="1">INDEX(Names!J:J,70+$E5,1)</f>
        <v>V0E 2V0</v>
      </c>
      <c r="O5" t="s">
        <v>130</v>
      </c>
      <c r="P5" t="str">
        <f t="shared" ca="1" si="2"/>
        <v>2017-11-06</v>
      </c>
      <c r="Q5" t="str">
        <f ca="1">"rg:{'id': '"&amp;RANDBETWEEN(1,COUNTA(schoolDistricts.csv!B:B))&amp;"'}"</f>
        <v>rg:{'id': '17'}</v>
      </c>
      <c r="R5" t="str">
        <f t="shared" ca="1" si="3"/>
        <v>rg:False</v>
      </c>
      <c r="S5" t="str">
        <f ca="1">IF(R5="rg:False","rg:None",INDEX(Lookups!R:R,RANDBETWEEN(2,32),1))</f>
        <v>rg:None</v>
      </c>
      <c r="T5" t="str">
        <f ca="1">INDEX(Lookups!S:S,RANDBETWEEN(2,5),1)</f>
        <v>Class 3</v>
      </c>
      <c r="U5">
        <f ca="1">CCW.csv!G5</f>
        <v>28641</v>
      </c>
      <c r="V5">
        <f ca="1">CCW.csv!P5-1</f>
        <v>71</v>
      </c>
      <c r="W5">
        <f t="shared" ca="1" si="4"/>
        <v>4</v>
      </c>
    </row>
    <row r="6" spans="1:23" x14ac:dyDescent="0.3">
      <c r="A6" t="s">
        <v>2945</v>
      </c>
      <c r="B6">
        <f ca="1">CCW.csv!B6</f>
        <v>36281587</v>
      </c>
      <c r="C6" t="str">
        <f>Lookups!Q6</f>
        <v>VEX 466</v>
      </c>
      <c r="D6" t="str">
        <f ca="1">Lookups!P6&amp;RANDBETWEEN(1111,9999)</f>
        <v>1BAANB7A9XF086812</v>
      </c>
      <c r="E6">
        <f ca="1">RANDBETWEEN(1,COUNTA(Owners.csv!A:A))</f>
        <v>2</v>
      </c>
      <c r="F6">
        <f t="shared" ca="1" si="0"/>
        <v>34532</v>
      </c>
      <c r="G6" t="s">
        <v>2997</v>
      </c>
      <c r="H6" s="1" t="s">
        <v>2998</v>
      </c>
      <c r="I6" t="str">
        <f ca="1">"rg:{ 'id': '"&amp;RANDBETWEEN(1,COUNTA(ServiceAreas.csv!D:D))&amp;"'}"</f>
        <v>rg:{ 'id': '27'}</v>
      </c>
      <c r="J6" t="str">
        <f ca="1">INDEX(Names!G:G,70+$E6,1)</f>
        <v>936 Coldstream Avenue</v>
      </c>
      <c r="K6" t="str">
        <f t="shared" ca="1" si="1"/>
        <v>rg:None</v>
      </c>
      <c r="L6" t="str">
        <f ca="1">INDEX(Names!H:H,70+$E6,1)</f>
        <v>Vernon</v>
      </c>
      <c r="M6" t="str">
        <f ca="1">INDEX(Names!I:I,70+$E6,1)</f>
        <v>BC</v>
      </c>
      <c r="N6" t="str">
        <f ca="1">INDEX(Names!J:J,70+$E6,1)</f>
        <v>V1T 6N1</v>
      </c>
      <c r="O6" t="s">
        <v>130</v>
      </c>
      <c r="P6" t="str">
        <f t="shared" ca="1" si="2"/>
        <v>2017-08-02</v>
      </c>
      <c r="Q6" t="str">
        <f ca="1">"rg:{'id': '"&amp;RANDBETWEEN(1,COUNTA(schoolDistricts.csv!B:B))&amp;"'}"</f>
        <v>rg:{'id': '22'}</v>
      </c>
      <c r="R6" t="str">
        <f t="shared" ca="1" si="3"/>
        <v>rg:True</v>
      </c>
      <c r="S6" t="str">
        <f ca="1">IF(R6="rg:False","rg:None",INDEX(Lookups!R:R,RANDBETWEEN(2,32),1))</f>
        <v>MEADOWRIDGE SCHOOL SOCIET</v>
      </c>
      <c r="T6" t="str">
        <f ca="1">INDEX(Lookups!S:S,RANDBETWEEN(2,5),1)</f>
        <v>Class 4</v>
      </c>
      <c r="U6">
        <f ca="1">CCW.csv!G6</f>
        <v>21092</v>
      </c>
      <c r="V6">
        <f ca="1">CCW.csv!P6-1</f>
        <v>6</v>
      </c>
      <c r="W6">
        <f t="shared" ca="1" si="4"/>
        <v>0</v>
      </c>
    </row>
    <row r="7" spans="1:23" x14ac:dyDescent="0.3">
      <c r="A7" t="s">
        <v>2945</v>
      </c>
      <c r="B7">
        <f ca="1">CCW.csv!B7</f>
        <v>19844142</v>
      </c>
      <c r="C7" t="str">
        <f>Lookups!Q7</f>
        <v>BKH 714</v>
      </c>
      <c r="D7" t="str">
        <f ca="1">Lookups!P7&amp;RANDBETWEEN(1111,9999)</f>
        <v>1HVBBAAN2XH208656</v>
      </c>
      <c r="E7">
        <f ca="1">RANDBETWEEN(1,COUNTA(Owners.csv!A:A))</f>
        <v>2</v>
      </c>
      <c r="F7">
        <f t="shared" ca="1" si="0"/>
        <v>34325</v>
      </c>
      <c r="G7" t="s">
        <v>2997</v>
      </c>
      <c r="H7" s="1" t="s">
        <v>2998</v>
      </c>
      <c r="I7" t="str">
        <f ca="1">"rg:{ 'id': '"&amp;RANDBETWEEN(1,COUNTA(ServiceAreas.csv!D:D))&amp;"'}"</f>
        <v>rg:{ 'id': '4'}</v>
      </c>
      <c r="J7" t="str">
        <f ca="1">INDEX(Names!G:G,70+$E7,1)</f>
        <v>936 Coldstream Avenue</v>
      </c>
      <c r="K7" t="str">
        <f t="shared" ca="1" si="1"/>
        <v>rg:None</v>
      </c>
      <c r="L7" t="str">
        <f ca="1">INDEX(Names!H:H,70+$E7,1)</f>
        <v>Vernon</v>
      </c>
      <c r="M7" t="str">
        <f ca="1">INDEX(Names!I:I,70+$E7,1)</f>
        <v>BC</v>
      </c>
      <c r="N7" t="str">
        <f ca="1">INDEX(Names!J:J,70+$E7,1)</f>
        <v>V1T 6N1</v>
      </c>
      <c r="O7" t="s">
        <v>130</v>
      </c>
      <c r="P7" t="str">
        <f t="shared" ca="1" si="2"/>
        <v>2017-07-18</v>
      </c>
      <c r="Q7" t="str">
        <f ca="1">"rg:{'id': '"&amp;RANDBETWEEN(1,COUNTA(schoolDistricts.csv!B:B))&amp;"'}"</f>
        <v>rg:{'id': '9'}</v>
      </c>
      <c r="R7" t="str">
        <f t="shared" ca="1" si="3"/>
        <v>rg:False</v>
      </c>
      <c r="S7" t="str">
        <f ca="1">IF(R7="rg:False","rg:None",INDEX(Lookups!R:R,RANDBETWEEN(2,32),1))</f>
        <v>rg:None</v>
      </c>
      <c r="T7" t="str">
        <f ca="1">INDEX(Lookups!S:S,RANDBETWEEN(2,5),1)</f>
        <v>Class 3</v>
      </c>
      <c r="U7">
        <f ca="1">CCW.csv!G7</f>
        <v>39184</v>
      </c>
      <c r="V7">
        <f ca="1">CCW.csv!P7-1</f>
        <v>14</v>
      </c>
      <c r="W7">
        <f t="shared" ca="1" si="4"/>
        <v>0</v>
      </c>
    </row>
    <row r="8" spans="1:23" x14ac:dyDescent="0.3">
      <c r="A8" t="s">
        <v>2945</v>
      </c>
      <c r="B8">
        <f ca="1">CCW.csv!B8</f>
        <v>24853201</v>
      </c>
      <c r="C8" t="str">
        <f>Lookups!Q8</f>
        <v>JHS 644</v>
      </c>
      <c r="D8" t="str">
        <f ca="1">Lookups!P8&amp;RANDBETWEEN(1111,9999)</f>
        <v>4UZABRCS48CY66167</v>
      </c>
      <c r="E8">
        <f ca="1">RANDBETWEEN(1,COUNTA(Owners.csv!A:A))</f>
        <v>2</v>
      </c>
      <c r="F8">
        <f t="shared" ca="1" si="0"/>
        <v>31643</v>
      </c>
      <c r="G8" t="s">
        <v>2997</v>
      </c>
      <c r="H8" s="1" t="s">
        <v>2998</v>
      </c>
      <c r="I8" t="str">
        <f ca="1">"rg:{ 'id': '"&amp;RANDBETWEEN(1,COUNTA(ServiceAreas.csv!D:D))&amp;"'}"</f>
        <v>rg:{ 'id': '14'}</v>
      </c>
      <c r="J8" t="str">
        <f ca="1">INDEX(Names!G:G,70+$E8,1)</f>
        <v>936 Coldstream Avenue</v>
      </c>
      <c r="K8" t="str">
        <f t="shared" ca="1" si="1"/>
        <v>rg:None</v>
      </c>
      <c r="L8" t="str">
        <f ca="1">INDEX(Names!H:H,70+$E8,1)</f>
        <v>Vernon</v>
      </c>
      <c r="M8" t="str">
        <f ca="1">INDEX(Names!I:I,70+$E8,1)</f>
        <v>BC</v>
      </c>
      <c r="N8" t="str">
        <f ca="1">INDEX(Names!J:J,70+$E8,1)</f>
        <v>V1T 6N1</v>
      </c>
      <c r="O8" t="s">
        <v>130</v>
      </c>
      <c r="P8" t="str">
        <f t="shared" ca="1" si="2"/>
        <v>2017-02-06</v>
      </c>
      <c r="Q8" t="str">
        <f ca="1">"rg:{'id': '"&amp;RANDBETWEEN(1,COUNTA(schoolDistricts.csv!B:B))&amp;"'}"</f>
        <v>rg:{'id': '12'}</v>
      </c>
      <c r="R8" t="str">
        <f t="shared" ca="1" si="3"/>
        <v>rg:False</v>
      </c>
      <c r="S8" t="str">
        <f ca="1">IF(R8="rg:False","rg:None",INDEX(Lookups!R:R,RANDBETWEEN(2,32),1))</f>
        <v>rg:None</v>
      </c>
      <c r="T8" t="str">
        <f ca="1">INDEX(Lookups!S:S,RANDBETWEEN(2,5),1)</f>
        <v>Class 1</v>
      </c>
      <c r="U8">
        <f ca="1">CCW.csv!G8</f>
        <v>44548</v>
      </c>
      <c r="V8">
        <f ca="1">CCW.csv!P8-1</f>
        <v>41</v>
      </c>
      <c r="W8">
        <f t="shared" ca="1" si="4"/>
        <v>5</v>
      </c>
    </row>
    <row r="9" spans="1:23" x14ac:dyDescent="0.3">
      <c r="A9" t="s">
        <v>2945</v>
      </c>
      <c r="B9">
        <f ca="1">CCW.csv!B9</f>
        <v>23690720</v>
      </c>
      <c r="C9" t="str">
        <f>Lookups!Q9</f>
        <v>GCE 975</v>
      </c>
      <c r="D9" t="str">
        <f ca="1">Lookups!P9&amp;RANDBETWEEN(1111,9999)</f>
        <v>1GJGG25V771151562</v>
      </c>
      <c r="E9">
        <f ca="1">RANDBETWEEN(1,COUNTA(Owners.csv!A:A))</f>
        <v>5</v>
      </c>
      <c r="F9">
        <f t="shared" ca="1" si="0"/>
        <v>29958</v>
      </c>
      <c r="G9" t="s">
        <v>2997</v>
      </c>
      <c r="H9" s="1" t="s">
        <v>2998</v>
      </c>
      <c r="I9" t="str">
        <f ca="1">"rg:{ 'id': '"&amp;RANDBETWEEN(1,COUNTA(ServiceAreas.csv!D:D))&amp;"'}"</f>
        <v>rg:{ 'id': '21'}</v>
      </c>
      <c r="J9" t="str">
        <f ca="1">INDEX(Names!G:G,70+$E9,1)</f>
        <v>4305 Essendene Avenue</v>
      </c>
      <c r="K9" t="str">
        <f t="shared" ca="1" si="1"/>
        <v>rg:None</v>
      </c>
      <c r="L9" t="str">
        <f ca="1">INDEX(Names!H:H,70+$E9,1)</f>
        <v>Abbotsford</v>
      </c>
      <c r="M9" t="str">
        <f ca="1">INDEX(Names!I:I,70+$E9,1)</f>
        <v>BC</v>
      </c>
      <c r="N9" t="str">
        <f ca="1">INDEX(Names!J:J,70+$E9,1)</f>
        <v>V2S 2H7</v>
      </c>
      <c r="O9" t="s">
        <v>130</v>
      </c>
      <c r="P9" t="str">
        <f t="shared" ca="1" si="2"/>
        <v>2017-07-12</v>
      </c>
      <c r="Q9" t="str">
        <f ca="1">"rg:{'id': '"&amp;RANDBETWEEN(1,COUNTA(schoolDistricts.csv!B:B))&amp;"'}"</f>
        <v>rg:{'id': '7'}</v>
      </c>
      <c r="R9" t="str">
        <f t="shared" ca="1" si="3"/>
        <v>rg:True</v>
      </c>
      <c r="S9" t="str">
        <f ca="1">IF(R9="rg:False","rg:None",INDEX(Lookups!R:R,RANDBETWEEN(2,32),1))</f>
        <v>SHAWNIGAN LAKE SCHOOL</v>
      </c>
      <c r="T9" t="str">
        <f ca="1">INDEX(Lookups!S:S,RANDBETWEEN(2,5),1)</f>
        <v>Class 3</v>
      </c>
      <c r="U9">
        <f ca="1">CCW.csv!G9</f>
        <v>11310</v>
      </c>
      <c r="V9">
        <f ca="1">CCW.csv!P9-1</f>
        <v>27</v>
      </c>
      <c r="W9">
        <f t="shared" ca="1" si="4"/>
        <v>4</v>
      </c>
    </row>
    <row r="10" spans="1:23" x14ac:dyDescent="0.3">
      <c r="A10" t="s">
        <v>2945</v>
      </c>
      <c r="B10">
        <f ca="1">CCW.csv!B10</f>
        <v>44168772</v>
      </c>
      <c r="C10" t="str">
        <f>Lookups!Q10</f>
        <v>TJR 794</v>
      </c>
      <c r="D10" t="str">
        <f ca="1">Lookups!P10&amp;RANDBETWEEN(1111,9999)</f>
        <v>1GJGG25V571165336</v>
      </c>
      <c r="E10">
        <f ca="1">RANDBETWEEN(1,COUNTA(Owners.csv!A:A))</f>
        <v>14</v>
      </c>
      <c r="F10">
        <f t="shared" ca="1" si="0"/>
        <v>29662</v>
      </c>
      <c r="G10" t="s">
        <v>2997</v>
      </c>
      <c r="H10" s="1" t="s">
        <v>2998</v>
      </c>
      <c r="I10" t="str">
        <f ca="1">"rg:{ 'id': '"&amp;RANDBETWEEN(1,COUNTA(ServiceAreas.csv!D:D))&amp;"'}"</f>
        <v>rg:{ 'id': '22'}</v>
      </c>
      <c r="J10" t="str">
        <f ca="1">INDEX(Names!G:G,70+$E10,1)</f>
        <v>2031 Blind Bay Road</v>
      </c>
      <c r="K10" t="str">
        <f t="shared" ca="1" si="1"/>
        <v>rg:None</v>
      </c>
      <c r="L10" t="str">
        <f ca="1">INDEX(Names!H:H,70+$E10,1)</f>
        <v>Sicamous</v>
      </c>
      <c r="M10" t="str">
        <f ca="1">INDEX(Names!I:I,70+$E10,1)</f>
        <v>BC</v>
      </c>
      <c r="N10" t="str">
        <f ca="1">INDEX(Names!J:J,70+$E10,1)</f>
        <v>V0E 2V0</v>
      </c>
      <c r="O10" t="s">
        <v>130</v>
      </c>
      <c r="P10" t="str">
        <f t="shared" ca="1" si="2"/>
        <v>2017-08-29</v>
      </c>
      <c r="Q10" t="str">
        <f ca="1">"rg:{'id': '"&amp;RANDBETWEEN(1,COUNTA(schoolDistricts.csv!B:B))&amp;"'}"</f>
        <v>rg:{'id': '44'}</v>
      </c>
      <c r="R10" t="str">
        <f t="shared" ca="1" si="3"/>
        <v>rg:True</v>
      </c>
      <c r="S10" t="str">
        <f ca="1">IF(R10="rg:False","rg:None",INDEX(Lookups!R:R,RANDBETWEEN(2,32),1))</f>
        <v>VANCOUVER SCHOOL BUS</v>
      </c>
      <c r="T10" t="str">
        <f ca="1">INDEX(Lookups!S:S,RANDBETWEEN(2,5),1)</f>
        <v>Class 3</v>
      </c>
      <c r="U10">
        <f ca="1">CCW.csv!G10</f>
        <v>48011</v>
      </c>
      <c r="V10">
        <f ca="1">CCW.csv!P10-1</f>
        <v>61</v>
      </c>
      <c r="W10">
        <f t="shared" ca="1" si="4"/>
        <v>5</v>
      </c>
    </row>
    <row r="11" spans="1:23" x14ac:dyDescent="0.3">
      <c r="A11" t="s">
        <v>2945</v>
      </c>
      <c r="B11">
        <f ca="1">CCW.csv!B11</f>
        <v>37470609</v>
      </c>
      <c r="C11" t="str">
        <f>Lookups!Q11</f>
        <v>LEE 402</v>
      </c>
      <c r="D11" t="str">
        <f ca="1">Lookups!P11&amp;RANDBETWEEN(1111,9999)</f>
        <v>4UZ3CFAC2XCB66789</v>
      </c>
      <c r="E11">
        <f ca="1">RANDBETWEEN(1,COUNTA(Owners.csv!A:A))</f>
        <v>10</v>
      </c>
      <c r="F11">
        <f t="shared" ca="1" si="0"/>
        <v>38431</v>
      </c>
      <c r="G11" t="s">
        <v>2997</v>
      </c>
      <c r="H11" s="1" t="s">
        <v>2998</v>
      </c>
      <c r="I11" t="str">
        <f ca="1">"rg:{ 'id': '"&amp;RANDBETWEEN(1,COUNTA(ServiceAreas.csv!D:D))&amp;"'}"</f>
        <v>rg:{ 'id': '10'}</v>
      </c>
      <c r="J11" t="str">
        <f ca="1">INDEX(Names!G:G,70+$E11,1)</f>
        <v>4112 Burdett Avenue</v>
      </c>
      <c r="K11" t="str">
        <f t="shared" ca="1" si="1"/>
        <v>rg:None</v>
      </c>
      <c r="L11" t="str">
        <f ca="1">INDEX(Names!H:H,70+$E11,1)</f>
        <v>Victoria</v>
      </c>
      <c r="M11" t="str">
        <f ca="1">INDEX(Names!I:I,70+$E11,1)</f>
        <v>BC</v>
      </c>
      <c r="N11" t="str">
        <f ca="1">INDEX(Names!J:J,70+$E11,1)</f>
        <v>V8W 1B2</v>
      </c>
      <c r="O11" t="s">
        <v>130</v>
      </c>
      <c r="P11" t="str">
        <f t="shared" ca="1" si="2"/>
        <v>2017-10-02</v>
      </c>
      <c r="Q11" t="str">
        <f ca="1">"rg:{'id': '"&amp;RANDBETWEEN(1,COUNTA(schoolDistricts.csv!B:B))&amp;"'}"</f>
        <v>rg:{'id': '38'}</v>
      </c>
      <c r="R11" t="str">
        <f t="shared" ca="1" si="3"/>
        <v>rg:True</v>
      </c>
      <c r="S11" t="str">
        <f ca="1">IF(R11="rg:False","rg:None",INDEX(Lookups!R:R,RANDBETWEEN(2,32),1))</f>
        <v>AGASSIZ CHRISTIAN SCHOOL</v>
      </c>
      <c r="T11" t="str">
        <f ca="1">INDEX(Lookups!S:S,RANDBETWEEN(2,5),1)</f>
        <v>Class 1</v>
      </c>
      <c r="U11">
        <f ca="1">CCW.csv!G11</f>
        <v>27035</v>
      </c>
      <c r="V11">
        <f ca="1">CCW.csv!P11-1</f>
        <v>81</v>
      </c>
      <c r="W11">
        <f t="shared" ca="1" si="4"/>
        <v>1</v>
      </c>
    </row>
    <row r="12" spans="1:23" x14ac:dyDescent="0.3">
      <c r="A12" t="s">
        <v>2945</v>
      </c>
      <c r="B12">
        <f ca="1">CCW.csv!B12</f>
        <v>12015327</v>
      </c>
      <c r="C12" t="str">
        <f>Lookups!Q12</f>
        <v>PSC 516</v>
      </c>
      <c r="D12" t="str">
        <f ca="1">Lookups!P12&amp;RANDBETWEEN(1111,9999)</f>
        <v>1BAAJCSH6XF082690</v>
      </c>
      <c r="E12">
        <f ca="1">RANDBETWEEN(1,COUNTA(Owners.csv!A:A))</f>
        <v>3</v>
      </c>
      <c r="F12">
        <f t="shared" ca="1" si="0"/>
        <v>32008</v>
      </c>
      <c r="G12" t="s">
        <v>2997</v>
      </c>
      <c r="H12" s="1" t="s">
        <v>2998</v>
      </c>
      <c r="I12" t="str">
        <f ca="1">"rg:{ 'id': '"&amp;RANDBETWEEN(1,COUNTA(ServiceAreas.csv!D:D))&amp;"'}"</f>
        <v>rg:{ 'id': '21'}</v>
      </c>
      <c r="J12" t="str">
        <f ca="1">INDEX(Names!G:G,70+$E12,1)</f>
        <v>3694 Lake City Way</v>
      </c>
      <c r="K12" t="str">
        <f t="shared" ca="1" si="1"/>
        <v>rg:None</v>
      </c>
      <c r="L12" t="str">
        <f ca="1">INDEX(Names!H:H,70+$E12,1)</f>
        <v>Burnaby</v>
      </c>
      <c r="M12" t="str">
        <f ca="1">INDEX(Names!I:I,70+$E12,1)</f>
        <v>BC</v>
      </c>
      <c r="N12" t="str">
        <f ca="1">INDEX(Names!J:J,70+$E12,1)</f>
        <v>V5A 2Z6</v>
      </c>
      <c r="O12" t="s">
        <v>130</v>
      </c>
      <c r="P12" t="str">
        <f t="shared" ca="1" si="2"/>
        <v>2017-05-19</v>
      </c>
      <c r="Q12" t="str">
        <f ca="1">"rg:{'id': '"&amp;RANDBETWEEN(1,COUNTA(schoolDistricts.csv!B:B))&amp;"'}"</f>
        <v>rg:{'id': '33'}</v>
      </c>
      <c r="R12" t="str">
        <f t="shared" ca="1" si="3"/>
        <v>rg:False</v>
      </c>
      <c r="S12" t="str">
        <f ca="1">IF(R12="rg:False","rg:None",INDEX(Lookups!R:R,RANDBETWEEN(2,32),1))</f>
        <v>rg:None</v>
      </c>
      <c r="T12" t="str">
        <f ca="1">INDEX(Lookups!S:S,RANDBETWEEN(2,5),1)</f>
        <v>Class 2</v>
      </c>
      <c r="U12">
        <f ca="1">CCW.csv!G12</f>
        <v>48348</v>
      </c>
      <c r="V12">
        <f ca="1">CCW.csv!P12-1</f>
        <v>41</v>
      </c>
      <c r="W12">
        <f t="shared" ca="1" si="4"/>
        <v>1</v>
      </c>
    </row>
    <row r="13" spans="1:23" x14ac:dyDescent="0.3">
      <c r="A13" t="s">
        <v>2945</v>
      </c>
      <c r="B13">
        <f ca="1">CCW.csv!B13</f>
        <v>35071455</v>
      </c>
      <c r="C13" t="str">
        <f>Lookups!Q13</f>
        <v>KHZ 108</v>
      </c>
      <c r="D13" t="str">
        <f ca="1">Lookups!P13&amp;RANDBETWEEN(1111,9999)</f>
        <v>1HVBBABN5XH202357</v>
      </c>
      <c r="E13">
        <f ca="1">RANDBETWEEN(1,COUNTA(Owners.csv!A:A))</f>
        <v>1</v>
      </c>
      <c r="F13">
        <f t="shared" ca="1" si="0"/>
        <v>32347</v>
      </c>
      <c r="G13" t="s">
        <v>2997</v>
      </c>
      <c r="H13" s="1" t="s">
        <v>2998</v>
      </c>
      <c r="I13" t="str">
        <f ca="1">"rg:{ 'id': '"&amp;RANDBETWEEN(1,COUNTA(ServiceAreas.csv!D:D))&amp;"'}"</f>
        <v>rg:{ 'id': '10'}</v>
      </c>
      <c r="J13" t="str">
        <f ca="1">INDEX(Names!G:G,70+$E13,1)</f>
        <v>4526 Glover Road</v>
      </c>
      <c r="K13" t="str">
        <f t="shared" ca="1" si="1"/>
        <v>Unit 100</v>
      </c>
      <c r="L13" t="str">
        <f ca="1">INDEX(Names!H:H,70+$E13,1)</f>
        <v>Coquitlam</v>
      </c>
      <c r="M13" t="str">
        <f ca="1">INDEX(Names!I:I,70+$E13,1)</f>
        <v>BC</v>
      </c>
      <c r="N13" t="str">
        <f ca="1">INDEX(Names!J:J,70+$E13,1)</f>
        <v>V3J 4S1</v>
      </c>
      <c r="O13" t="s">
        <v>130</v>
      </c>
      <c r="P13" t="str">
        <f t="shared" ca="1" si="2"/>
        <v>2017-10-17</v>
      </c>
      <c r="Q13" t="str">
        <f ca="1">"rg:{'id': '"&amp;RANDBETWEEN(1,COUNTA(schoolDistricts.csv!B:B))&amp;"'}"</f>
        <v>rg:{'id': '22'}</v>
      </c>
      <c r="R13" t="str">
        <f t="shared" ca="1" si="3"/>
        <v>rg:True</v>
      </c>
      <c r="S13" t="str">
        <f ca="1">IF(R13="rg:False","rg:None",INDEX(Lookups!R:R,RANDBETWEEN(2,32),1))</f>
        <v>OSOYOOS SECONDARY SCHOOL</v>
      </c>
      <c r="T13" t="str">
        <f ca="1">INDEX(Lookups!S:S,RANDBETWEEN(2,5),1)</f>
        <v>Class 3</v>
      </c>
      <c r="U13">
        <f ca="1">CCW.csv!G13</f>
        <v>32523</v>
      </c>
      <c r="V13">
        <f ca="1">CCW.csv!P13-1</f>
        <v>29</v>
      </c>
      <c r="W13">
        <f t="shared" ca="1" si="4"/>
        <v>0</v>
      </c>
    </row>
    <row r="14" spans="1:23" x14ac:dyDescent="0.3">
      <c r="A14" t="s">
        <v>2945</v>
      </c>
      <c r="B14">
        <f ca="1">CCW.csv!B14</f>
        <v>45717506</v>
      </c>
      <c r="C14" t="str">
        <f>Lookups!Q14</f>
        <v>NLN 307</v>
      </c>
      <c r="D14" t="str">
        <f ca="1">Lookups!P14&amp;RANDBETWEEN(1111,9999)</f>
        <v>1HVBBABP8YH206028</v>
      </c>
      <c r="E14">
        <f ca="1">RANDBETWEEN(1,COUNTA(Owners.csv!A:A))</f>
        <v>2</v>
      </c>
      <c r="F14">
        <f t="shared" ca="1" si="0"/>
        <v>29459</v>
      </c>
      <c r="G14" t="s">
        <v>2997</v>
      </c>
      <c r="H14" s="1" t="s">
        <v>2998</v>
      </c>
      <c r="I14" t="str">
        <f ca="1">"rg:{ 'id': '"&amp;RANDBETWEEN(1,COUNTA(ServiceAreas.csv!D:D))&amp;"'}"</f>
        <v>rg:{ 'id': '22'}</v>
      </c>
      <c r="J14" t="str">
        <f ca="1">INDEX(Names!G:G,70+$E14,1)</f>
        <v>936 Coldstream Avenue</v>
      </c>
      <c r="K14" t="str">
        <f t="shared" ca="1" si="1"/>
        <v>rg:None</v>
      </c>
      <c r="L14" t="str">
        <f ca="1">INDEX(Names!H:H,70+$E14,1)</f>
        <v>Vernon</v>
      </c>
      <c r="M14" t="str">
        <f ca="1">INDEX(Names!I:I,70+$E14,1)</f>
        <v>BC</v>
      </c>
      <c r="N14" t="str">
        <f ca="1">INDEX(Names!J:J,70+$E14,1)</f>
        <v>V1T 6N1</v>
      </c>
      <c r="O14" t="s">
        <v>130</v>
      </c>
      <c r="P14" t="str">
        <f t="shared" ca="1" si="2"/>
        <v>2017-06-29</v>
      </c>
      <c r="Q14" t="str">
        <f ca="1">"rg:{'id': '"&amp;RANDBETWEEN(1,COUNTA(schoolDistricts.csv!B:B))&amp;"'}"</f>
        <v>rg:{'id': '8'}</v>
      </c>
      <c r="R14" t="str">
        <f t="shared" ca="1" si="3"/>
        <v>rg:True</v>
      </c>
      <c r="S14" t="str">
        <f ca="1">IF(R14="rg:False","rg:None",INDEX(Lookups!R:R,RANDBETWEEN(2,32),1))</f>
        <v>MAIMONIDES SCHOOL SOCIETY</v>
      </c>
      <c r="T14" t="str">
        <f ca="1">INDEX(Lookups!S:S,RANDBETWEEN(2,5),1)</f>
        <v>Class 2</v>
      </c>
      <c r="U14">
        <f ca="1">CCW.csv!G14</f>
        <v>41474</v>
      </c>
      <c r="V14">
        <f ca="1">CCW.csv!P14-1</f>
        <v>57</v>
      </c>
      <c r="W14">
        <f t="shared" ca="1" si="4"/>
        <v>0</v>
      </c>
    </row>
    <row r="15" spans="1:23" x14ac:dyDescent="0.3">
      <c r="A15" t="s">
        <v>2945</v>
      </c>
      <c r="B15">
        <f ca="1">CCW.csv!B15</f>
        <v>39232291</v>
      </c>
      <c r="C15" t="str">
        <f>Lookups!Q15</f>
        <v>XES 635</v>
      </c>
      <c r="D15" t="str">
        <f ca="1">Lookups!P15&amp;RANDBETWEEN(1111,9999)</f>
        <v>1GBHG31F6X1079091</v>
      </c>
      <c r="E15">
        <f ca="1">RANDBETWEEN(1,COUNTA(Owners.csv!A:A))</f>
        <v>18</v>
      </c>
      <c r="F15">
        <f t="shared" ca="1" si="0"/>
        <v>31414</v>
      </c>
      <c r="G15" t="s">
        <v>2997</v>
      </c>
      <c r="H15" s="1" t="s">
        <v>2998</v>
      </c>
      <c r="I15" t="str">
        <f ca="1">"rg:{ 'id': '"&amp;RANDBETWEEN(1,COUNTA(ServiceAreas.csv!D:D))&amp;"'}"</f>
        <v>rg:{ 'id': '12'}</v>
      </c>
      <c r="J15" t="str">
        <f ca="1">INDEX(Names!G:G,70+$E15,1)</f>
        <v>2420 Roger Street</v>
      </c>
      <c r="K15" t="str">
        <f t="shared" ca="1" si="1"/>
        <v>rg:None</v>
      </c>
      <c r="L15" t="str">
        <f ca="1">INDEX(Names!H:H,70+$E15,1)</f>
        <v>Duncan</v>
      </c>
      <c r="M15" t="str">
        <f ca="1">INDEX(Names!I:I,70+$E15,1)</f>
        <v>BC</v>
      </c>
      <c r="N15" t="str">
        <f ca="1">INDEX(Names!J:J,70+$E15,1)</f>
        <v>V9L 1E5</v>
      </c>
      <c r="O15" t="s">
        <v>130</v>
      </c>
      <c r="P15" t="str">
        <f t="shared" ca="1" si="2"/>
        <v>2017-01-04</v>
      </c>
      <c r="Q15" t="str">
        <f ca="1">"rg:{'id': '"&amp;RANDBETWEEN(1,COUNTA(schoolDistricts.csv!B:B))&amp;"'}"</f>
        <v>rg:{'id': '4'}</v>
      </c>
      <c r="R15" t="str">
        <f t="shared" ca="1" si="3"/>
        <v>rg:False</v>
      </c>
      <c r="S15" t="str">
        <f ca="1">IF(R15="rg:False","rg:None",INDEX(Lookups!R:R,RANDBETWEEN(2,32),1))</f>
        <v>rg:None</v>
      </c>
      <c r="T15" t="str">
        <f ca="1">INDEX(Lookups!S:S,RANDBETWEEN(2,5),1)</f>
        <v>Class 3</v>
      </c>
      <c r="U15">
        <f ca="1">CCW.csv!G15</f>
        <v>10485</v>
      </c>
      <c r="V15">
        <f ca="1">CCW.csv!P15-1</f>
        <v>56</v>
      </c>
      <c r="W15">
        <f t="shared" ca="1" si="4"/>
        <v>0</v>
      </c>
    </row>
    <row r="16" spans="1:23" x14ac:dyDescent="0.3">
      <c r="A16" t="s">
        <v>2945</v>
      </c>
      <c r="B16">
        <f ca="1">CCW.csv!B16</f>
        <v>20833738</v>
      </c>
      <c r="C16" t="str">
        <f>Lookups!Q16</f>
        <v>MPA 390</v>
      </c>
      <c r="D16" t="str">
        <f ca="1">Lookups!P16&amp;RANDBETWEEN(1111,9999)</f>
        <v>1GBHG31F2X1073836</v>
      </c>
      <c r="E16">
        <f ca="1">RANDBETWEEN(1,COUNTA(Owners.csv!A:A))</f>
        <v>9</v>
      </c>
      <c r="F16">
        <f t="shared" ca="1" si="0"/>
        <v>27168</v>
      </c>
      <c r="G16" t="s">
        <v>2997</v>
      </c>
      <c r="H16" s="1" t="s">
        <v>2998</v>
      </c>
      <c r="I16" t="str">
        <f ca="1">"rg:{ 'id': '"&amp;RANDBETWEEN(1,COUNTA(ServiceAreas.csv!D:D))&amp;"'}"</f>
        <v>rg:{ 'id': '22'}</v>
      </c>
      <c r="J16" t="str">
        <f ca="1">INDEX(Names!G:G,70+$E16,1)</f>
        <v>4397 Burdett Avenue</v>
      </c>
      <c r="K16" t="str">
        <f t="shared" ca="1" si="1"/>
        <v>Unit 100</v>
      </c>
      <c r="L16" t="str">
        <f ca="1">INDEX(Names!H:H,70+$E16,1)</f>
        <v>Terrace</v>
      </c>
      <c r="M16" t="str">
        <f ca="1">INDEX(Names!I:I,70+$E16,1)</f>
        <v>BC</v>
      </c>
      <c r="N16" t="str">
        <f ca="1">INDEX(Names!J:J,70+$E16,1)</f>
        <v>V8G 1S2</v>
      </c>
      <c r="O16" t="s">
        <v>130</v>
      </c>
      <c r="P16" t="str">
        <f t="shared" ca="1" si="2"/>
        <v>2017-11-29</v>
      </c>
      <c r="Q16" t="str">
        <f ca="1">"rg:{'id': '"&amp;RANDBETWEEN(1,COUNTA(schoolDistricts.csv!B:B))&amp;"'}"</f>
        <v>rg:{'id': '41'}</v>
      </c>
      <c r="R16" t="str">
        <f t="shared" ca="1" si="3"/>
        <v>rg:True</v>
      </c>
      <c r="S16" t="str">
        <f ca="1">IF(R16="rg:False","rg:None",INDEX(Lookups!R:R,RANDBETWEEN(2,32),1))</f>
        <v>WSANEC SCHOOL BOARD</v>
      </c>
      <c r="T16" t="str">
        <f ca="1">INDEX(Lookups!S:S,RANDBETWEEN(2,5),1)</f>
        <v>Class 4</v>
      </c>
      <c r="U16">
        <f ca="1">CCW.csv!G16</f>
        <v>33766</v>
      </c>
      <c r="V16">
        <f ca="1">CCW.csv!P16-1</f>
        <v>54</v>
      </c>
      <c r="W16">
        <f t="shared" ca="1" si="4"/>
        <v>4</v>
      </c>
    </row>
    <row r="17" spans="1:23" x14ac:dyDescent="0.3">
      <c r="A17" t="s">
        <v>2945</v>
      </c>
      <c r="B17">
        <f ca="1">CCW.csv!B17</f>
        <v>36524494</v>
      </c>
      <c r="C17" t="str">
        <f>Lookups!Q17</f>
        <v>TJJ 517</v>
      </c>
      <c r="D17" t="str">
        <f ca="1">Lookups!P17&amp;RANDBETWEEN(1111,9999)</f>
        <v>1GBHG31F2X1119022</v>
      </c>
      <c r="E17">
        <f ca="1">RANDBETWEEN(1,COUNTA(Owners.csv!A:A))</f>
        <v>16</v>
      </c>
      <c r="F17">
        <f t="shared" ca="1" si="0"/>
        <v>31336</v>
      </c>
      <c r="G17" t="s">
        <v>2997</v>
      </c>
      <c r="H17" s="1" t="s">
        <v>2998</v>
      </c>
      <c r="I17" t="str">
        <f ca="1">"rg:{ 'id': '"&amp;RANDBETWEEN(1,COUNTA(ServiceAreas.csv!D:D))&amp;"'}"</f>
        <v>rg:{ 'id': '21'}</v>
      </c>
      <c r="J17" t="str">
        <f ca="1">INDEX(Names!G:G,70+$E17,1)</f>
        <v>1028 Glover Road</v>
      </c>
      <c r="K17" t="str">
        <f t="shared" ca="1" si="1"/>
        <v>rg:None</v>
      </c>
      <c r="L17" t="str">
        <f ca="1">INDEX(Names!H:H,70+$E17,1)</f>
        <v>Langley</v>
      </c>
      <c r="M17" t="str">
        <f ca="1">INDEX(Names!I:I,70+$E17,1)</f>
        <v>BC</v>
      </c>
      <c r="N17" t="str">
        <f ca="1">INDEX(Names!J:J,70+$E17,1)</f>
        <v>V3A 1Z3</v>
      </c>
      <c r="O17" t="s">
        <v>130</v>
      </c>
      <c r="P17" t="str">
        <f t="shared" ca="1" si="2"/>
        <v>2017-12-10</v>
      </c>
      <c r="Q17" t="str">
        <f ca="1">"rg:{'id': '"&amp;RANDBETWEEN(1,COUNTA(schoolDistricts.csv!B:B))&amp;"'}"</f>
        <v>rg:{'id': '43'}</v>
      </c>
      <c r="R17" t="str">
        <f t="shared" ca="1" si="3"/>
        <v>rg:False</v>
      </c>
      <c r="S17" t="str">
        <f ca="1">IF(R17="rg:False","rg:None",INDEX(Lookups!R:R,RANDBETWEEN(2,32),1))</f>
        <v>rg:None</v>
      </c>
      <c r="T17" t="str">
        <f ca="1">INDEX(Lookups!S:S,RANDBETWEEN(2,5),1)</f>
        <v>Class 3</v>
      </c>
      <c r="U17">
        <f ca="1">CCW.csv!G17</f>
        <v>19897</v>
      </c>
      <c r="V17">
        <f ca="1">CCW.csv!P17-1</f>
        <v>12</v>
      </c>
      <c r="W17">
        <f t="shared" ca="1" si="4"/>
        <v>0</v>
      </c>
    </row>
    <row r="18" spans="1:23" x14ac:dyDescent="0.3">
      <c r="A18" t="s">
        <v>2945</v>
      </c>
      <c r="B18">
        <f ca="1">CCW.csv!B18</f>
        <v>24018529</v>
      </c>
      <c r="C18" t="str">
        <f>Lookups!Q18</f>
        <v>MWJ 920</v>
      </c>
      <c r="D18" t="str">
        <f ca="1">Lookups!P18&amp;RANDBETWEEN(1111,9999)</f>
        <v>1GBHG31F0X1113949</v>
      </c>
      <c r="E18">
        <f ca="1">RANDBETWEEN(1,COUNTA(Owners.csv!A:A))</f>
        <v>13</v>
      </c>
      <c r="F18">
        <f t="shared" ca="1" si="0"/>
        <v>36437</v>
      </c>
      <c r="G18" t="s">
        <v>2997</v>
      </c>
      <c r="H18" s="1" t="s">
        <v>2998</v>
      </c>
      <c r="I18" t="str">
        <f ca="1">"rg:{ 'id': '"&amp;RANDBETWEEN(1,COUNTA(ServiceAreas.csv!D:D))&amp;"'}"</f>
        <v>rg:{ 'id': '25'}</v>
      </c>
      <c r="J18" t="str">
        <f ca="1">INDEX(Names!G:G,70+$E18,1)</f>
        <v>2913 Blind Bay Road</v>
      </c>
      <c r="K18" t="str">
        <f t="shared" ca="1" si="1"/>
        <v>rg:None</v>
      </c>
      <c r="L18" t="str">
        <f ca="1">INDEX(Names!H:H,70+$E18,1)</f>
        <v>Blue River</v>
      </c>
      <c r="M18" t="str">
        <f ca="1">INDEX(Names!I:I,70+$E18,1)</f>
        <v>BC</v>
      </c>
      <c r="N18" t="str">
        <f ca="1">INDEX(Names!J:J,70+$E18,1)</f>
        <v>V0E 1J0</v>
      </c>
      <c r="O18" t="s">
        <v>130</v>
      </c>
      <c r="P18" t="str">
        <f t="shared" ca="1" si="2"/>
        <v>2017-08-23</v>
      </c>
      <c r="Q18" t="str">
        <f ca="1">"rg:{'id': '"&amp;RANDBETWEEN(1,COUNTA(schoolDistricts.csv!B:B))&amp;"'}"</f>
        <v>rg:{'id': '27'}</v>
      </c>
      <c r="R18" t="str">
        <f t="shared" ca="1" si="3"/>
        <v>rg:False</v>
      </c>
      <c r="S18" t="str">
        <f ca="1">IF(R18="rg:False","rg:None",INDEX(Lookups!R:R,RANDBETWEEN(2,32),1))</f>
        <v>rg:None</v>
      </c>
      <c r="T18" t="str">
        <f ca="1">INDEX(Lookups!S:S,RANDBETWEEN(2,5),1)</f>
        <v>Class 2</v>
      </c>
      <c r="U18">
        <f ca="1">CCW.csv!G18</f>
        <v>21354</v>
      </c>
      <c r="V18">
        <f ca="1">CCW.csv!P18-1</f>
        <v>53</v>
      </c>
      <c r="W18">
        <f t="shared" ca="1" si="4"/>
        <v>0</v>
      </c>
    </row>
    <row r="19" spans="1:23" x14ac:dyDescent="0.3">
      <c r="A19" t="s">
        <v>2945</v>
      </c>
      <c r="B19">
        <f ca="1">CCW.csv!B19</f>
        <v>18880168</v>
      </c>
      <c r="C19" t="str">
        <f>Lookups!Q19</f>
        <v>SSR 601</v>
      </c>
      <c r="D19" t="str">
        <f ca="1">Lookups!P19&amp;RANDBETWEEN(1111,9999)</f>
        <v>1GBHG31F2X1115434</v>
      </c>
      <c r="E19">
        <f ca="1">RANDBETWEEN(1,COUNTA(Owners.csv!A:A))</f>
        <v>7</v>
      </c>
      <c r="F19">
        <f t="shared" ca="1" si="0"/>
        <v>32905</v>
      </c>
      <c r="G19" t="s">
        <v>2997</v>
      </c>
      <c r="H19" s="1" t="s">
        <v>2998</v>
      </c>
      <c r="I19" t="str">
        <f ca="1">"rg:{ 'id': '"&amp;RANDBETWEEN(1,COUNTA(ServiceAreas.csv!D:D))&amp;"'}"</f>
        <v>rg:{ 'id': '6'}</v>
      </c>
      <c r="J19" t="str">
        <f ca="1">INDEX(Names!G:G,70+$E19,1)</f>
        <v>4819 Wallace Street</v>
      </c>
      <c r="K19" t="str">
        <f t="shared" ca="1" si="1"/>
        <v>Unit 100</v>
      </c>
      <c r="L19" t="str">
        <f ca="1">INDEX(Names!H:H,70+$E19,1)</f>
        <v>Nanaimo</v>
      </c>
      <c r="M19" t="str">
        <f ca="1">INDEX(Names!I:I,70+$E19,1)</f>
        <v>BC</v>
      </c>
      <c r="N19" t="str">
        <f ca="1">INDEX(Names!J:J,70+$E19,1)</f>
        <v>V9R 3A8</v>
      </c>
      <c r="O19" t="s">
        <v>130</v>
      </c>
      <c r="P19" t="str">
        <f t="shared" ca="1" si="2"/>
        <v>2017-01-09</v>
      </c>
      <c r="Q19" t="str">
        <f ca="1">"rg:{'id': '"&amp;RANDBETWEEN(1,COUNTA(schoolDistricts.csv!B:B))&amp;"'}"</f>
        <v>rg:{'id': '48'}</v>
      </c>
      <c r="R19" t="str">
        <f t="shared" ca="1" si="3"/>
        <v>rg:True</v>
      </c>
      <c r="S19" t="str">
        <f ca="1">IF(R19="rg:False","rg:None",INDEX(Lookups!R:R,RANDBETWEEN(2,32),1))</f>
        <v>CATHOLIC PUBLIC SCHOOLS</v>
      </c>
      <c r="T19" t="str">
        <f ca="1">INDEX(Lookups!S:S,RANDBETWEEN(2,5),1)</f>
        <v>Class 2</v>
      </c>
      <c r="U19">
        <f ca="1">CCW.csv!G19</f>
        <v>45683</v>
      </c>
      <c r="V19">
        <f ca="1">CCW.csv!P19-1</f>
        <v>14</v>
      </c>
      <c r="W19">
        <f t="shared" ca="1" si="4"/>
        <v>1</v>
      </c>
    </row>
    <row r="20" spans="1:23" x14ac:dyDescent="0.3">
      <c r="A20" t="s">
        <v>2945</v>
      </c>
      <c r="B20">
        <f ca="1">CCW.csv!B20</f>
        <v>21133086</v>
      </c>
      <c r="C20" t="str">
        <f>Lookups!Q20</f>
        <v>VTC 949</v>
      </c>
      <c r="D20" t="str">
        <f ca="1">Lookups!P20&amp;RANDBETWEEN(1111,9999)</f>
        <v>1GBHG31F8X1112030</v>
      </c>
      <c r="E20">
        <f ca="1">RANDBETWEEN(1,COUNTA(Owners.csv!A:A))</f>
        <v>12</v>
      </c>
      <c r="F20">
        <f t="shared" ca="1" si="0"/>
        <v>26548</v>
      </c>
      <c r="G20" t="s">
        <v>2997</v>
      </c>
      <c r="H20" s="1" t="s">
        <v>2998</v>
      </c>
      <c r="I20" t="str">
        <f ca="1">"rg:{ 'id': '"&amp;RANDBETWEEN(1,COUNTA(ServiceAreas.csv!D:D))&amp;"'}"</f>
        <v>rg:{ 'id': '15'}</v>
      </c>
      <c r="J20" t="str">
        <f ca="1">INDEX(Names!G:G,70+$E20,1)</f>
        <v>2565 Tchesinkut Lake Rd</v>
      </c>
      <c r="K20" t="str">
        <f t="shared" ca="1" si="1"/>
        <v>rg:None</v>
      </c>
      <c r="L20" t="str">
        <f ca="1">INDEX(Names!H:H,70+$E20,1)</f>
        <v>Mcbride</v>
      </c>
      <c r="M20" t="str">
        <f ca="1">INDEX(Names!I:I,70+$E20,1)</f>
        <v>BC</v>
      </c>
      <c r="N20" t="str">
        <f ca="1">INDEX(Names!J:J,70+$E20,1)</f>
        <v>V0J 2E0</v>
      </c>
      <c r="O20" t="s">
        <v>130</v>
      </c>
      <c r="P20" t="str">
        <f t="shared" ca="1" si="2"/>
        <v>2017-01-21</v>
      </c>
      <c r="Q20" t="str">
        <f ca="1">"rg:{'id': '"&amp;RANDBETWEEN(1,COUNTA(schoolDistricts.csv!B:B))&amp;"'}"</f>
        <v>rg:{'id': '34'}</v>
      </c>
      <c r="R20" t="str">
        <f t="shared" ca="1" si="3"/>
        <v>rg:False</v>
      </c>
      <c r="S20" t="str">
        <f ca="1">IF(R20="rg:False","rg:None",INDEX(Lookups!R:R,RANDBETWEEN(2,32),1))</f>
        <v>rg:None</v>
      </c>
      <c r="T20" t="str">
        <f ca="1">INDEX(Lookups!S:S,RANDBETWEEN(2,5),1)</f>
        <v>Class 2</v>
      </c>
      <c r="U20">
        <f ca="1">CCW.csv!G20</f>
        <v>11854</v>
      </c>
      <c r="V20">
        <f ca="1">CCW.csv!P20-1</f>
        <v>30</v>
      </c>
      <c r="W20">
        <f t="shared" ca="1" si="4"/>
        <v>1</v>
      </c>
    </row>
    <row r="21" spans="1:23" x14ac:dyDescent="0.3">
      <c r="A21" t="s">
        <v>2945</v>
      </c>
      <c r="B21">
        <f ca="1">CCW.csv!B21</f>
        <v>28360998</v>
      </c>
      <c r="C21" t="str">
        <f>Lookups!Q21</f>
        <v>TNC 450</v>
      </c>
      <c r="D21" t="str">
        <f ca="1">Lookups!P21&amp;RANDBETWEEN(1111,9999)</f>
        <v>1GBJG31F9X1156508</v>
      </c>
      <c r="E21">
        <f ca="1">RANDBETWEEN(1,COUNTA(Owners.csv!A:A))</f>
        <v>15</v>
      </c>
      <c r="F21">
        <f t="shared" ca="1" si="0"/>
        <v>32440</v>
      </c>
      <c r="G21" t="s">
        <v>2997</v>
      </c>
      <c r="H21" s="1" t="s">
        <v>2998</v>
      </c>
      <c r="I21" t="str">
        <f ca="1">"rg:{ 'id': '"&amp;RANDBETWEEN(1,COUNTA(ServiceAreas.csv!D:D))&amp;"'}"</f>
        <v>rg:{ 'id': '12'}</v>
      </c>
      <c r="J21" t="str">
        <f ca="1">INDEX(Names!G:G,70+$E21,1)</f>
        <v>2076 James Street</v>
      </c>
      <c r="K21" t="str">
        <f t="shared" ca="1" si="1"/>
        <v>rg:None</v>
      </c>
      <c r="L21" t="str">
        <f ca="1">INDEX(Names!H:H,70+$E21,1)</f>
        <v>Aldergrove</v>
      </c>
      <c r="M21" t="str">
        <f ca="1">INDEX(Names!I:I,70+$E21,1)</f>
        <v>BC</v>
      </c>
      <c r="N21" t="str">
        <f ca="1">INDEX(Names!J:J,70+$E21,1)</f>
        <v>V5G 4S4</v>
      </c>
      <c r="O21" t="s">
        <v>130</v>
      </c>
      <c r="P21" t="str">
        <f t="shared" ca="1" si="2"/>
        <v>2017-06-22</v>
      </c>
      <c r="Q21" t="str">
        <f ca="1">"rg:{'id': '"&amp;RANDBETWEEN(1,COUNTA(schoolDistricts.csv!B:B))&amp;"'}"</f>
        <v>rg:{'id': '9'}</v>
      </c>
      <c r="R21" t="str">
        <f t="shared" ca="1" si="3"/>
        <v>rg:False</v>
      </c>
      <c r="S21" t="str">
        <f ca="1">IF(R21="rg:False","rg:None",INDEX(Lookups!R:R,RANDBETWEEN(2,32),1))</f>
        <v>rg:None</v>
      </c>
      <c r="T21" t="str">
        <f ca="1">INDEX(Lookups!S:S,RANDBETWEEN(2,5),1)</f>
        <v>Class 1</v>
      </c>
      <c r="U21">
        <f ca="1">CCW.csv!G21</f>
        <v>27306</v>
      </c>
      <c r="V21">
        <f ca="1">CCW.csv!P21-1</f>
        <v>69</v>
      </c>
      <c r="W21">
        <f t="shared" ca="1" si="4"/>
        <v>0</v>
      </c>
    </row>
    <row r="22" spans="1:23" x14ac:dyDescent="0.3">
      <c r="A22" t="s">
        <v>2945</v>
      </c>
      <c r="B22">
        <f ca="1">CCW.csv!B22</f>
        <v>16799482</v>
      </c>
      <c r="C22" t="str">
        <f>Lookups!Q22</f>
        <v>TJK 988</v>
      </c>
      <c r="D22" t="str">
        <f ca="1">Lookups!P22&amp;RANDBETWEEN(1111,9999)</f>
        <v>1GBJG31F5X1152808</v>
      </c>
      <c r="E22">
        <f ca="1">RANDBETWEEN(1,COUNTA(Owners.csv!A:A))</f>
        <v>16</v>
      </c>
      <c r="F22">
        <f t="shared" ca="1" si="0"/>
        <v>32440</v>
      </c>
      <c r="G22" t="s">
        <v>2997</v>
      </c>
      <c r="H22" s="1" t="s">
        <v>2998</v>
      </c>
      <c r="I22" t="str">
        <f ca="1">"rg:{ 'id': '"&amp;RANDBETWEEN(1,COUNTA(ServiceAreas.csv!D:D))&amp;"'}"</f>
        <v>rg:{ 'id': '24'}</v>
      </c>
      <c r="J22" t="str">
        <f ca="1">INDEX(Names!G:G,70+$E22,1)</f>
        <v>1028 Glover Road</v>
      </c>
      <c r="K22" t="str">
        <f t="shared" ca="1" si="1"/>
        <v>rg:None</v>
      </c>
      <c r="L22" t="str">
        <f ca="1">INDEX(Names!H:H,70+$E22,1)</f>
        <v>Langley</v>
      </c>
      <c r="M22" t="str">
        <f ca="1">INDEX(Names!I:I,70+$E22,1)</f>
        <v>BC</v>
      </c>
      <c r="N22" t="str">
        <f ca="1">INDEX(Names!J:J,70+$E22,1)</f>
        <v>V3A 1Z3</v>
      </c>
      <c r="O22" t="s">
        <v>130</v>
      </c>
      <c r="P22" t="str">
        <f t="shared" ca="1" si="2"/>
        <v>2017-04-01</v>
      </c>
      <c r="Q22" t="str">
        <f ca="1">"rg:{'id': '"&amp;RANDBETWEEN(1,COUNTA(schoolDistricts.csv!B:B))&amp;"'}"</f>
        <v>rg:{'id': '46'}</v>
      </c>
      <c r="R22" t="str">
        <f t="shared" ca="1" si="3"/>
        <v>rg:False</v>
      </c>
      <c r="S22" t="str">
        <f ca="1">IF(R22="rg:False","rg:None",INDEX(Lookups!R:R,RANDBETWEEN(2,32),1))</f>
        <v>rg:None</v>
      </c>
      <c r="T22" t="str">
        <f ca="1">INDEX(Lookups!S:S,RANDBETWEEN(2,5),1)</f>
        <v>Class 1</v>
      </c>
      <c r="U22">
        <f ca="1">CCW.csv!G22</f>
        <v>48543</v>
      </c>
      <c r="V22">
        <f ca="1">CCW.csv!P22-1</f>
        <v>38</v>
      </c>
      <c r="W22">
        <f t="shared" ca="1" si="4"/>
        <v>0</v>
      </c>
    </row>
    <row r="23" spans="1:23" x14ac:dyDescent="0.3">
      <c r="A23" t="s">
        <v>2945</v>
      </c>
      <c r="B23">
        <f ca="1">CCW.csv!B23</f>
        <v>46241940</v>
      </c>
      <c r="C23" t="str">
        <f>Lookups!Q23</f>
        <v>PKR 253</v>
      </c>
      <c r="D23" t="str">
        <f ca="1">Lookups!P23&amp;RANDBETWEEN(1111,9999)</f>
        <v>1GBJG31F8X1154264</v>
      </c>
      <c r="E23">
        <f ca="1">RANDBETWEEN(1,COUNTA(Owners.csv!A:A))</f>
        <v>12</v>
      </c>
      <c r="F23">
        <f t="shared" ca="1" si="0"/>
        <v>36924</v>
      </c>
      <c r="G23" t="s">
        <v>2997</v>
      </c>
      <c r="H23" s="1" t="s">
        <v>2998</v>
      </c>
      <c r="I23" t="str">
        <f ca="1">"rg:{ 'id': '"&amp;RANDBETWEEN(1,COUNTA(ServiceAreas.csv!D:D))&amp;"'}"</f>
        <v>rg:{ 'id': '9'}</v>
      </c>
      <c r="J23" t="str">
        <f ca="1">INDEX(Names!G:G,70+$E23,1)</f>
        <v>2565 Tchesinkut Lake Rd</v>
      </c>
      <c r="K23" t="str">
        <f t="shared" ca="1" si="1"/>
        <v>rg:None</v>
      </c>
      <c r="L23" t="str">
        <f ca="1">INDEX(Names!H:H,70+$E23,1)</f>
        <v>Mcbride</v>
      </c>
      <c r="M23" t="str">
        <f ca="1">INDEX(Names!I:I,70+$E23,1)</f>
        <v>BC</v>
      </c>
      <c r="N23" t="str">
        <f ca="1">INDEX(Names!J:J,70+$E23,1)</f>
        <v>V0J 2E0</v>
      </c>
      <c r="O23" t="s">
        <v>130</v>
      </c>
      <c r="P23" t="str">
        <f t="shared" ca="1" si="2"/>
        <v>2017-12-22</v>
      </c>
      <c r="Q23" t="str">
        <f ca="1">"rg:{'id': '"&amp;RANDBETWEEN(1,COUNTA(schoolDistricts.csv!B:B))&amp;"'}"</f>
        <v>rg:{'id': '6'}</v>
      </c>
      <c r="R23" t="str">
        <f t="shared" ca="1" si="3"/>
        <v>rg:True</v>
      </c>
      <c r="S23" t="str">
        <f ca="1">IF(R23="rg:False","rg:None",INDEX(Lookups!R:R,RANDBETWEEN(2,32),1))</f>
        <v>WSA'NEC' SCHOOL BOARD</v>
      </c>
      <c r="T23" t="str">
        <f ca="1">INDEX(Lookups!S:S,RANDBETWEEN(2,5),1)</f>
        <v>Class 3</v>
      </c>
      <c r="U23">
        <f ca="1">CCW.csv!G23</f>
        <v>18300</v>
      </c>
      <c r="V23">
        <f ca="1">CCW.csv!P23-1</f>
        <v>0</v>
      </c>
      <c r="W23">
        <f t="shared" ca="1" si="4"/>
        <v>5</v>
      </c>
    </row>
    <row r="24" spans="1:23" x14ac:dyDescent="0.3">
      <c r="A24" t="s">
        <v>2945</v>
      </c>
      <c r="B24">
        <f ca="1">CCW.csv!B24</f>
        <v>43079988</v>
      </c>
      <c r="C24" t="str">
        <f>Lookups!Q24</f>
        <v>VJA 211</v>
      </c>
      <c r="D24" t="str">
        <f ca="1">Lookups!P24&amp;RANDBETWEEN(1111,9999)</f>
        <v>1GBJG31F3X1156062</v>
      </c>
      <c r="E24">
        <f ca="1">RANDBETWEEN(1,COUNTA(Owners.csv!A:A))</f>
        <v>7</v>
      </c>
      <c r="F24">
        <f t="shared" ca="1" si="0"/>
        <v>26461</v>
      </c>
      <c r="G24" t="s">
        <v>2997</v>
      </c>
      <c r="H24" s="1" t="s">
        <v>2998</v>
      </c>
      <c r="I24" t="str">
        <f ca="1">"rg:{ 'id': '"&amp;RANDBETWEEN(1,COUNTA(ServiceAreas.csv!D:D))&amp;"'}"</f>
        <v>rg:{ 'id': '6'}</v>
      </c>
      <c r="J24" t="str">
        <f ca="1">INDEX(Names!G:G,70+$E24,1)</f>
        <v>4819 Wallace Street</v>
      </c>
      <c r="K24" t="str">
        <f t="shared" ca="1" si="1"/>
        <v>Unit 100</v>
      </c>
      <c r="L24" t="str">
        <f ca="1">INDEX(Names!H:H,70+$E24,1)</f>
        <v>Nanaimo</v>
      </c>
      <c r="M24" t="str">
        <f ca="1">INDEX(Names!I:I,70+$E24,1)</f>
        <v>BC</v>
      </c>
      <c r="N24" t="str">
        <f ca="1">INDEX(Names!J:J,70+$E24,1)</f>
        <v>V9R 3A8</v>
      </c>
      <c r="O24" t="s">
        <v>130</v>
      </c>
      <c r="P24" t="str">
        <f t="shared" ca="1" si="2"/>
        <v>2017-01-25</v>
      </c>
      <c r="Q24" t="str">
        <f ca="1">"rg:{'id': '"&amp;RANDBETWEEN(1,COUNTA(schoolDistricts.csv!B:B))&amp;"'}"</f>
        <v>rg:{'id': '31'}</v>
      </c>
      <c r="R24" t="str">
        <f t="shared" ca="1" si="3"/>
        <v>rg:False</v>
      </c>
      <c r="S24" t="str">
        <f ca="1">IF(R24="rg:False","rg:None",INDEX(Lookups!R:R,RANDBETWEEN(2,32),1))</f>
        <v>rg:None</v>
      </c>
      <c r="T24" t="str">
        <f ca="1">INDEX(Lookups!S:S,RANDBETWEEN(2,5),1)</f>
        <v>Class 2</v>
      </c>
      <c r="U24">
        <f ca="1">CCW.csv!G24</f>
        <v>41204</v>
      </c>
      <c r="V24">
        <f ca="1">CCW.csv!P24-1</f>
        <v>33</v>
      </c>
      <c r="W24">
        <f t="shared" ca="1" si="4"/>
        <v>3</v>
      </c>
    </row>
    <row r="25" spans="1:23" x14ac:dyDescent="0.3">
      <c r="A25" t="s">
        <v>2945</v>
      </c>
      <c r="B25">
        <f ca="1">CCW.csv!B25</f>
        <v>17381152</v>
      </c>
      <c r="C25" t="str">
        <f>Lookups!Q25</f>
        <v>VNN 705</v>
      </c>
      <c r="D25" t="str">
        <f ca="1">Lookups!P25&amp;RANDBETWEEN(1111,9999)</f>
        <v>1GBJG31F1X1158488</v>
      </c>
      <c r="E25">
        <f ca="1">RANDBETWEEN(1,COUNTA(Owners.csv!A:A))</f>
        <v>11</v>
      </c>
      <c r="F25">
        <f t="shared" ca="1" si="0"/>
        <v>33343</v>
      </c>
      <c r="G25" t="s">
        <v>2997</v>
      </c>
      <c r="H25" s="1" t="s">
        <v>2998</v>
      </c>
      <c r="I25" t="str">
        <f ca="1">"rg:{ 'id': '"&amp;RANDBETWEEN(1,COUNTA(ServiceAreas.csv!D:D))&amp;"'}"</f>
        <v>rg:{ 'id': '31'}</v>
      </c>
      <c r="J25" t="str">
        <f ca="1">INDEX(Names!G:G,70+$E25,1)</f>
        <v>2956 Shaughnessy St</v>
      </c>
      <c r="K25" t="str">
        <f t="shared" ca="1" si="1"/>
        <v>rg:None</v>
      </c>
      <c r="L25" t="str">
        <f ca="1">INDEX(Names!H:H,70+$E25,1)</f>
        <v>Port Coquitlam</v>
      </c>
      <c r="M25" t="str">
        <f ca="1">INDEX(Names!I:I,70+$E25,1)</f>
        <v>BC</v>
      </c>
      <c r="N25" t="str">
        <f ca="1">INDEX(Names!J:J,70+$E25,1)</f>
        <v>V3C 4S7</v>
      </c>
      <c r="O25" t="s">
        <v>130</v>
      </c>
      <c r="P25" t="str">
        <f t="shared" ca="1" si="2"/>
        <v>2017-07-16</v>
      </c>
      <c r="Q25" t="str">
        <f ca="1">"rg:{'id': '"&amp;RANDBETWEEN(1,COUNTA(schoolDistricts.csv!B:B))&amp;"'}"</f>
        <v>rg:{'id': '23'}</v>
      </c>
      <c r="R25" t="str">
        <f t="shared" ca="1" si="3"/>
        <v>rg:False</v>
      </c>
      <c r="S25" t="str">
        <f ca="1">IF(R25="rg:False","rg:None",INDEX(Lookups!R:R,RANDBETWEEN(2,32),1))</f>
        <v>rg:None</v>
      </c>
      <c r="T25" t="str">
        <f ca="1">INDEX(Lookups!S:S,RANDBETWEEN(2,5),1)</f>
        <v>Class 3</v>
      </c>
      <c r="U25">
        <f ca="1">CCW.csv!G25</f>
        <v>18898</v>
      </c>
      <c r="V25">
        <f ca="1">CCW.csv!P25-1</f>
        <v>0</v>
      </c>
      <c r="W25">
        <f t="shared" ca="1" si="4"/>
        <v>0</v>
      </c>
    </row>
    <row r="26" spans="1:23" x14ac:dyDescent="0.3">
      <c r="A26" t="s">
        <v>2945</v>
      </c>
      <c r="B26">
        <f ca="1">CCW.csv!B26</f>
        <v>43076551</v>
      </c>
      <c r="C26" t="str">
        <f>Lookups!Q26</f>
        <v>KPM 250</v>
      </c>
      <c r="D26" t="str">
        <f ca="1">Lookups!P26&amp;RANDBETWEEN(1111,9999)</f>
        <v>1GAHG39R1X1145159</v>
      </c>
      <c r="E26">
        <f ca="1">RANDBETWEEN(1,COUNTA(Owners.csv!A:A))</f>
        <v>18</v>
      </c>
      <c r="F26">
        <f t="shared" ca="1" si="0"/>
        <v>37047</v>
      </c>
      <c r="G26" t="s">
        <v>2997</v>
      </c>
      <c r="H26" s="1" t="s">
        <v>2998</v>
      </c>
      <c r="I26" t="str">
        <f ca="1">"rg:{ 'id': '"&amp;RANDBETWEEN(1,COUNTA(ServiceAreas.csv!D:D))&amp;"'}"</f>
        <v>rg:{ 'id': '7'}</v>
      </c>
      <c r="J26" t="str">
        <f ca="1">INDEX(Names!G:G,70+$E26,1)</f>
        <v>2420 Roger Street</v>
      </c>
      <c r="K26" t="str">
        <f t="shared" ca="1" si="1"/>
        <v>rg:None</v>
      </c>
      <c r="L26" t="str">
        <f ca="1">INDEX(Names!H:H,70+$E26,1)</f>
        <v>Duncan</v>
      </c>
      <c r="M26" t="str">
        <f ca="1">INDEX(Names!I:I,70+$E26,1)</f>
        <v>BC</v>
      </c>
      <c r="N26" t="str">
        <f ca="1">INDEX(Names!J:J,70+$E26,1)</f>
        <v>V9L 1E5</v>
      </c>
      <c r="O26" t="s">
        <v>130</v>
      </c>
      <c r="P26" t="str">
        <f t="shared" ca="1" si="2"/>
        <v>2017-05-24</v>
      </c>
      <c r="Q26" t="str">
        <f ca="1">"rg:{'id': '"&amp;RANDBETWEEN(1,COUNTA(schoolDistricts.csv!B:B))&amp;"'}"</f>
        <v>rg:{'id': '1'}</v>
      </c>
      <c r="R26" t="str">
        <f t="shared" ca="1" si="3"/>
        <v>rg:False</v>
      </c>
      <c r="S26" t="str">
        <f ca="1">IF(R26="rg:False","rg:None",INDEX(Lookups!R:R,RANDBETWEEN(2,32),1))</f>
        <v>rg:None</v>
      </c>
      <c r="T26" t="str">
        <f ca="1">INDEX(Lookups!S:S,RANDBETWEEN(2,5),1)</f>
        <v>Class 3</v>
      </c>
      <c r="U26">
        <f ca="1">CCW.csv!G26</f>
        <v>11697</v>
      </c>
      <c r="V26">
        <f ca="1">CCW.csv!P26-1</f>
        <v>62</v>
      </c>
      <c r="W26">
        <f t="shared" ca="1" si="4"/>
        <v>0</v>
      </c>
    </row>
    <row r="27" spans="1:23" x14ac:dyDescent="0.3">
      <c r="A27" t="s">
        <v>2945</v>
      </c>
      <c r="B27">
        <f ca="1">CCW.csv!B27</f>
        <v>43687480</v>
      </c>
      <c r="C27" t="str">
        <f>Lookups!Q27</f>
        <v>TKW 525</v>
      </c>
      <c r="D27" t="str">
        <f ca="1">Lookups!P27&amp;RANDBETWEEN(1111,9999)</f>
        <v>1FDXE47S4XHB17322</v>
      </c>
      <c r="E27">
        <f ca="1">RANDBETWEEN(1,COUNTA(Owners.csv!A:A))</f>
        <v>12</v>
      </c>
      <c r="F27">
        <f t="shared" ca="1" si="0"/>
        <v>37892</v>
      </c>
      <c r="G27" t="s">
        <v>2997</v>
      </c>
      <c r="H27" s="1" t="s">
        <v>2998</v>
      </c>
      <c r="I27" t="str">
        <f ca="1">"rg:{ 'id': '"&amp;RANDBETWEEN(1,COUNTA(ServiceAreas.csv!D:D))&amp;"'}"</f>
        <v>rg:{ 'id': '17'}</v>
      </c>
      <c r="J27" t="str">
        <f ca="1">INDEX(Names!G:G,70+$E27,1)</f>
        <v>2565 Tchesinkut Lake Rd</v>
      </c>
      <c r="K27" t="str">
        <f t="shared" ca="1" si="1"/>
        <v>rg:None</v>
      </c>
      <c r="L27" t="str">
        <f ca="1">INDEX(Names!H:H,70+$E27,1)</f>
        <v>Mcbride</v>
      </c>
      <c r="M27" t="str">
        <f ca="1">INDEX(Names!I:I,70+$E27,1)</f>
        <v>BC</v>
      </c>
      <c r="N27" t="str">
        <f ca="1">INDEX(Names!J:J,70+$E27,1)</f>
        <v>V0J 2E0</v>
      </c>
      <c r="O27" t="s">
        <v>130</v>
      </c>
      <c r="P27" t="str">
        <f t="shared" ca="1" si="2"/>
        <v>2017-03-25</v>
      </c>
      <c r="Q27" t="str">
        <f ca="1">"rg:{'id': '"&amp;RANDBETWEEN(1,COUNTA(schoolDistricts.csv!B:B))&amp;"'}"</f>
        <v>rg:{'id': '37'}</v>
      </c>
      <c r="R27" t="str">
        <f t="shared" ca="1" si="3"/>
        <v>rg:False</v>
      </c>
      <c r="S27" t="str">
        <f ca="1">IF(R27="rg:False","rg:None",INDEX(Lookups!R:R,RANDBETWEEN(2,32),1))</f>
        <v>rg:None</v>
      </c>
      <c r="T27" t="str">
        <f ca="1">INDEX(Lookups!S:S,RANDBETWEEN(2,5),1)</f>
        <v>Class 2</v>
      </c>
      <c r="U27">
        <f ca="1">CCW.csv!G27</f>
        <v>35406</v>
      </c>
      <c r="V27">
        <f ca="1">CCW.csv!P27-1</f>
        <v>16</v>
      </c>
      <c r="W27">
        <f t="shared" ca="1" si="4"/>
        <v>0</v>
      </c>
    </row>
    <row r="28" spans="1:23" x14ac:dyDescent="0.3">
      <c r="A28" t="s">
        <v>2945</v>
      </c>
      <c r="B28">
        <f ca="1">CCW.csv!B28</f>
        <v>44417425</v>
      </c>
      <c r="C28" t="str">
        <f>Lookups!Q28</f>
        <v>LTA 599</v>
      </c>
      <c r="D28" t="str">
        <f ca="1">Lookups!P28&amp;RANDBETWEEN(1111,9999)</f>
        <v>1HVBBAAN3XH248060</v>
      </c>
      <c r="E28">
        <f ca="1">RANDBETWEEN(1,COUNTA(Owners.csv!A:A))</f>
        <v>10</v>
      </c>
      <c r="F28">
        <f t="shared" ca="1" si="0"/>
        <v>39363</v>
      </c>
      <c r="G28" t="s">
        <v>2997</v>
      </c>
      <c r="H28" s="1" t="s">
        <v>2998</v>
      </c>
      <c r="I28" t="str">
        <f ca="1">"rg:{ 'id': '"&amp;RANDBETWEEN(1,COUNTA(ServiceAreas.csv!D:D))&amp;"'}"</f>
        <v>rg:{ 'id': '7'}</v>
      </c>
      <c r="J28" t="str">
        <f ca="1">INDEX(Names!G:G,70+$E28,1)</f>
        <v>4112 Burdett Avenue</v>
      </c>
      <c r="K28" t="str">
        <f t="shared" ca="1" si="1"/>
        <v>Unit 100</v>
      </c>
      <c r="L28" t="str">
        <f ca="1">INDEX(Names!H:H,70+$E28,1)</f>
        <v>Victoria</v>
      </c>
      <c r="M28" t="str">
        <f ca="1">INDEX(Names!I:I,70+$E28,1)</f>
        <v>BC</v>
      </c>
      <c r="N28" t="str">
        <f ca="1">INDEX(Names!J:J,70+$E28,1)</f>
        <v>V8W 1B2</v>
      </c>
      <c r="O28" t="s">
        <v>130</v>
      </c>
      <c r="P28" t="str">
        <f t="shared" ca="1" si="2"/>
        <v>2017-01-01</v>
      </c>
      <c r="Q28" t="str">
        <f ca="1">"rg:{'id': '"&amp;RANDBETWEEN(1,COUNTA(schoolDistricts.csv!B:B))&amp;"'}"</f>
        <v>rg:{'id': '28'}</v>
      </c>
      <c r="R28" t="str">
        <f t="shared" ca="1" si="3"/>
        <v>rg:False</v>
      </c>
      <c r="S28" t="str">
        <f ca="1">IF(R28="rg:False","rg:None",INDEX(Lookups!R:R,RANDBETWEEN(2,32),1))</f>
        <v>rg:None</v>
      </c>
      <c r="T28" t="str">
        <f ca="1">INDEX(Lookups!S:S,RANDBETWEEN(2,5),1)</f>
        <v>Class 1</v>
      </c>
      <c r="U28">
        <f ca="1">CCW.csv!G28</f>
        <v>41812</v>
      </c>
      <c r="V28">
        <f ca="1">CCW.csv!P28-1</f>
        <v>35</v>
      </c>
      <c r="W28">
        <f t="shared" ca="1" si="4"/>
        <v>3</v>
      </c>
    </row>
    <row r="29" spans="1:23" x14ac:dyDescent="0.3">
      <c r="A29" t="s">
        <v>2945</v>
      </c>
      <c r="B29">
        <f ca="1">CCW.csv!B29</f>
        <v>39333693</v>
      </c>
      <c r="C29" t="str">
        <f>Lookups!Q29</f>
        <v>HBM 344</v>
      </c>
      <c r="D29" t="str">
        <f ca="1">Lookups!P29&amp;RANDBETWEEN(1111,9999)</f>
        <v>1BABNBXA9YF097201</v>
      </c>
      <c r="E29">
        <f ca="1">RANDBETWEEN(1,COUNTA(Owners.csv!A:A))</f>
        <v>15</v>
      </c>
      <c r="F29">
        <f t="shared" ca="1" si="0"/>
        <v>34782</v>
      </c>
      <c r="G29" t="s">
        <v>2997</v>
      </c>
      <c r="H29" s="1" t="s">
        <v>2998</v>
      </c>
      <c r="I29" t="str">
        <f ca="1">"rg:{ 'id': '"&amp;RANDBETWEEN(1,COUNTA(ServiceAreas.csv!D:D))&amp;"'}"</f>
        <v>rg:{ 'id': '4'}</v>
      </c>
      <c r="J29" t="str">
        <f ca="1">INDEX(Names!G:G,70+$E29,1)</f>
        <v>2076 James Street</v>
      </c>
      <c r="K29" t="str">
        <f t="shared" ca="1" si="1"/>
        <v>rg:None</v>
      </c>
      <c r="L29" t="str">
        <f ca="1">INDEX(Names!H:H,70+$E29,1)</f>
        <v>Aldergrove</v>
      </c>
      <c r="M29" t="str">
        <f ca="1">INDEX(Names!I:I,70+$E29,1)</f>
        <v>BC</v>
      </c>
      <c r="N29" t="str">
        <f ca="1">INDEX(Names!J:J,70+$E29,1)</f>
        <v>V5G 4S4</v>
      </c>
      <c r="O29" t="s">
        <v>130</v>
      </c>
      <c r="P29" t="str">
        <f t="shared" ca="1" si="2"/>
        <v>2017-06-15</v>
      </c>
      <c r="Q29" t="str">
        <f ca="1">"rg:{'id': '"&amp;RANDBETWEEN(1,COUNTA(schoolDistricts.csv!B:B))&amp;"'}"</f>
        <v>rg:{'id': '36'}</v>
      </c>
      <c r="R29" t="str">
        <f t="shared" ca="1" si="3"/>
        <v>rg:True</v>
      </c>
      <c r="S29" t="str">
        <f ca="1">IF(R29="rg:False","rg:None",INDEX(Lookups!R:R,RANDBETWEEN(2,32),1))</f>
        <v>COMBINED CHRISTIAN SCHOOL</v>
      </c>
      <c r="T29" t="str">
        <f ca="1">INDEX(Lookups!S:S,RANDBETWEEN(2,5),1)</f>
        <v>Class 1</v>
      </c>
      <c r="U29">
        <f ca="1">CCW.csv!G29</f>
        <v>11404</v>
      </c>
      <c r="V29">
        <f ca="1">CCW.csv!P29-1</f>
        <v>31</v>
      </c>
      <c r="W29">
        <f t="shared" ca="1" si="4"/>
        <v>0</v>
      </c>
    </row>
    <row r="30" spans="1:23" x14ac:dyDescent="0.3">
      <c r="A30" t="s">
        <v>2945</v>
      </c>
      <c r="B30">
        <f ca="1">CCW.csv!B30</f>
        <v>14238245</v>
      </c>
      <c r="C30" t="str">
        <f>Lookups!Q30</f>
        <v>THJ 509</v>
      </c>
      <c r="D30" t="str">
        <f ca="1">Lookups!P30&amp;RANDBETWEEN(1111,9999)</f>
        <v>2PCH3349071713996</v>
      </c>
      <c r="E30">
        <f ca="1">RANDBETWEEN(1,COUNTA(Owners.csv!A:A))</f>
        <v>7</v>
      </c>
      <c r="F30">
        <f t="shared" ca="1" si="0"/>
        <v>36962</v>
      </c>
      <c r="G30" t="s">
        <v>2997</v>
      </c>
      <c r="H30" s="1" t="s">
        <v>2998</v>
      </c>
      <c r="I30" t="str">
        <f ca="1">"rg:{ 'id': '"&amp;RANDBETWEEN(1,COUNTA(ServiceAreas.csv!D:D))&amp;"'}"</f>
        <v>rg:{ 'id': '27'}</v>
      </c>
      <c r="J30" t="str">
        <f ca="1">INDEX(Names!G:G,70+$E30,1)</f>
        <v>4819 Wallace Street</v>
      </c>
      <c r="K30" t="str">
        <f t="shared" ca="1" si="1"/>
        <v>rg:None</v>
      </c>
      <c r="L30" t="str">
        <f ca="1">INDEX(Names!H:H,70+$E30,1)</f>
        <v>Nanaimo</v>
      </c>
      <c r="M30" t="str">
        <f ca="1">INDEX(Names!I:I,70+$E30,1)</f>
        <v>BC</v>
      </c>
      <c r="N30" t="str">
        <f ca="1">INDEX(Names!J:J,70+$E30,1)</f>
        <v>V9R 3A8</v>
      </c>
      <c r="O30" t="s">
        <v>130</v>
      </c>
      <c r="P30" t="str">
        <f t="shared" ca="1" si="2"/>
        <v>2017-01-16</v>
      </c>
      <c r="Q30" t="str">
        <f ca="1">"rg:{'id': '"&amp;RANDBETWEEN(1,COUNTA(schoolDistricts.csv!B:B))&amp;"'}"</f>
        <v>rg:{'id': '13'}</v>
      </c>
      <c r="R30" t="str">
        <f t="shared" ca="1" si="3"/>
        <v>rg:False</v>
      </c>
      <c r="S30" t="str">
        <f ca="1">IF(R30="rg:False","rg:None",INDEX(Lookups!R:R,RANDBETWEEN(2,32),1))</f>
        <v>rg:None</v>
      </c>
      <c r="T30" t="str">
        <f ca="1">INDEX(Lookups!S:S,RANDBETWEEN(2,5),1)</f>
        <v>Class 3</v>
      </c>
      <c r="U30">
        <f ca="1">CCW.csv!G30</f>
        <v>16324</v>
      </c>
      <c r="V30">
        <f ca="1">CCW.csv!P30-1</f>
        <v>31</v>
      </c>
      <c r="W30">
        <f t="shared" ca="1" si="4"/>
        <v>2</v>
      </c>
    </row>
    <row r="31" spans="1:23" x14ac:dyDescent="0.3">
      <c r="A31" t="s">
        <v>2945</v>
      </c>
      <c r="B31">
        <f ca="1">CCW.csv!B31</f>
        <v>44613465</v>
      </c>
      <c r="C31" t="str">
        <f>Lookups!Q31</f>
        <v>MAM 873</v>
      </c>
      <c r="D31" t="str">
        <f ca="1">Lookups!P31&amp;RANDBETWEEN(1111,9999)</f>
        <v>2PCH3349971712938</v>
      </c>
      <c r="E31">
        <f ca="1">RANDBETWEEN(1,COUNTA(Owners.csv!A:A))</f>
        <v>15</v>
      </c>
      <c r="F31">
        <f t="shared" ca="1" si="0"/>
        <v>36856</v>
      </c>
      <c r="G31" t="s">
        <v>2997</v>
      </c>
      <c r="H31" s="1" t="s">
        <v>2998</v>
      </c>
      <c r="I31" t="str">
        <f ca="1">"rg:{ 'id': '"&amp;RANDBETWEEN(1,COUNTA(ServiceAreas.csv!D:D))&amp;"'}"</f>
        <v>rg:{ 'id': '26'}</v>
      </c>
      <c r="J31" t="str">
        <f ca="1">INDEX(Names!G:G,70+$E31,1)</f>
        <v>2076 James Street</v>
      </c>
      <c r="K31" t="str">
        <f t="shared" ca="1" si="1"/>
        <v>rg:None</v>
      </c>
      <c r="L31" t="str">
        <f ca="1">INDEX(Names!H:H,70+$E31,1)</f>
        <v>Aldergrove</v>
      </c>
      <c r="M31" t="str">
        <f ca="1">INDEX(Names!I:I,70+$E31,1)</f>
        <v>BC</v>
      </c>
      <c r="N31" t="str">
        <f ca="1">INDEX(Names!J:J,70+$E31,1)</f>
        <v>V5G 4S4</v>
      </c>
      <c r="O31" t="s">
        <v>130</v>
      </c>
      <c r="P31" t="str">
        <f t="shared" ca="1" si="2"/>
        <v>2016-12-28</v>
      </c>
      <c r="Q31" t="str">
        <f ca="1">"rg:{'id': '"&amp;RANDBETWEEN(1,COUNTA(schoolDistricts.csv!B:B))&amp;"'}"</f>
        <v>rg:{'id': '12'}</v>
      </c>
      <c r="R31" t="str">
        <f t="shared" ca="1" si="3"/>
        <v>rg:True</v>
      </c>
      <c r="S31" t="str">
        <f ca="1">IF(R31="rg:False","rg:None",INDEX(Lookups!R:R,RANDBETWEEN(2,32),1))</f>
        <v>COLLINGWOOD SCHOOL SOCIET</v>
      </c>
      <c r="T31" t="str">
        <f ca="1">INDEX(Lookups!S:S,RANDBETWEEN(2,5),1)</f>
        <v>Class 1</v>
      </c>
      <c r="U31">
        <f ca="1">CCW.csv!G31</f>
        <v>32922</v>
      </c>
      <c r="V31">
        <f ca="1">CCW.csv!P31-1</f>
        <v>49</v>
      </c>
      <c r="W31">
        <f t="shared" ca="1" si="4"/>
        <v>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"/>
  <sheetViews>
    <sheetView workbookViewId="0">
      <selection activeCell="B2" sqref="B2"/>
    </sheetView>
  </sheetViews>
  <sheetFormatPr defaultRowHeight="14.4" x14ac:dyDescent="0.3"/>
  <cols>
    <col min="1" max="1" width="7.44140625" bestFit="1" customWidth="1"/>
    <col min="2" max="2" width="15.77734375" bestFit="1" customWidth="1"/>
    <col min="3" max="3" width="14.109375" bestFit="1" customWidth="1"/>
    <col min="4" max="4" width="24.6640625" bestFit="1" customWidth="1"/>
    <col min="5" max="5" width="11.5546875" bestFit="1" customWidth="1"/>
    <col min="6" max="6" width="11.5546875" customWidth="1"/>
    <col min="7" max="7" width="12.44140625" bestFit="1" customWidth="1"/>
  </cols>
  <sheetData>
    <row r="1" spans="1:8" x14ac:dyDescent="0.3">
      <c r="A1" t="s">
        <v>117</v>
      </c>
      <c r="B1" t="s">
        <v>73</v>
      </c>
      <c r="C1" t="s">
        <v>74</v>
      </c>
      <c r="D1" t="s">
        <v>75</v>
      </c>
      <c r="E1" t="s">
        <v>76</v>
      </c>
      <c r="H1" t="str">
        <f ca="1">CONCATR(B1:F1,",")</f>
        <v>Contact,Phone Number,Email,Role,</v>
      </c>
    </row>
    <row r="2" spans="1:8" x14ac:dyDescent="0.3">
      <c r="A2" t="s">
        <v>73</v>
      </c>
      <c r="B2" s="1" t="str">
        <f>INDEX(Names!F:F,ROW(),1)</f>
        <v>Smith</v>
      </c>
      <c r="C2" t="str">
        <f ca="1">VLOOKUP(RANDBETWEEN(1,10),Lookups!A:J,10,FALSE)</f>
        <v>250-765-1346</v>
      </c>
      <c r="D2" t="e">
        <f>"["&amp;LEFT(B2,1)&amp;MID(B2,FIND(" ",B2)+1,7)&amp;"@wilson.ca"&amp;"]"</f>
        <v>#VALUE!</v>
      </c>
      <c r="E2" t="s">
        <v>88</v>
      </c>
      <c r="F2" t="s">
        <v>94</v>
      </c>
      <c r="G2" s="1"/>
      <c r="H2" t="e">
        <f t="shared" ref="H2:H5" ca="1" si="0">CONCATR(B2:F2,",")</f>
        <v>#VALUE!</v>
      </c>
    </row>
    <row r="3" spans="1:8" x14ac:dyDescent="0.3">
      <c r="A3" t="s">
        <v>73</v>
      </c>
      <c r="B3" s="1" t="str">
        <f>INDEX(Names!F:F,ROW(),1)</f>
        <v>Holbert</v>
      </c>
      <c r="C3" t="str">
        <f ca="1">VLOOKUP(RANDBETWEEN(1,10),Lookups!A:J,10,FALSE)</f>
        <v>250-695-1535</v>
      </c>
      <c r="D3" t="e">
        <f t="shared" ref="D3:D5" si="1">"["&amp;LEFT(B3,1)&amp;MID(B3,FIND(" ",B3)+1,7)&amp;"@wilson.ca"&amp;"]"</f>
        <v>#VALUE!</v>
      </c>
      <c r="E3" t="s">
        <v>26</v>
      </c>
      <c r="F3" t="s">
        <v>94</v>
      </c>
      <c r="G3" s="1"/>
      <c r="H3" t="e">
        <f t="shared" ca="1" si="0"/>
        <v>#VALUE!</v>
      </c>
    </row>
    <row r="4" spans="1:8" x14ac:dyDescent="0.3">
      <c r="A4" t="s">
        <v>73</v>
      </c>
      <c r="B4" s="1" t="str">
        <f>INDEX(Names!F:F,ROW(),1)</f>
        <v>McCullough</v>
      </c>
      <c r="C4" t="str">
        <f ca="1">VLOOKUP(RANDBETWEEN(1,10),Lookups!A:J,10,FALSE)</f>
        <v>250-628-1671</v>
      </c>
      <c r="D4" t="e">
        <f t="shared" si="1"/>
        <v>#VALUE!</v>
      </c>
      <c r="E4" t="s">
        <v>89</v>
      </c>
      <c r="F4" t="s">
        <v>94</v>
      </c>
      <c r="G4" s="1"/>
      <c r="H4" t="e">
        <f t="shared" ca="1" si="0"/>
        <v>#VALUE!</v>
      </c>
    </row>
    <row r="5" spans="1:8" x14ac:dyDescent="0.3">
      <c r="A5" t="s">
        <v>73</v>
      </c>
      <c r="B5" s="1" t="str">
        <f>INDEX(Names!F:F,ROW(),1)</f>
        <v>Tacker</v>
      </c>
      <c r="C5" t="str">
        <f ca="1">VLOOKUP(RANDBETWEEN(1,10),Lookups!A:J,10,FALSE)</f>
        <v>250-864-9018</v>
      </c>
      <c r="D5" t="e">
        <f t="shared" si="1"/>
        <v>#VALUE!</v>
      </c>
      <c r="E5" t="s">
        <v>90</v>
      </c>
      <c r="F5" t="s">
        <v>94</v>
      </c>
      <c r="G5" s="1"/>
      <c r="H5" t="e">
        <f t="shared" ca="1" si="0"/>
        <v>#VALUE!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3081</v>
      </c>
      <c r="B1" t="s">
        <v>3082</v>
      </c>
      <c r="C1" t="s">
        <v>3083</v>
      </c>
      <c r="D1" t="s">
        <v>3084</v>
      </c>
      <c r="E1" t="s">
        <v>3085</v>
      </c>
      <c r="F1" t="s">
        <v>3086</v>
      </c>
      <c r="G1" t="s">
        <v>3087</v>
      </c>
      <c r="H1" t="s">
        <v>0</v>
      </c>
      <c r="I1" t="s">
        <v>3088</v>
      </c>
      <c r="J1" t="s">
        <v>3089</v>
      </c>
      <c r="K1" t="s">
        <v>3090</v>
      </c>
      <c r="L1" t="s">
        <v>3091</v>
      </c>
      <c r="M1" t="s">
        <v>3092</v>
      </c>
      <c r="N1" t="s">
        <v>3093</v>
      </c>
      <c r="O1" t="s">
        <v>3094</v>
      </c>
      <c r="P1" t="s">
        <v>3095</v>
      </c>
      <c r="Q1" t="s">
        <v>3096</v>
      </c>
      <c r="R1" t="s">
        <v>3097</v>
      </c>
      <c r="S1" t="s">
        <v>3098</v>
      </c>
      <c r="T1" t="s">
        <v>3099</v>
      </c>
      <c r="U1" t="s">
        <v>3100</v>
      </c>
      <c r="V1" t="s">
        <v>3101</v>
      </c>
      <c r="W1" t="s">
        <v>3102</v>
      </c>
      <c r="X1" t="s">
        <v>3103</v>
      </c>
      <c r="Y1" t="s">
        <v>3104</v>
      </c>
      <c r="Z1" t="s">
        <v>3105</v>
      </c>
      <c r="AA1" t="s">
        <v>3106</v>
      </c>
      <c r="AB1" t="s">
        <v>3107</v>
      </c>
      <c r="AC1" t="s">
        <v>3108</v>
      </c>
      <c r="AD1" t="s">
        <v>3109</v>
      </c>
      <c r="AE1" t="s">
        <v>3110</v>
      </c>
      <c r="AF1" t="s">
        <v>3111</v>
      </c>
      <c r="AG1" t="s">
        <v>3112</v>
      </c>
      <c r="AH1" t="s">
        <v>3113</v>
      </c>
      <c r="AI1" t="s">
        <v>3114</v>
      </c>
      <c r="AJ1" t="s">
        <v>3115</v>
      </c>
      <c r="AK1" t="s">
        <v>3116</v>
      </c>
    </row>
    <row r="2" spans="1:37" x14ac:dyDescent="0.3">
      <c r="A2">
        <v>9</v>
      </c>
      <c r="B2" t="s">
        <v>3117</v>
      </c>
      <c r="C2" t="s">
        <v>3118</v>
      </c>
      <c r="D2" t="s">
        <v>3119</v>
      </c>
      <c r="E2" t="s">
        <v>3120</v>
      </c>
      <c r="F2" t="s">
        <v>3121</v>
      </c>
      <c r="G2" t="s">
        <v>3122</v>
      </c>
      <c r="H2" t="s">
        <v>2</v>
      </c>
      <c r="I2" t="s">
        <v>3123</v>
      </c>
      <c r="J2" t="s">
        <v>3124</v>
      </c>
      <c r="K2" t="s">
        <v>3125</v>
      </c>
      <c r="L2" t="s">
        <v>3126</v>
      </c>
      <c r="M2" t="s">
        <v>3127</v>
      </c>
      <c r="N2" t="s">
        <v>3128</v>
      </c>
      <c r="O2" t="s">
        <v>3129</v>
      </c>
      <c r="P2" t="s">
        <v>3130</v>
      </c>
      <c r="Q2" t="s">
        <v>3131</v>
      </c>
      <c r="R2">
        <v>18148</v>
      </c>
      <c r="S2" t="s">
        <v>3132</v>
      </c>
      <c r="T2">
        <v>4556229803844510</v>
      </c>
      <c r="U2">
        <v>122</v>
      </c>
      <c r="V2">
        <v>42125</v>
      </c>
      <c r="W2" t="s">
        <v>3133</v>
      </c>
      <c r="X2" t="s">
        <v>3134</v>
      </c>
      <c r="Y2" t="s">
        <v>3135</v>
      </c>
      <c r="Z2" t="s">
        <v>3136</v>
      </c>
      <c r="AA2" t="s">
        <v>3137</v>
      </c>
      <c r="AB2" t="s">
        <v>3138</v>
      </c>
      <c r="AC2" t="s">
        <v>3139</v>
      </c>
      <c r="AD2" t="s">
        <v>3140</v>
      </c>
      <c r="AE2">
        <v>166.3</v>
      </c>
      <c r="AF2">
        <v>75.599999999999994</v>
      </c>
      <c r="AG2" t="s">
        <v>3141</v>
      </c>
      <c r="AH2">
        <v>185</v>
      </c>
      <c r="AI2" t="s">
        <v>3142</v>
      </c>
      <c r="AJ2">
        <v>48.343285000000002</v>
      </c>
      <c r="AK2">
        <v>-123.398304</v>
      </c>
    </row>
    <row r="3" spans="1:37" x14ac:dyDescent="0.3">
      <c r="A3">
        <v>12</v>
      </c>
      <c r="B3" t="s">
        <v>3143</v>
      </c>
      <c r="C3" t="s">
        <v>3144</v>
      </c>
      <c r="D3" t="s">
        <v>3145</v>
      </c>
      <c r="E3" t="s">
        <v>416</v>
      </c>
      <c r="F3" t="s">
        <v>3146</v>
      </c>
      <c r="G3" t="s">
        <v>3147</v>
      </c>
      <c r="H3" t="s">
        <v>3148</v>
      </c>
      <c r="I3" t="s">
        <v>3123</v>
      </c>
      <c r="J3" t="s">
        <v>3149</v>
      </c>
      <c r="K3" t="s">
        <v>3125</v>
      </c>
      <c r="L3" t="s">
        <v>3126</v>
      </c>
      <c r="M3" t="s">
        <v>3150</v>
      </c>
      <c r="N3" t="s">
        <v>3151</v>
      </c>
      <c r="O3" t="s">
        <v>3152</v>
      </c>
      <c r="P3" t="s">
        <v>3153</v>
      </c>
      <c r="Q3" t="s">
        <v>3154</v>
      </c>
      <c r="R3">
        <v>22068</v>
      </c>
      <c r="S3" t="s">
        <v>3155</v>
      </c>
      <c r="T3">
        <v>5272052098916060</v>
      </c>
      <c r="U3">
        <v>640</v>
      </c>
      <c r="V3">
        <v>42979</v>
      </c>
      <c r="W3" t="s">
        <v>3156</v>
      </c>
      <c r="X3" t="s">
        <v>3157</v>
      </c>
      <c r="Y3" t="s">
        <v>3158</v>
      </c>
      <c r="Z3" t="s">
        <v>3159</v>
      </c>
      <c r="AA3" t="s">
        <v>3160</v>
      </c>
      <c r="AB3" t="s">
        <v>3161</v>
      </c>
      <c r="AC3" t="s">
        <v>3162</v>
      </c>
      <c r="AD3" t="s">
        <v>3163</v>
      </c>
      <c r="AE3">
        <v>181.3</v>
      </c>
      <c r="AF3">
        <v>82.4</v>
      </c>
      <c r="AG3" t="s">
        <v>3164</v>
      </c>
      <c r="AH3">
        <v>155</v>
      </c>
      <c r="AI3" t="s">
        <v>3165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3117</v>
      </c>
      <c r="C4" t="s">
        <v>3118</v>
      </c>
      <c r="D4" t="s">
        <v>3166</v>
      </c>
      <c r="E4" t="s">
        <v>420</v>
      </c>
      <c r="F4" t="s">
        <v>3167</v>
      </c>
      <c r="G4" t="s">
        <v>3168</v>
      </c>
      <c r="H4" t="s">
        <v>3169</v>
      </c>
      <c r="I4" t="s">
        <v>3123</v>
      </c>
      <c r="J4" t="s">
        <v>3170</v>
      </c>
      <c r="K4" t="s">
        <v>3125</v>
      </c>
      <c r="L4" t="s">
        <v>3126</v>
      </c>
      <c r="M4" t="s">
        <v>3171</v>
      </c>
      <c r="N4" t="s">
        <v>3172</v>
      </c>
      <c r="O4" t="s">
        <v>3173</v>
      </c>
      <c r="P4" t="s">
        <v>3174</v>
      </c>
      <c r="Q4" t="s">
        <v>3175</v>
      </c>
      <c r="R4">
        <v>15391</v>
      </c>
      <c r="S4" t="s">
        <v>3132</v>
      </c>
      <c r="T4">
        <v>4485343687549940</v>
      </c>
      <c r="U4">
        <v>408</v>
      </c>
      <c r="V4">
        <v>42644</v>
      </c>
      <c r="W4" t="s">
        <v>3176</v>
      </c>
      <c r="X4" t="s">
        <v>3177</v>
      </c>
      <c r="Y4" t="s">
        <v>3135</v>
      </c>
      <c r="Z4" t="s">
        <v>3178</v>
      </c>
      <c r="AA4" t="s">
        <v>3179</v>
      </c>
      <c r="AB4" t="s">
        <v>3180</v>
      </c>
      <c r="AC4" t="s">
        <v>3181</v>
      </c>
      <c r="AD4" t="s">
        <v>3182</v>
      </c>
      <c r="AE4">
        <v>164.6</v>
      </c>
      <c r="AF4">
        <v>74.8</v>
      </c>
      <c r="AG4" t="s">
        <v>3183</v>
      </c>
      <c r="AH4">
        <v>176</v>
      </c>
      <c r="AI4" t="s">
        <v>3184</v>
      </c>
      <c r="AJ4">
        <v>49.832746999999998</v>
      </c>
      <c r="AK4">
        <v>-121.430223</v>
      </c>
    </row>
    <row r="5" spans="1:37" x14ac:dyDescent="0.3">
      <c r="A5">
        <v>38</v>
      </c>
      <c r="B5" t="s">
        <v>3143</v>
      </c>
      <c r="C5" t="s">
        <v>3185</v>
      </c>
      <c r="D5" t="s">
        <v>3186</v>
      </c>
      <c r="E5" t="s">
        <v>3120</v>
      </c>
      <c r="F5" t="s">
        <v>3187</v>
      </c>
      <c r="G5" t="s">
        <v>3188</v>
      </c>
      <c r="H5" t="s">
        <v>2</v>
      </c>
      <c r="I5" t="s">
        <v>3123</v>
      </c>
      <c r="J5" t="s">
        <v>3189</v>
      </c>
      <c r="K5" t="s">
        <v>3125</v>
      </c>
      <c r="L5" t="s">
        <v>3126</v>
      </c>
      <c r="M5" t="s">
        <v>3190</v>
      </c>
      <c r="N5" t="s">
        <v>3191</v>
      </c>
      <c r="O5" t="s">
        <v>3192</v>
      </c>
      <c r="P5" t="s">
        <v>3193</v>
      </c>
      <c r="Q5" t="s">
        <v>3194</v>
      </c>
      <c r="R5">
        <v>30584</v>
      </c>
      <c r="S5" t="s">
        <v>3132</v>
      </c>
      <c r="T5">
        <v>4929519050724580</v>
      </c>
      <c r="U5">
        <v>746</v>
      </c>
      <c r="V5">
        <v>43070</v>
      </c>
      <c r="W5" t="s">
        <v>3195</v>
      </c>
      <c r="X5" t="s">
        <v>3196</v>
      </c>
      <c r="Y5" t="s">
        <v>3197</v>
      </c>
      <c r="Z5" t="s">
        <v>3198</v>
      </c>
      <c r="AA5" t="s">
        <v>3199</v>
      </c>
      <c r="AB5" t="s">
        <v>3200</v>
      </c>
      <c r="AC5" t="s">
        <v>3201</v>
      </c>
      <c r="AD5" t="s">
        <v>3182</v>
      </c>
      <c r="AE5">
        <v>177.5</v>
      </c>
      <c r="AF5">
        <v>80.7</v>
      </c>
      <c r="AG5" t="s">
        <v>3202</v>
      </c>
      <c r="AH5">
        <v>157</v>
      </c>
      <c r="AI5" t="s">
        <v>3203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3143</v>
      </c>
      <c r="C6" t="s">
        <v>3144</v>
      </c>
      <c r="D6" t="s">
        <v>3204</v>
      </c>
      <c r="E6" t="s">
        <v>190</v>
      </c>
      <c r="F6" t="s">
        <v>3205</v>
      </c>
      <c r="G6" t="s">
        <v>3206</v>
      </c>
      <c r="H6" t="s">
        <v>3207</v>
      </c>
      <c r="I6" t="s">
        <v>3123</v>
      </c>
      <c r="J6" t="s">
        <v>3208</v>
      </c>
      <c r="K6" t="s">
        <v>3125</v>
      </c>
      <c r="L6" t="s">
        <v>3126</v>
      </c>
      <c r="M6" t="s">
        <v>3209</v>
      </c>
      <c r="N6" t="s">
        <v>3210</v>
      </c>
      <c r="O6" t="s">
        <v>3211</v>
      </c>
      <c r="P6" t="s">
        <v>3212</v>
      </c>
      <c r="Q6" t="s">
        <v>3213</v>
      </c>
      <c r="R6">
        <v>18924</v>
      </c>
      <c r="S6" t="s">
        <v>3132</v>
      </c>
      <c r="T6">
        <v>4929390470025680</v>
      </c>
      <c r="U6">
        <v>124</v>
      </c>
      <c r="V6">
        <v>43313</v>
      </c>
      <c r="W6" t="s">
        <v>3214</v>
      </c>
      <c r="X6" t="s">
        <v>3215</v>
      </c>
      <c r="Y6" t="s">
        <v>3197</v>
      </c>
      <c r="Z6" t="s">
        <v>3216</v>
      </c>
      <c r="AA6" t="s">
        <v>3217</v>
      </c>
      <c r="AB6" t="s">
        <v>3218</v>
      </c>
      <c r="AC6" t="s">
        <v>3219</v>
      </c>
      <c r="AD6" t="s">
        <v>3220</v>
      </c>
      <c r="AE6">
        <v>226.4</v>
      </c>
      <c r="AF6">
        <v>102.9</v>
      </c>
      <c r="AG6" t="s">
        <v>3221</v>
      </c>
      <c r="AH6">
        <v>168</v>
      </c>
      <c r="AI6" t="s">
        <v>3222</v>
      </c>
      <c r="AJ6">
        <v>50.158667999999999</v>
      </c>
      <c r="AK6">
        <v>-124.861885</v>
      </c>
    </row>
    <row r="7" spans="1:37" x14ac:dyDescent="0.3">
      <c r="A7">
        <v>48</v>
      </c>
      <c r="B7" t="s">
        <v>3117</v>
      </c>
      <c r="C7" t="s">
        <v>3118</v>
      </c>
      <c r="D7" t="s">
        <v>3223</v>
      </c>
      <c r="E7" t="s">
        <v>3224</v>
      </c>
      <c r="F7" t="s">
        <v>3225</v>
      </c>
      <c r="G7" t="s">
        <v>3226</v>
      </c>
      <c r="H7" t="s">
        <v>3227</v>
      </c>
      <c r="I7" t="s">
        <v>3123</v>
      </c>
      <c r="J7" t="s">
        <v>3228</v>
      </c>
      <c r="K7" t="s">
        <v>3125</v>
      </c>
      <c r="L7" t="s">
        <v>3126</v>
      </c>
      <c r="M7" t="s">
        <v>3229</v>
      </c>
      <c r="N7" t="s">
        <v>3230</v>
      </c>
      <c r="O7" t="s">
        <v>3231</v>
      </c>
      <c r="P7" t="s">
        <v>3232</v>
      </c>
      <c r="Q7" t="s">
        <v>3233</v>
      </c>
      <c r="R7">
        <v>21412</v>
      </c>
      <c r="S7" t="s">
        <v>3132</v>
      </c>
      <c r="T7">
        <v>4485044893729420</v>
      </c>
      <c r="U7">
        <v>687</v>
      </c>
      <c r="V7">
        <v>42856</v>
      </c>
      <c r="W7" t="s">
        <v>3234</v>
      </c>
      <c r="X7" t="s">
        <v>3235</v>
      </c>
      <c r="Y7" t="s">
        <v>3135</v>
      </c>
      <c r="Z7" t="s">
        <v>3236</v>
      </c>
      <c r="AA7" t="s">
        <v>3237</v>
      </c>
      <c r="AB7" t="s">
        <v>3238</v>
      </c>
      <c r="AC7" t="s">
        <v>3239</v>
      </c>
      <c r="AD7" t="s">
        <v>3182</v>
      </c>
      <c r="AE7">
        <v>150.5</v>
      </c>
      <c r="AF7">
        <v>68.400000000000006</v>
      </c>
      <c r="AG7" t="s">
        <v>3141</v>
      </c>
      <c r="AH7">
        <v>186</v>
      </c>
      <c r="AI7" t="s">
        <v>3240</v>
      </c>
      <c r="AJ7">
        <v>49.149808</v>
      </c>
      <c r="AK7">
        <v>-122.388766</v>
      </c>
    </row>
    <row r="8" spans="1:37" x14ac:dyDescent="0.3">
      <c r="A8">
        <v>50</v>
      </c>
      <c r="B8" t="s">
        <v>3143</v>
      </c>
      <c r="C8" t="s">
        <v>3185</v>
      </c>
      <c r="D8" t="s">
        <v>3241</v>
      </c>
      <c r="E8" t="s">
        <v>414</v>
      </c>
      <c r="F8" t="s">
        <v>3242</v>
      </c>
      <c r="G8" t="s">
        <v>3243</v>
      </c>
      <c r="H8" t="s">
        <v>38</v>
      </c>
      <c r="I8" t="s">
        <v>3123</v>
      </c>
      <c r="J8" t="s">
        <v>3244</v>
      </c>
      <c r="K8" t="s">
        <v>3125</v>
      </c>
      <c r="L8" t="s">
        <v>3126</v>
      </c>
      <c r="M8" t="s">
        <v>3245</v>
      </c>
      <c r="N8" t="s">
        <v>3246</v>
      </c>
      <c r="O8" t="s">
        <v>3247</v>
      </c>
      <c r="P8" t="s">
        <v>3248</v>
      </c>
      <c r="Q8" t="s">
        <v>3249</v>
      </c>
      <c r="R8">
        <v>29287</v>
      </c>
      <c r="S8" t="s">
        <v>3155</v>
      </c>
      <c r="T8">
        <v>5455154127820680</v>
      </c>
      <c r="U8">
        <v>706</v>
      </c>
      <c r="V8">
        <v>43160</v>
      </c>
      <c r="W8" t="s">
        <v>3250</v>
      </c>
      <c r="X8" t="s">
        <v>3251</v>
      </c>
      <c r="Y8" t="s">
        <v>3135</v>
      </c>
      <c r="Z8" t="s">
        <v>3252</v>
      </c>
      <c r="AA8" t="s">
        <v>3253</v>
      </c>
      <c r="AB8" t="s">
        <v>3254</v>
      </c>
      <c r="AC8" t="s">
        <v>3255</v>
      </c>
      <c r="AD8" t="s">
        <v>3256</v>
      </c>
      <c r="AE8">
        <v>172.9</v>
      </c>
      <c r="AF8">
        <v>78.599999999999994</v>
      </c>
      <c r="AG8" t="s">
        <v>3257</v>
      </c>
      <c r="AH8">
        <v>165</v>
      </c>
      <c r="AI8" t="s">
        <v>3258</v>
      </c>
      <c r="AJ8">
        <v>49.225717000000003</v>
      </c>
      <c r="AK8">
        <v>-123.096645</v>
      </c>
    </row>
    <row r="9" spans="1:37" x14ac:dyDescent="0.3">
      <c r="A9">
        <v>55</v>
      </c>
      <c r="B9" t="s">
        <v>3117</v>
      </c>
      <c r="C9" t="s">
        <v>3118</v>
      </c>
      <c r="D9" t="s">
        <v>3259</v>
      </c>
      <c r="E9" t="s">
        <v>3260</v>
      </c>
      <c r="F9" t="s">
        <v>3261</v>
      </c>
      <c r="G9" t="s">
        <v>3262</v>
      </c>
      <c r="H9" t="s">
        <v>3263</v>
      </c>
      <c r="I9" t="s">
        <v>3123</v>
      </c>
      <c r="J9" t="s">
        <v>3264</v>
      </c>
      <c r="K9" t="s">
        <v>3125</v>
      </c>
      <c r="L9" t="s">
        <v>3126</v>
      </c>
      <c r="M9" t="s">
        <v>3265</v>
      </c>
      <c r="N9" t="s">
        <v>3266</v>
      </c>
      <c r="O9" t="s">
        <v>3267</v>
      </c>
      <c r="P9" t="s">
        <v>3268</v>
      </c>
      <c r="Q9" t="s">
        <v>3269</v>
      </c>
      <c r="R9">
        <v>21706</v>
      </c>
      <c r="S9" t="s">
        <v>3132</v>
      </c>
      <c r="T9">
        <v>4916042802020680</v>
      </c>
      <c r="U9">
        <v>824</v>
      </c>
      <c r="V9">
        <v>43191</v>
      </c>
      <c r="W9" t="s">
        <v>3270</v>
      </c>
      <c r="X9" t="s">
        <v>3271</v>
      </c>
      <c r="Y9" t="s">
        <v>3135</v>
      </c>
      <c r="Z9" t="s">
        <v>3272</v>
      </c>
      <c r="AA9" t="s">
        <v>3273</v>
      </c>
      <c r="AB9" t="s">
        <v>3274</v>
      </c>
      <c r="AC9" t="s">
        <v>3275</v>
      </c>
      <c r="AD9" t="s">
        <v>3276</v>
      </c>
      <c r="AE9">
        <v>208.6</v>
      </c>
      <c r="AF9">
        <v>94.8</v>
      </c>
      <c r="AG9" t="s">
        <v>3221</v>
      </c>
      <c r="AH9">
        <v>168</v>
      </c>
      <c r="AI9" t="s">
        <v>3277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3143</v>
      </c>
      <c r="C10" t="s">
        <v>3185</v>
      </c>
      <c r="D10" t="s">
        <v>3278</v>
      </c>
      <c r="E10" t="s">
        <v>3279</v>
      </c>
      <c r="F10" t="s">
        <v>3280</v>
      </c>
      <c r="G10" t="s">
        <v>3281</v>
      </c>
      <c r="H10" t="s">
        <v>38</v>
      </c>
      <c r="I10" t="s">
        <v>3123</v>
      </c>
      <c r="J10" t="s">
        <v>60</v>
      </c>
      <c r="K10" t="s">
        <v>3125</v>
      </c>
      <c r="L10" t="s">
        <v>3126</v>
      </c>
      <c r="M10" t="s">
        <v>3282</v>
      </c>
      <c r="N10" t="s">
        <v>3283</v>
      </c>
      <c r="O10" t="s">
        <v>3284</v>
      </c>
      <c r="P10" t="s">
        <v>3285</v>
      </c>
      <c r="Q10" t="s">
        <v>3286</v>
      </c>
      <c r="R10">
        <v>26934</v>
      </c>
      <c r="S10" t="s">
        <v>3155</v>
      </c>
      <c r="T10">
        <v>5501171180516120</v>
      </c>
      <c r="U10">
        <v>426</v>
      </c>
      <c r="V10">
        <v>43070</v>
      </c>
      <c r="W10" t="s">
        <v>3287</v>
      </c>
      <c r="X10" t="s">
        <v>3288</v>
      </c>
      <c r="Y10" t="s">
        <v>3289</v>
      </c>
      <c r="Z10" t="s">
        <v>3290</v>
      </c>
      <c r="AA10" t="s">
        <v>3291</v>
      </c>
      <c r="AB10" t="s">
        <v>3292</v>
      </c>
      <c r="AC10" t="s">
        <v>3293</v>
      </c>
      <c r="AD10" t="s">
        <v>3182</v>
      </c>
      <c r="AE10">
        <v>225.1</v>
      </c>
      <c r="AF10">
        <v>102.3</v>
      </c>
      <c r="AG10" t="s">
        <v>3294</v>
      </c>
      <c r="AH10">
        <v>173</v>
      </c>
      <c r="AI10" t="s">
        <v>3295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3117</v>
      </c>
      <c r="C11" t="s">
        <v>3118</v>
      </c>
      <c r="D11" t="s">
        <v>3296</v>
      </c>
      <c r="E11" t="s">
        <v>414</v>
      </c>
      <c r="F11" t="s">
        <v>3297</v>
      </c>
      <c r="G11" t="s">
        <v>3298</v>
      </c>
      <c r="H11" t="s">
        <v>3299</v>
      </c>
      <c r="I11" t="s">
        <v>3123</v>
      </c>
      <c r="J11" t="s">
        <v>3300</v>
      </c>
      <c r="K11" t="s">
        <v>3125</v>
      </c>
      <c r="L11" t="s">
        <v>3126</v>
      </c>
      <c r="M11" t="s">
        <v>3301</v>
      </c>
      <c r="N11" t="s">
        <v>3302</v>
      </c>
      <c r="O11" t="s">
        <v>3303</v>
      </c>
      <c r="P11" t="s">
        <v>3304</v>
      </c>
      <c r="Q11" t="s">
        <v>3305</v>
      </c>
      <c r="R11">
        <v>21621</v>
      </c>
      <c r="S11" t="s">
        <v>3155</v>
      </c>
      <c r="T11">
        <v>5176627530133580</v>
      </c>
      <c r="U11">
        <v>969</v>
      </c>
      <c r="V11">
        <v>43770</v>
      </c>
      <c r="W11" t="s">
        <v>3306</v>
      </c>
      <c r="X11" t="s">
        <v>3307</v>
      </c>
      <c r="Y11" t="s">
        <v>3135</v>
      </c>
      <c r="Z11" t="s">
        <v>3308</v>
      </c>
      <c r="AA11" t="s">
        <v>3309</v>
      </c>
      <c r="AB11" t="s">
        <v>3310</v>
      </c>
      <c r="AC11" t="s">
        <v>3311</v>
      </c>
      <c r="AD11" t="s">
        <v>3276</v>
      </c>
      <c r="AE11">
        <v>250.4</v>
      </c>
      <c r="AF11">
        <v>113.8</v>
      </c>
      <c r="AG11" t="s">
        <v>3312</v>
      </c>
      <c r="AH11">
        <v>184</v>
      </c>
      <c r="AI11" t="s">
        <v>3313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3143</v>
      </c>
      <c r="C12" t="s">
        <v>3144</v>
      </c>
      <c r="D12" t="s">
        <v>3314</v>
      </c>
      <c r="E12" t="s">
        <v>3279</v>
      </c>
      <c r="F12" t="s">
        <v>3315</v>
      </c>
      <c r="G12" t="s">
        <v>3316</v>
      </c>
      <c r="H12" t="s">
        <v>3317</v>
      </c>
      <c r="I12" t="s">
        <v>3123</v>
      </c>
      <c r="J12" t="s">
        <v>3318</v>
      </c>
      <c r="K12" t="s">
        <v>3125</v>
      </c>
      <c r="L12" t="s">
        <v>3126</v>
      </c>
      <c r="M12" t="s">
        <v>3319</v>
      </c>
      <c r="N12" t="s">
        <v>3320</v>
      </c>
      <c r="O12" t="s">
        <v>3321</v>
      </c>
      <c r="P12" t="s">
        <v>3322</v>
      </c>
      <c r="Q12" t="s">
        <v>3323</v>
      </c>
      <c r="R12">
        <v>14587</v>
      </c>
      <c r="S12" t="s">
        <v>3155</v>
      </c>
      <c r="T12">
        <v>5500353859563750</v>
      </c>
      <c r="U12">
        <v>575</v>
      </c>
      <c r="V12">
        <v>43282</v>
      </c>
      <c r="W12" t="s">
        <v>3324</v>
      </c>
      <c r="X12" t="s">
        <v>3325</v>
      </c>
      <c r="Y12" t="s">
        <v>3197</v>
      </c>
      <c r="Z12" t="s">
        <v>3326</v>
      </c>
      <c r="AA12" t="s">
        <v>3327</v>
      </c>
      <c r="AB12" t="s">
        <v>3328</v>
      </c>
      <c r="AC12" t="s">
        <v>3329</v>
      </c>
      <c r="AD12" t="s">
        <v>3220</v>
      </c>
      <c r="AE12">
        <v>214.5</v>
      </c>
      <c r="AF12">
        <v>97.5</v>
      </c>
      <c r="AG12" t="s">
        <v>3330</v>
      </c>
      <c r="AH12">
        <v>170</v>
      </c>
      <c r="AI12" t="s">
        <v>3331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3117</v>
      </c>
      <c r="C13" t="s">
        <v>3118</v>
      </c>
      <c r="D13" t="s">
        <v>3332</v>
      </c>
      <c r="E13" t="s">
        <v>414</v>
      </c>
      <c r="F13" t="s">
        <v>3333</v>
      </c>
      <c r="G13" t="s">
        <v>3334</v>
      </c>
      <c r="H13" t="s">
        <v>3335</v>
      </c>
      <c r="I13" t="s">
        <v>3123</v>
      </c>
      <c r="J13" t="s">
        <v>3336</v>
      </c>
      <c r="K13" t="s">
        <v>3125</v>
      </c>
      <c r="L13" t="s">
        <v>3126</v>
      </c>
      <c r="M13" t="s">
        <v>3337</v>
      </c>
      <c r="N13" t="s">
        <v>3338</v>
      </c>
      <c r="O13" t="s">
        <v>3339</v>
      </c>
      <c r="P13" t="s">
        <v>3340</v>
      </c>
      <c r="Q13" t="s">
        <v>3341</v>
      </c>
      <c r="R13">
        <v>34450</v>
      </c>
      <c r="S13" t="s">
        <v>3132</v>
      </c>
      <c r="T13">
        <v>4556389088802860</v>
      </c>
      <c r="U13">
        <v>478</v>
      </c>
      <c r="V13">
        <v>43800</v>
      </c>
      <c r="W13" t="s">
        <v>3342</v>
      </c>
      <c r="X13" t="s">
        <v>3343</v>
      </c>
      <c r="Y13" t="s">
        <v>3344</v>
      </c>
      <c r="Z13" t="s">
        <v>3345</v>
      </c>
      <c r="AA13" t="s">
        <v>3346</v>
      </c>
      <c r="AB13" t="s">
        <v>3347</v>
      </c>
      <c r="AC13" t="s">
        <v>3348</v>
      </c>
      <c r="AD13" t="s">
        <v>3220</v>
      </c>
      <c r="AE13">
        <v>151.6</v>
      </c>
      <c r="AF13">
        <v>68.900000000000006</v>
      </c>
      <c r="AG13" t="s">
        <v>3330</v>
      </c>
      <c r="AH13">
        <v>171</v>
      </c>
      <c r="AI13" t="s">
        <v>3349</v>
      </c>
      <c r="AJ13">
        <v>50.251697</v>
      </c>
      <c r="AK13">
        <v>-125.976403</v>
      </c>
    </row>
    <row r="14" spans="1:37" x14ac:dyDescent="0.3">
      <c r="A14">
        <v>77</v>
      </c>
      <c r="B14" t="s">
        <v>3143</v>
      </c>
      <c r="C14" t="s">
        <v>3144</v>
      </c>
      <c r="D14" t="s">
        <v>3350</v>
      </c>
      <c r="E14" t="s">
        <v>415</v>
      </c>
      <c r="F14" t="s">
        <v>3261</v>
      </c>
      <c r="G14" t="s">
        <v>3351</v>
      </c>
      <c r="H14" t="s">
        <v>3352</v>
      </c>
      <c r="I14" t="s">
        <v>3123</v>
      </c>
      <c r="J14" t="s">
        <v>3353</v>
      </c>
      <c r="K14" t="s">
        <v>3125</v>
      </c>
      <c r="L14" t="s">
        <v>3126</v>
      </c>
      <c r="M14" t="s">
        <v>3354</v>
      </c>
      <c r="N14" t="s">
        <v>3355</v>
      </c>
      <c r="O14" t="s">
        <v>3356</v>
      </c>
      <c r="P14" t="s">
        <v>3357</v>
      </c>
      <c r="Q14" t="s">
        <v>3358</v>
      </c>
      <c r="R14">
        <v>28007</v>
      </c>
      <c r="S14" t="s">
        <v>3155</v>
      </c>
      <c r="T14">
        <v>5170234964930250</v>
      </c>
      <c r="U14">
        <v>183</v>
      </c>
      <c r="V14">
        <v>42767</v>
      </c>
      <c r="W14" t="s">
        <v>3359</v>
      </c>
      <c r="X14" t="s">
        <v>3360</v>
      </c>
      <c r="Y14" t="s">
        <v>3197</v>
      </c>
      <c r="Z14" t="s">
        <v>3361</v>
      </c>
      <c r="AA14" t="s">
        <v>3362</v>
      </c>
      <c r="AB14" t="s">
        <v>3363</v>
      </c>
      <c r="AC14" t="s">
        <v>3364</v>
      </c>
      <c r="AD14" t="s">
        <v>3220</v>
      </c>
      <c r="AE14">
        <v>147.19999999999999</v>
      </c>
      <c r="AF14">
        <v>66.900000000000006</v>
      </c>
      <c r="AG14" t="s">
        <v>3164</v>
      </c>
      <c r="AH14">
        <v>156</v>
      </c>
      <c r="AI14" t="s">
        <v>3365</v>
      </c>
      <c r="AJ14">
        <v>49.165132</v>
      </c>
      <c r="AK14">
        <v>-122.902407</v>
      </c>
    </row>
    <row r="15" spans="1:37" x14ac:dyDescent="0.3">
      <c r="A15">
        <v>84</v>
      </c>
      <c r="B15" t="s">
        <v>3117</v>
      </c>
      <c r="C15" t="s">
        <v>3118</v>
      </c>
      <c r="D15" t="s">
        <v>3296</v>
      </c>
      <c r="E15" t="s">
        <v>415</v>
      </c>
      <c r="F15" t="s">
        <v>3366</v>
      </c>
      <c r="G15" t="s">
        <v>3367</v>
      </c>
      <c r="H15" t="s">
        <v>3368</v>
      </c>
      <c r="I15" t="s">
        <v>3123</v>
      </c>
      <c r="J15" t="s">
        <v>3369</v>
      </c>
      <c r="K15" t="s">
        <v>3125</v>
      </c>
      <c r="L15" t="s">
        <v>3126</v>
      </c>
      <c r="M15" t="s">
        <v>3370</v>
      </c>
      <c r="N15" t="s">
        <v>3371</v>
      </c>
      <c r="O15" t="s">
        <v>3372</v>
      </c>
      <c r="P15" t="s">
        <v>3373</v>
      </c>
      <c r="Q15" t="s">
        <v>3374</v>
      </c>
      <c r="R15">
        <v>29059</v>
      </c>
      <c r="S15" t="s">
        <v>3155</v>
      </c>
      <c r="T15">
        <v>5594954541519580</v>
      </c>
      <c r="U15">
        <v>375</v>
      </c>
      <c r="V15">
        <v>43252</v>
      </c>
      <c r="W15" t="s">
        <v>3375</v>
      </c>
      <c r="X15" t="s">
        <v>3376</v>
      </c>
      <c r="Y15" t="s">
        <v>3135</v>
      </c>
      <c r="Z15" t="s">
        <v>3377</v>
      </c>
      <c r="AA15" t="s">
        <v>3378</v>
      </c>
      <c r="AB15" t="s">
        <v>3379</v>
      </c>
      <c r="AC15" t="s">
        <v>3380</v>
      </c>
      <c r="AD15" t="s">
        <v>3182</v>
      </c>
      <c r="AE15">
        <v>242</v>
      </c>
      <c r="AF15">
        <v>110</v>
      </c>
      <c r="AG15" t="s">
        <v>3381</v>
      </c>
      <c r="AH15">
        <v>179</v>
      </c>
      <c r="AI15" t="s">
        <v>3382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3143</v>
      </c>
      <c r="C16" t="s">
        <v>3144</v>
      </c>
      <c r="D16" t="s">
        <v>3383</v>
      </c>
      <c r="E16" t="s">
        <v>422</v>
      </c>
      <c r="F16" t="s">
        <v>3384</v>
      </c>
      <c r="G16" t="s">
        <v>3385</v>
      </c>
      <c r="H16" t="s">
        <v>3386</v>
      </c>
      <c r="I16" t="s">
        <v>3123</v>
      </c>
      <c r="J16" t="s">
        <v>3387</v>
      </c>
      <c r="K16" t="s">
        <v>3125</v>
      </c>
      <c r="L16" t="s">
        <v>3126</v>
      </c>
      <c r="M16" t="s">
        <v>3388</v>
      </c>
      <c r="N16" t="s">
        <v>3389</v>
      </c>
      <c r="O16" t="s">
        <v>3390</v>
      </c>
      <c r="P16" t="s">
        <v>3391</v>
      </c>
      <c r="Q16" t="s">
        <v>3392</v>
      </c>
      <c r="R16">
        <v>32609</v>
      </c>
      <c r="S16" t="s">
        <v>3155</v>
      </c>
      <c r="T16">
        <v>5459277770054430</v>
      </c>
      <c r="U16">
        <v>818</v>
      </c>
      <c r="V16">
        <v>43497</v>
      </c>
      <c r="W16" t="s">
        <v>3393</v>
      </c>
      <c r="X16" t="s">
        <v>3394</v>
      </c>
      <c r="Y16" t="s">
        <v>3135</v>
      </c>
      <c r="Z16" t="s">
        <v>3395</v>
      </c>
      <c r="AA16" t="s">
        <v>3396</v>
      </c>
      <c r="AB16" t="s">
        <v>3397</v>
      </c>
      <c r="AC16" t="s">
        <v>3398</v>
      </c>
      <c r="AD16" t="s">
        <v>3220</v>
      </c>
      <c r="AE16">
        <v>159.1</v>
      </c>
      <c r="AF16">
        <v>72.3</v>
      </c>
      <c r="AG16" t="s">
        <v>3202</v>
      </c>
      <c r="AH16">
        <v>157</v>
      </c>
      <c r="AI16" t="s">
        <v>3399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3143</v>
      </c>
      <c r="C17" t="s">
        <v>3144</v>
      </c>
      <c r="D17" t="s">
        <v>3400</v>
      </c>
      <c r="E17" t="s">
        <v>3120</v>
      </c>
      <c r="F17" t="s">
        <v>3401</v>
      </c>
      <c r="G17" t="s">
        <v>3402</v>
      </c>
      <c r="H17" t="s">
        <v>37</v>
      </c>
      <c r="I17" t="s">
        <v>3123</v>
      </c>
      <c r="J17" t="s">
        <v>3403</v>
      </c>
      <c r="K17" t="s">
        <v>3125</v>
      </c>
      <c r="L17" t="s">
        <v>3126</v>
      </c>
      <c r="M17" t="s">
        <v>3404</v>
      </c>
      <c r="N17" t="s">
        <v>3405</v>
      </c>
      <c r="O17" t="s">
        <v>3406</v>
      </c>
      <c r="P17" t="s">
        <v>3407</v>
      </c>
      <c r="Q17" t="s">
        <v>3408</v>
      </c>
      <c r="R17">
        <v>14694</v>
      </c>
      <c r="S17" t="s">
        <v>3155</v>
      </c>
      <c r="T17">
        <v>5148820730421280</v>
      </c>
      <c r="U17">
        <v>682</v>
      </c>
      <c r="V17">
        <v>43556</v>
      </c>
      <c r="W17" t="s">
        <v>3409</v>
      </c>
      <c r="X17" t="s">
        <v>3410</v>
      </c>
      <c r="Y17" t="s">
        <v>3411</v>
      </c>
      <c r="Z17" t="s">
        <v>3412</v>
      </c>
      <c r="AA17" t="s">
        <v>3413</v>
      </c>
      <c r="AB17" t="s">
        <v>3414</v>
      </c>
      <c r="AC17" t="s">
        <v>3415</v>
      </c>
      <c r="AD17" t="s">
        <v>3256</v>
      </c>
      <c r="AE17">
        <v>165.9</v>
      </c>
      <c r="AF17">
        <v>75.400000000000006</v>
      </c>
      <c r="AG17" t="s">
        <v>3330</v>
      </c>
      <c r="AH17">
        <v>169</v>
      </c>
      <c r="AI17" t="s">
        <v>3416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3143</v>
      </c>
      <c r="C18" t="s">
        <v>3144</v>
      </c>
      <c r="D18" t="s">
        <v>3417</v>
      </c>
      <c r="E18" t="s">
        <v>3224</v>
      </c>
      <c r="F18" t="s">
        <v>3418</v>
      </c>
      <c r="G18" t="s">
        <v>3419</v>
      </c>
      <c r="H18" t="s">
        <v>3420</v>
      </c>
      <c r="I18" t="s">
        <v>3123</v>
      </c>
      <c r="J18" t="s">
        <v>3421</v>
      </c>
      <c r="K18" t="s">
        <v>3125</v>
      </c>
      <c r="L18" t="s">
        <v>3126</v>
      </c>
      <c r="M18" t="s">
        <v>3422</v>
      </c>
      <c r="N18" t="s">
        <v>3423</v>
      </c>
      <c r="O18" t="s">
        <v>3424</v>
      </c>
      <c r="P18" t="s">
        <v>3425</v>
      </c>
      <c r="Q18" t="s">
        <v>3426</v>
      </c>
      <c r="R18">
        <v>24451</v>
      </c>
      <c r="S18" t="s">
        <v>3132</v>
      </c>
      <c r="T18">
        <v>4716519111244180</v>
      </c>
      <c r="U18">
        <v>241</v>
      </c>
      <c r="V18">
        <v>42217</v>
      </c>
      <c r="W18" t="s">
        <v>3427</v>
      </c>
      <c r="X18" t="s">
        <v>3428</v>
      </c>
      <c r="Y18" t="s">
        <v>3135</v>
      </c>
      <c r="Z18" t="s">
        <v>3429</v>
      </c>
      <c r="AA18" t="s">
        <v>3430</v>
      </c>
      <c r="AB18" t="s">
        <v>3431</v>
      </c>
      <c r="AC18" t="s">
        <v>3432</v>
      </c>
      <c r="AD18" t="s">
        <v>3256</v>
      </c>
      <c r="AE18">
        <v>230.6</v>
      </c>
      <c r="AF18">
        <v>104.8</v>
      </c>
      <c r="AG18" t="s">
        <v>3164</v>
      </c>
      <c r="AH18">
        <v>156</v>
      </c>
      <c r="AI18" t="s">
        <v>3433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3117</v>
      </c>
      <c r="C19" t="s">
        <v>3118</v>
      </c>
      <c r="D19" t="s">
        <v>3434</v>
      </c>
      <c r="E19" t="s">
        <v>3279</v>
      </c>
      <c r="F19" t="s">
        <v>3435</v>
      </c>
      <c r="G19" t="s">
        <v>3436</v>
      </c>
      <c r="H19" t="s">
        <v>3437</v>
      </c>
      <c r="I19" t="s">
        <v>3123</v>
      </c>
      <c r="J19" t="s">
        <v>3438</v>
      </c>
      <c r="K19" t="s">
        <v>3125</v>
      </c>
      <c r="L19" t="s">
        <v>3126</v>
      </c>
      <c r="M19" t="s">
        <v>3439</v>
      </c>
      <c r="N19" t="s">
        <v>3440</v>
      </c>
      <c r="O19" t="s">
        <v>3441</v>
      </c>
      <c r="P19" t="s">
        <v>3442</v>
      </c>
      <c r="Q19" t="s">
        <v>3443</v>
      </c>
      <c r="R19">
        <v>13878</v>
      </c>
      <c r="S19" t="s">
        <v>3155</v>
      </c>
      <c r="T19">
        <v>5595899012560200</v>
      </c>
      <c r="U19">
        <v>522</v>
      </c>
      <c r="V19">
        <v>42583</v>
      </c>
      <c r="W19" t="s">
        <v>3444</v>
      </c>
      <c r="X19" t="s">
        <v>3445</v>
      </c>
      <c r="Y19" t="s">
        <v>3446</v>
      </c>
      <c r="Z19" t="s">
        <v>3447</v>
      </c>
      <c r="AA19" t="s">
        <v>3448</v>
      </c>
      <c r="AB19" t="s">
        <v>3449</v>
      </c>
      <c r="AC19" t="s">
        <v>3450</v>
      </c>
      <c r="AD19" t="s">
        <v>3182</v>
      </c>
      <c r="AE19">
        <v>143.4</v>
      </c>
      <c r="AF19">
        <v>65.2</v>
      </c>
      <c r="AG19" t="s">
        <v>3312</v>
      </c>
      <c r="AH19">
        <v>184</v>
      </c>
      <c r="AI19" t="s">
        <v>3451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3143</v>
      </c>
      <c r="C20" t="s">
        <v>3144</v>
      </c>
      <c r="D20" t="s">
        <v>3452</v>
      </c>
      <c r="E20" t="s">
        <v>3120</v>
      </c>
      <c r="F20" t="s">
        <v>3453</v>
      </c>
      <c r="G20" t="s">
        <v>3454</v>
      </c>
      <c r="H20" t="s">
        <v>3455</v>
      </c>
      <c r="I20" t="s">
        <v>3123</v>
      </c>
      <c r="J20" t="s">
        <v>3456</v>
      </c>
      <c r="K20" t="s">
        <v>3125</v>
      </c>
      <c r="L20" t="s">
        <v>3126</v>
      </c>
      <c r="M20" t="s">
        <v>3457</v>
      </c>
      <c r="N20" t="s">
        <v>3458</v>
      </c>
      <c r="O20" t="s">
        <v>3459</v>
      </c>
      <c r="P20" t="s">
        <v>3460</v>
      </c>
      <c r="Q20" t="s">
        <v>3461</v>
      </c>
      <c r="R20">
        <v>28866</v>
      </c>
      <c r="S20" t="s">
        <v>3155</v>
      </c>
      <c r="T20">
        <v>5348280404769720</v>
      </c>
      <c r="U20">
        <v>185</v>
      </c>
      <c r="V20">
        <v>42736</v>
      </c>
      <c r="W20" t="s">
        <v>3462</v>
      </c>
      <c r="X20" t="s">
        <v>3463</v>
      </c>
      <c r="Y20" t="s">
        <v>3197</v>
      </c>
      <c r="Z20" t="s">
        <v>3464</v>
      </c>
      <c r="AA20" t="s">
        <v>3465</v>
      </c>
      <c r="AB20" t="s">
        <v>3466</v>
      </c>
      <c r="AC20" t="s">
        <v>3467</v>
      </c>
      <c r="AD20" t="s">
        <v>3220</v>
      </c>
      <c r="AE20">
        <v>119.2</v>
      </c>
      <c r="AF20">
        <v>54.2</v>
      </c>
      <c r="AG20" t="s">
        <v>3221</v>
      </c>
      <c r="AH20">
        <v>168</v>
      </c>
      <c r="AI20" t="s">
        <v>3468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3143</v>
      </c>
      <c r="C21" t="s">
        <v>3185</v>
      </c>
      <c r="D21" t="s">
        <v>3469</v>
      </c>
      <c r="E21" t="s">
        <v>422</v>
      </c>
      <c r="F21" t="s">
        <v>3470</v>
      </c>
      <c r="G21" t="s">
        <v>3471</v>
      </c>
      <c r="H21" t="s">
        <v>3472</v>
      </c>
      <c r="I21" t="s">
        <v>3123</v>
      </c>
      <c r="J21" t="s">
        <v>3473</v>
      </c>
      <c r="K21" t="s">
        <v>3125</v>
      </c>
      <c r="L21" t="s">
        <v>3126</v>
      </c>
      <c r="M21" t="s">
        <v>3474</v>
      </c>
      <c r="N21" t="s">
        <v>3475</v>
      </c>
      <c r="O21" t="s">
        <v>3476</v>
      </c>
      <c r="P21" t="s">
        <v>3477</v>
      </c>
      <c r="Q21" t="s">
        <v>3478</v>
      </c>
      <c r="R21">
        <v>15636</v>
      </c>
      <c r="S21" t="s">
        <v>3132</v>
      </c>
      <c r="T21">
        <v>4916000920276210</v>
      </c>
      <c r="U21">
        <v>954</v>
      </c>
      <c r="V21">
        <v>42186</v>
      </c>
      <c r="W21" t="s">
        <v>3479</v>
      </c>
      <c r="X21" t="s">
        <v>3480</v>
      </c>
      <c r="Y21" t="s">
        <v>3194</v>
      </c>
      <c r="Z21" t="s">
        <v>3481</v>
      </c>
      <c r="AA21" t="s">
        <v>3482</v>
      </c>
      <c r="AB21" t="s">
        <v>3483</v>
      </c>
      <c r="AC21" t="s">
        <v>3484</v>
      </c>
      <c r="AD21" t="s">
        <v>3276</v>
      </c>
      <c r="AE21">
        <v>218.7</v>
      </c>
      <c r="AF21">
        <v>99.4</v>
      </c>
      <c r="AG21" t="s">
        <v>3257</v>
      </c>
      <c r="AH21">
        <v>166</v>
      </c>
      <c r="AI21" t="s">
        <v>3485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3117</v>
      </c>
      <c r="C22" t="s">
        <v>3118</v>
      </c>
      <c r="D22" t="s">
        <v>3486</v>
      </c>
      <c r="E22" t="s">
        <v>3487</v>
      </c>
      <c r="F22" t="s">
        <v>3488</v>
      </c>
      <c r="G22" t="s">
        <v>3489</v>
      </c>
      <c r="H22" t="s">
        <v>2</v>
      </c>
      <c r="I22" t="s">
        <v>3123</v>
      </c>
      <c r="J22" t="s">
        <v>3490</v>
      </c>
      <c r="K22" t="s">
        <v>3125</v>
      </c>
      <c r="L22" t="s">
        <v>3126</v>
      </c>
      <c r="M22" t="s">
        <v>3491</v>
      </c>
      <c r="N22" t="s">
        <v>3492</v>
      </c>
      <c r="O22" t="s">
        <v>3493</v>
      </c>
      <c r="P22" t="s">
        <v>3494</v>
      </c>
      <c r="Q22" t="s">
        <v>3495</v>
      </c>
      <c r="R22">
        <v>27939</v>
      </c>
      <c r="S22" t="s">
        <v>3132</v>
      </c>
      <c r="T22">
        <v>4485383240077990</v>
      </c>
      <c r="U22">
        <v>469</v>
      </c>
      <c r="V22">
        <v>43252</v>
      </c>
      <c r="W22" t="s">
        <v>3496</v>
      </c>
      <c r="X22" t="s">
        <v>3497</v>
      </c>
      <c r="Y22" t="s">
        <v>3135</v>
      </c>
      <c r="Z22" t="s">
        <v>3498</v>
      </c>
      <c r="AA22" t="s">
        <v>3499</v>
      </c>
      <c r="AB22" t="s">
        <v>3500</v>
      </c>
      <c r="AC22" t="s">
        <v>3501</v>
      </c>
      <c r="AD22" t="s">
        <v>3220</v>
      </c>
      <c r="AE22">
        <v>172.7</v>
      </c>
      <c r="AF22">
        <v>78.5</v>
      </c>
      <c r="AG22" t="s">
        <v>3312</v>
      </c>
      <c r="AH22">
        <v>183</v>
      </c>
      <c r="AI22" t="s">
        <v>3502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3117</v>
      </c>
      <c r="C23" t="s">
        <v>3118</v>
      </c>
      <c r="D23" t="s">
        <v>3503</v>
      </c>
      <c r="E23" t="s">
        <v>3120</v>
      </c>
      <c r="F23" t="s">
        <v>3504</v>
      </c>
      <c r="G23" t="s">
        <v>3505</v>
      </c>
      <c r="H23" t="s">
        <v>37</v>
      </c>
      <c r="I23" t="s">
        <v>3123</v>
      </c>
      <c r="J23" t="s">
        <v>3506</v>
      </c>
      <c r="K23" t="s">
        <v>3125</v>
      </c>
      <c r="L23" t="s">
        <v>3126</v>
      </c>
      <c r="M23" t="s">
        <v>3507</v>
      </c>
      <c r="N23" t="s">
        <v>3508</v>
      </c>
      <c r="O23" t="s">
        <v>3509</v>
      </c>
      <c r="P23" t="s">
        <v>3510</v>
      </c>
      <c r="Q23" t="s">
        <v>3511</v>
      </c>
      <c r="R23">
        <v>25504</v>
      </c>
      <c r="S23" t="s">
        <v>3132</v>
      </c>
      <c r="T23">
        <v>4556480944029910</v>
      </c>
      <c r="U23">
        <v>823</v>
      </c>
      <c r="V23">
        <v>43282</v>
      </c>
      <c r="W23" t="s">
        <v>3512</v>
      </c>
      <c r="X23" t="s">
        <v>3513</v>
      </c>
      <c r="Y23" t="s">
        <v>3344</v>
      </c>
      <c r="Z23" t="s">
        <v>3514</v>
      </c>
      <c r="AA23" t="s">
        <v>3515</v>
      </c>
      <c r="AB23" t="s">
        <v>3516</v>
      </c>
      <c r="AC23" t="s">
        <v>3517</v>
      </c>
      <c r="AD23" t="s">
        <v>3182</v>
      </c>
      <c r="AE23">
        <v>218.2</v>
      </c>
      <c r="AF23">
        <v>99.2</v>
      </c>
      <c r="AG23" t="s">
        <v>3183</v>
      </c>
      <c r="AH23">
        <v>174</v>
      </c>
      <c r="AI23" t="s">
        <v>3518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3117</v>
      </c>
      <c r="C24" t="s">
        <v>3118</v>
      </c>
      <c r="D24" t="s">
        <v>3519</v>
      </c>
      <c r="E24" t="s">
        <v>415</v>
      </c>
      <c r="F24" t="s">
        <v>3520</v>
      </c>
      <c r="G24" t="s">
        <v>3521</v>
      </c>
      <c r="H24" t="s">
        <v>3522</v>
      </c>
      <c r="I24" t="s">
        <v>3123</v>
      </c>
      <c r="J24" t="s">
        <v>3523</v>
      </c>
      <c r="K24" t="s">
        <v>3125</v>
      </c>
      <c r="L24" t="s">
        <v>3126</v>
      </c>
      <c r="M24" t="s">
        <v>3524</v>
      </c>
      <c r="N24" t="s">
        <v>3525</v>
      </c>
      <c r="O24" t="s">
        <v>3526</v>
      </c>
      <c r="P24" t="s">
        <v>3527</v>
      </c>
      <c r="Q24" t="s">
        <v>3528</v>
      </c>
      <c r="R24">
        <v>16369</v>
      </c>
      <c r="S24" t="s">
        <v>3132</v>
      </c>
      <c r="T24">
        <v>4556750362977860</v>
      </c>
      <c r="U24">
        <v>541</v>
      </c>
      <c r="V24">
        <v>43132</v>
      </c>
      <c r="W24" t="s">
        <v>3529</v>
      </c>
      <c r="X24" t="s">
        <v>3530</v>
      </c>
      <c r="Y24" t="s">
        <v>3135</v>
      </c>
      <c r="Z24" t="s">
        <v>3531</v>
      </c>
      <c r="AA24" t="s">
        <v>3532</v>
      </c>
      <c r="AB24" t="s">
        <v>3533</v>
      </c>
      <c r="AC24" t="s">
        <v>3534</v>
      </c>
      <c r="AD24" t="s">
        <v>3220</v>
      </c>
      <c r="AE24">
        <v>165.2</v>
      </c>
      <c r="AF24">
        <v>75.099999999999994</v>
      </c>
      <c r="AG24" t="s">
        <v>3330</v>
      </c>
      <c r="AH24">
        <v>171</v>
      </c>
      <c r="AI24" t="s">
        <v>3535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3117</v>
      </c>
      <c r="C25" t="s">
        <v>3118</v>
      </c>
      <c r="D25" t="s">
        <v>3536</v>
      </c>
      <c r="E25" t="s">
        <v>3224</v>
      </c>
      <c r="F25" t="s">
        <v>3537</v>
      </c>
      <c r="G25" t="s">
        <v>3538</v>
      </c>
      <c r="H25" t="s">
        <v>3368</v>
      </c>
      <c r="I25" t="s">
        <v>3123</v>
      </c>
      <c r="J25" t="s">
        <v>3369</v>
      </c>
      <c r="K25" t="s">
        <v>3125</v>
      </c>
      <c r="L25" t="s">
        <v>3126</v>
      </c>
      <c r="M25" t="s">
        <v>3539</v>
      </c>
      <c r="N25" t="s">
        <v>3540</v>
      </c>
      <c r="O25" t="s">
        <v>3541</v>
      </c>
      <c r="P25" t="s">
        <v>3542</v>
      </c>
      <c r="Q25" t="s">
        <v>3543</v>
      </c>
      <c r="R25">
        <v>18976</v>
      </c>
      <c r="S25" t="s">
        <v>3132</v>
      </c>
      <c r="T25">
        <v>4716000272431220</v>
      </c>
      <c r="U25">
        <v>40</v>
      </c>
      <c r="V25">
        <v>43009</v>
      </c>
      <c r="W25" t="s">
        <v>3544</v>
      </c>
      <c r="X25" t="s">
        <v>3545</v>
      </c>
      <c r="Y25" t="s">
        <v>3135</v>
      </c>
      <c r="Z25" t="s">
        <v>3546</v>
      </c>
      <c r="AA25" t="s">
        <v>3547</v>
      </c>
      <c r="AB25" t="s">
        <v>3548</v>
      </c>
      <c r="AC25" t="s">
        <v>3549</v>
      </c>
      <c r="AD25" t="s">
        <v>3182</v>
      </c>
      <c r="AE25">
        <v>193.6</v>
      </c>
      <c r="AF25">
        <v>88</v>
      </c>
      <c r="AG25" t="s">
        <v>3141</v>
      </c>
      <c r="AH25">
        <v>185</v>
      </c>
      <c r="AI25" t="s">
        <v>3550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3117</v>
      </c>
      <c r="C26" t="s">
        <v>3118</v>
      </c>
      <c r="D26" t="s">
        <v>3551</v>
      </c>
      <c r="E26" t="s">
        <v>190</v>
      </c>
      <c r="F26" t="s">
        <v>3552</v>
      </c>
      <c r="G26" t="s">
        <v>3553</v>
      </c>
      <c r="H26" t="s">
        <v>3554</v>
      </c>
      <c r="I26" t="s">
        <v>3123</v>
      </c>
      <c r="J26" t="s">
        <v>3555</v>
      </c>
      <c r="K26" t="s">
        <v>3125</v>
      </c>
      <c r="L26" t="s">
        <v>3126</v>
      </c>
      <c r="M26" t="s">
        <v>3556</v>
      </c>
      <c r="N26" t="s">
        <v>3557</v>
      </c>
      <c r="O26" t="s">
        <v>3558</v>
      </c>
      <c r="P26" t="s">
        <v>3559</v>
      </c>
      <c r="Q26" t="s">
        <v>3443</v>
      </c>
      <c r="R26">
        <v>30596</v>
      </c>
      <c r="S26" t="s">
        <v>3132</v>
      </c>
      <c r="T26">
        <v>4716004125537570</v>
      </c>
      <c r="U26">
        <v>172</v>
      </c>
      <c r="V26">
        <v>43191</v>
      </c>
      <c r="W26" t="s">
        <v>3560</v>
      </c>
      <c r="X26" t="s">
        <v>3561</v>
      </c>
      <c r="Y26" t="s">
        <v>3135</v>
      </c>
      <c r="Z26" t="s">
        <v>3562</v>
      </c>
      <c r="AA26" t="s">
        <v>3563</v>
      </c>
      <c r="AB26" t="s">
        <v>3564</v>
      </c>
      <c r="AC26" t="s">
        <v>3565</v>
      </c>
      <c r="AD26" t="s">
        <v>3276</v>
      </c>
      <c r="AE26">
        <v>228.1</v>
      </c>
      <c r="AF26">
        <v>103.7</v>
      </c>
      <c r="AG26" t="s">
        <v>3566</v>
      </c>
      <c r="AH26">
        <v>180</v>
      </c>
      <c r="AI26" t="s">
        <v>3567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3117</v>
      </c>
      <c r="C27" t="s">
        <v>3118</v>
      </c>
      <c r="D27" t="s">
        <v>3568</v>
      </c>
      <c r="E27" t="s">
        <v>221</v>
      </c>
      <c r="F27" t="s">
        <v>3569</v>
      </c>
      <c r="G27" t="s">
        <v>3570</v>
      </c>
      <c r="H27" t="s">
        <v>2</v>
      </c>
      <c r="I27" t="s">
        <v>3123</v>
      </c>
      <c r="J27" t="s">
        <v>3189</v>
      </c>
      <c r="K27" t="s">
        <v>3125</v>
      </c>
      <c r="L27" t="s">
        <v>3126</v>
      </c>
      <c r="M27" t="s">
        <v>3571</v>
      </c>
      <c r="N27" t="s">
        <v>3572</v>
      </c>
      <c r="O27" t="s">
        <v>3573</v>
      </c>
      <c r="P27" t="s">
        <v>3574</v>
      </c>
      <c r="Q27" t="s">
        <v>3575</v>
      </c>
      <c r="R27">
        <v>23632</v>
      </c>
      <c r="S27" t="s">
        <v>3155</v>
      </c>
      <c r="T27">
        <v>5577577944947570</v>
      </c>
      <c r="U27">
        <v>364</v>
      </c>
      <c r="V27">
        <v>42614</v>
      </c>
      <c r="W27" t="s">
        <v>3576</v>
      </c>
      <c r="X27" t="s">
        <v>3577</v>
      </c>
      <c r="Y27" t="s">
        <v>3135</v>
      </c>
      <c r="Z27" t="s">
        <v>3578</v>
      </c>
      <c r="AA27" t="s">
        <v>3579</v>
      </c>
      <c r="AB27" t="s">
        <v>3580</v>
      </c>
      <c r="AC27" t="s">
        <v>3581</v>
      </c>
      <c r="AD27" t="s">
        <v>3276</v>
      </c>
      <c r="AE27">
        <v>150.9</v>
      </c>
      <c r="AF27">
        <v>68.599999999999994</v>
      </c>
      <c r="AG27" t="s">
        <v>3141</v>
      </c>
      <c r="AH27">
        <v>185</v>
      </c>
      <c r="AI27" t="s">
        <v>3582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3117</v>
      </c>
      <c r="C28" t="s">
        <v>3118</v>
      </c>
      <c r="D28" t="s">
        <v>3583</v>
      </c>
      <c r="E28" t="s">
        <v>414</v>
      </c>
      <c r="F28" t="s">
        <v>3584</v>
      </c>
      <c r="G28" t="s">
        <v>3585</v>
      </c>
      <c r="H28" t="s">
        <v>38</v>
      </c>
      <c r="I28" t="s">
        <v>3123</v>
      </c>
      <c r="J28" t="s">
        <v>3244</v>
      </c>
      <c r="K28" t="s">
        <v>3125</v>
      </c>
      <c r="L28" t="s">
        <v>3126</v>
      </c>
      <c r="M28" t="s">
        <v>3586</v>
      </c>
      <c r="N28" t="s">
        <v>3587</v>
      </c>
      <c r="O28" t="s">
        <v>3588</v>
      </c>
      <c r="P28" t="s">
        <v>3589</v>
      </c>
      <c r="Q28" t="s">
        <v>3590</v>
      </c>
      <c r="R28">
        <v>33071</v>
      </c>
      <c r="S28" t="s">
        <v>3155</v>
      </c>
      <c r="T28">
        <v>5291426038920880</v>
      </c>
      <c r="U28">
        <v>479</v>
      </c>
      <c r="V28">
        <v>42186</v>
      </c>
      <c r="W28" t="s">
        <v>3591</v>
      </c>
      <c r="X28" t="s">
        <v>3592</v>
      </c>
      <c r="Y28" t="s">
        <v>3158</v>
      </c>
      <c r="Z28" t="s">
        <v>3593</v>
      </c>
      <c r="AA28" t="s">
        <v>3594</v>
      </c>
      <c r="AB28" t="s">
        <v>3595</v>
      </c>
      <c r="AC28" t="s">
        <v>3596</v>
      </c>
      <c r="AD28" t="s">
        <v>3276</v>
      </c>
      <c r="AE28">
        <v>125.8</v>
      </c>
      <c r="AF28">
        <v>57.2</v>
      </c>
      <c r="AG28" t="s">
        <v>3597</v>
      </c>
      <c r="AH28">
        <v>189</v>
      </c>
      <c r="AI28" t="s">
        <v>3598</v>
      </c>
      <c r="AJ28">
        <v>49.203986</v>
      </c>
      <c r="AK28">
        <v>-123.160493</v>
      </c>
    </row>
    <row r="29" spans="1:37" x14ac:dyDescent="0.3">
      <c r="A29">
        <v>165</v>
      </c>
      <c r="B29" t="s">
        <v>3143</v>
      </c>
      <c r="C29" t="s">
        <v>3144</v>
      </c>
      <c r="D29" t="s">
        <v>3599</v>
      </c>
      <c r="E29" t="s">
        <v>3600</v>
      </c>
      <c r="F29" t="s">
        <v>3601</v>
      </c>
      <c r="G29" t="s">
        <v>3602</v>
      </c>
      <c r="H29" t="s">
        <v>3522</v>
      </c>
      <c r="I29" t="s">
        <v>3123</v>
      </c>
      <c r="J29" t="s">
        <v>3523</v>
      </c>
      <c r="K29" t="s">
        <v>3125</v>
      </c>
      <c r="L29" t="s">
        <v>3126</v>
      </c>
      <c r="M29" t="s">
        <v>3603</v>
      </c>
      <c r="N29" t="s">
        <v>3604</v>
      </c>
      <c r="O29" t="s">
        <v>3605</v>
      </c>
      <c r="P29" t="s">
        <v>3606</v>
      </c>
      <c r="Q29" t="s">
        <v>3607</v>
      </c>
      <c r="R29">
        <v>14021</v>
      </c>
      <c r="S29" t="s">
        <v>3155</v>
      </c>
      <c r="T29">
        <v>5397871196298130</v>
      </c>
      <c r="U29">
        <v>804</v>
      </c>
      <c r="V29">
        <v>43313</v>
      </c>
      <c r="W29" t="s">
        <v>3608</v>
      </c>
      <c r="X29" t="s">
        <v>3609</v>
      </c>
      <c r="Y29" t="s">
        <v>3197</v>
      </c>
      <c r="Z29" t="s">
        <v>3610</v>
      </c>
      <c r="AA29" t="s">
        <v>3611</v>
      </c>
      <c r="AB29" t="s">
        <v>3612</v>
      </c>
      <c r="AC29" t="s">
        <v>3613</v>
      </c>
      <c r="AD29" t="s">
        <v>3182</v>
      </c>
      <c r="AE29">
        <v>167</v>
      </c>
      <c r="AF29">
        <v>75.900000000000006</v>
      </c>
      <c r="AG29" t="s">
        <v>3221</v>
      </c>
      <c r="AH29">
        <v>167</v>
      </c>
      <c r="AI29" t="s">
        <v>3614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3143</v>
      </c>
      <c r="C30" t="s">
        <v>3185</v>
      </c>
      <c r="D30" t="s">
        <v>3615</v>
      </c>
      <c r="E30" t="s">
        <v>414</v>
      </c>
      <c r="F30" t="s">
        <v>3616</v>
      </c>
      <c r="G30" t="s">
        <v>3617</v>
      </c>
      <c r="H30" t="s">
        <v>3618</v>
      </c>
      <c r="I30" t="s">
        <v>3123</v>
      </c>
      <c r="J30" t="s">
        <v>3619</v>
      </c>
      <c r="K30" t="s">
        <v>3125</v>
      </c>
      <c r="L30" t="s">
        <v>3126</v>
      </c>
      <c r="M30" t="s">
        <v>3620</v>
      </c>
      <c r="N30" t="s">
        <v>3621</v>
      </c>
      <c r="O30" t="s">
        <v>3622</v>
      </c>
      <c r="P30" t="s">
        <v>3623</v>
      </c>
      <c r="Q30" t="s">
        <v>3624</v>
      </c>
      <c r="R30">
        <v>23921</v>
      </c>
      <c r="S30" t="s">
        <v>3132</v>
      </c>
      <c r="T30">
        <v>4485146035894200</v>
      </c>
      <c r="U30">
        <v>915</v>
      </c>
      <c r="V30">
        <v>43739</v>
      </c>
      <c r="W30" t="s">
        <v>3625</v>
      </c>
      <c r="X30" t="s">
        <v>3626</v>
      </c>
      <c r="Y30" t="s">
        <v>3197</v>
      </c>
      <c r="Z30" t="s">
        <v>3627</v>
      </c>
      <c r="AA30" t="s">
        <v>3628</v>
      </c>
      <c r="AB30" t="s">
        <v>3629</v>
      </c>
      <c r="AC30" t="s">
        <v>3630</v>
      </c>
      <c r="AD30" t="s">
        <v>3276</v>
      </c>
      <c r="AE30">
        <v>226.6</v>
      </c>
      <c r="AF30">
        <v>103</v>
      </c>
      <c r="AG30" t="s">
        <v>3631</v>
      </c>
      <c r="AH30">
        <v>161</v>
      </c>
      <c r="AI30" t="s">
        <v>3632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3117</v>
      </c>
      <c r="C31" t="s">
        <v>3118</v>
      </c>
      <c r="D31" t="s">
        <v>3633</v>
      </c>
      <c r="E31" t="s">
        <v>3600</v>
      </c>
      <c r="F31" t="s">
        <v>3634</v>
      </c>
      <c r="G31" t="s">
        <v>3635</v>
      </c>
      <c r="H31" t="s">
        <v>38</v>
      </c>
      <c r="I31" t="s">
        <v>3123</v>
      </c>
      <c r="J31" t="s">
        <v>3636</v>
      </c>
      <c r="K31" t="s">
        <v>3125</v>
      </c>
      <c r="L31" t="s">
        <v>3126</v>
      </c>
      <c r="M31" t="s">
        <v>3637</v>
      </c>
      <c r="N31" t="s">
        <v>3638</v>
      </c>
      <c r="O31" t="s">
        <v>3639</v>
      </c>
      <c r="P31" t="s">
        <v>3640</v>
      </c>
      <c r="Q31" t="s">
        <v>3641</v>
      </c>
      <c r="R31">
        <v>22229</v>
      </c>
      <c r="S31" t="s">
        <v>3132</v>
      </c>
      <c r="T31">
        <v>4485957322304030</v>
      </c>
      <c r="U31">
        <v>848</v>
      </c>
      <c r="V31">
        <v>42156</v>
      </c>
      <c r="W31" t="s">
        <v>3642</v>
      </c>
      <c r="X31" t="s">
        <v>3643</v>
      </c>
      <c r="Y31" t="s">
        <v>3135</v>
      </c>
      <c r="Z31" t="s">
        <v>3644</v>
      </c>
      <c r="AA31" t="s">
        <v>3645</v>
      </c>
      <c r="AB31" t="s">
        <v>3646</v>
      </c>
      <c r="AC31" t="s">
        <v>3647</v>
      </c>
      <c r="AD31" t="s">
        <v>3220</v>
      </c>
      <c r="AE31">
        <v>141.5</v>
      </c>
      <c r="AF31">
        <v>64.3</v>
      </c>
      <c r="AG31" t="s">
        <v>3312</v>
      </c>
      <c r="AH31">
        <v>184</v>
      </c>
      <c r="AI31" t="s">
        <v>3648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3143</v>
      </c>
      <c r="C32" t="s">
        <v>3185</v>
      </c>
      <c r="D32" t="s">
        <v>3649</v>
      </c>
      <c r="E32" t="s">
        <v>3120</v>
      </c>
      <c r="F32" t="s">
        <v>3650</v>
      </c>
      <c r="G32" t="s">
        <v>3651</v>
      </c>
      <c r="H32" t="s">
        <v>38</v>
      </c>
      <c r="I32" t="s">
        <v>3123</v>
      </c>
      <c r="J32" t="s">
        <v>3636</v>
      </c>
      <c r="K32" t="s">
        <v>3125</v>
      </c>
      <c r="L32" t="s">
        <v>3126</v>
      </c>
      <c r="M32" t="s">
        <v>3652</v>
      </c>
      <c r="N32" t="s">
        <v>3653</v>
      </c>
      <c r="O32" t="s">
        <v>3654</v>
      </c>
      <c r="P32" t="s">
        <v>3655</v>
      </c>
      <c r="Q32" t="s">
        <v>3656</v>
      </c>
      <c r="R32">
        <v>32061</v>
      </c>
      <c r="S32" t="s">
        <v>3155</v>
      </c>
      <c r="T32">
        <v>5481997479252670</v>
      </c>
      <c r="U32">
        <v>22</v>
      </c>
      <c r="V32">
        <v>43647</v>
      </c>
      <c r="W32" t="s">
        <v>3657</v>
      </c>
      <c r="X32" t="s">
        <v>3658</v>
      </c>
      <c r="Y32" t="s">
        <v>3197</v>
      </c>
      <c r="Z32" t="s">
        <v>3659</v>
      </c>
      <c r="AA32" t="s">
        <v>3660</v>
      </c>
      <c r="AB32" t="s">
        <v>3661</v>
      </c>
      <c r="AC32" t="s">
        <v>3662</v>
      </c>
      <c r="AD32" t="s">
        <v>3220</v>
      </c>
      <c r="AE32">
        <v>206.6</v>
      </c>
      <c r="AF32">
        <v>93.9</v>
      </c>
      <c r="AG32" t="s">
        <v>3221</v>
      </c>
      <c r="AH32">
        <v>167</v>
      </c>
      <c r="AI32" t="s">
        <v>3663</v>
      </c>
      <c r="AJ32">
        <v>49.232858</v>
      </c>
      <c r="AK32">
        <v>-123.104597</v>
      </c>
    </row>
    <row r="33" spans="1:37" x14ac:dyDescent="0.3">
      <c r="A33">
        <v>189</v>
      </c>
      <c r="B33" t="s">
        <v>3117</v>
      </c>
      <c r="C33" t="s">
        <v>3118</v>
      </c>
      <c r="D33" t="s">
        <v>3664</v>
      </c>
      <c r="E33" t="s">
        <v>3665</v>
      </c>
      <c r="F33" t="s">
        <v>3666</v>
      </c>
      <c r="G33" t="s">
        <v>3667</v>
      </c>
      <c r="H33" t="s">
        <v>34</v>
      </c>
      <c r="I33" t="s">
        <v>3123</v>
      </c>
      <c r="J33" t="s">
        <v>3668</v>
      </c>
      <c r="K33" t="s">
        <v>3125</v>
      </c>
      <c r="L33" t="s">
        <v>3126</v>
      </c>
      <c r="M33" t="s">
        <v>3669</v>
      </c>
      <c r="N33" t="s">
        <v>3670</v>
      </c>
      <c r="O33" t="s">
        <v>3671</v>
      </c>
      <c r="P33" t="s">
        <v>3672</v>
      </c>
      <c r="Q33" t="s">
        <v>3673</v>
      </c>
      <c r="R33">
        <v>22315</v>
      </c>
      <c r="S33" t="s">
        <v>3155</v>
      </c>
      <c r="T33">
        <v>5473336963531560</v>
      </c>
      <c r="U33">
        <v>284</v>
      </c>
      <c r="V33">
        <v>43709</v>
      </c>
      <c r="W33" t="s">
        <v>3674</v>
      </c>
      <c r="X33" t="s">
        <v>3675</v>
      </c>
      <c r="Y33" t="s">
        <v>3135</v>
      </c>
      <c r="Z33" t="s">
        <v>3676</v>
      </c>
      <c r="AA33" t="s">
        <v>3677</v>
      </c>
      <c r="AB33" t="s">
        <v>3678</v>
      </c>
      <c r="AC33" t="s">
        <v>3679</v>
      </c>
      <c r="AD33" t="s">
        <v>3220</v>
      </c>
      <c r="AE33">
        <v>203.1</v>
      </c>
      <c r="AF33">
        <v>92.3</v>
      </c>
      <c r="AG33" t="s">
        <v>3221</v>
      </c>
      <c r="AH33">
        <v>168</v>
      </c>
      <c r="AI33" t="s">
        <v>3680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3143</v>
      </c>
      <c r="C34" t="s">
        <v>3144</v>
      </c>
      <c r="D34" t="s">
        <v>3681</v>
      </c>
      <c r="E34" t="s">
        <v>3682</v>
      </c>
      <c r="F34" t="s">
        <v>3683</v>
      </c>
      <c r="G34" t="s">
        <v>3684</v>
      </c>
      <c r="H34" t="s">
        <v>3685</v>
      </c>
      <c r="I34" t="s">
        <v>3123</v>
      </c>
      <c r="J34" t="s">
        <v>3686</v>
      </c>
      <c r="K34" t="s">
        <v>3125</v>
      </c>
      <c r="L34" t="s">
        <v>3126</v>
      </c>
      <c r="M34" t="s">
        <v>3687</v>
      </c>
      <c r="N34" t="s">
        <v>3688</v>
      </c>
      <c r="O34" t="s">
        <v>3689</v>
      </c>
      <c r="P34" t="s">
        <v>3690</v>
      </c>
      <c r="Q34" t="s">
        <v>3691</v>
      </c>
      <c r="R34">
        <v>27238</v>
      </c>
      <c r="S34" t="s">
        <v>3155</v>
      </c>
      <c r="T34">
        <v>5404402877243230</v>
      </c>
      <c r="U34">
        <v>725</v>
      </c>
      <c r="V34">
        <v>43191</v>
      </c>
      <c r="W34" t="s">
        <v>3692</v>
      </c>
      <c r="X34" t="s">
        <v>3693</v>
      </c>
      <c r="Y34" t="s">
        <v>3158</v>
      </c>
      <c r="Z34" t="s">
        <v>3694</v>
      </c>
      <c r="AA34" t="s">
        <v>3695</v>
      </c>
      <c r="AB34" t="s">
        <v>3696</v>
      </c>
      <c r="AC34" t="s">
        <v>3697</v>
      </c>
      <c r="AD34" t="s">
        <v>3182</v>
      </c>
      <c r="AE34">
        <v>190.1</v>
      </c>
      <c r="AF34">
        <v>86.4</v>
      </c>
      <c r="AG34" t="s">
        <v>3221</v>
      </c>
      <c r="AH34">
        <v>168</v>
      </c>
      <c r="AI34" t="s">
        <v>3698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3117</v>
      </c>
      <c r="C35" t="s">
        <v>3118</v>
      </c>
      <c r="D35" t="s">
        <v>3519</v>
      </c>
      <c r="E35" t="s">
        <v>417</v>
      </c>
      <c r="F35" t="s">
        <v>3699</v>
      </c>
      <c r="G35" t="s">
        <v>3700</v>
      </c>
      <c r="H35" t="s">
        <v>3701</v>
      </c>
      <c r="I35" t="s">
        <v>3123</v>
      </c>
      <c r="J35" t="s">
        <v>3702</v>
      </c>
      <c r="K35" t="s">
        <v>3125</v>
      </c>
      <c r="L35" t="s">
        <v>3126</v>
      </c>
      <c r="M35" t="s">
        <v>3703</v>
      </c>
      <c r="N35" t="s">
        <v>3704</v>
      </c>
      <c r="O35" t="s">
        <v>3705</v>
      </c>
      <c r="P35" t="s">
        <v>3706</v>
      </c>
      <c r="Q35" t="s">
        <v>3707</v>
      </c>
      <c r="R35">
        <v>33681</v>
      </c>
      <c r="S35" t="s">
        <v>3132</v>
      </c>
      <c r="T35">
        <v>4916099250176820</v>
      </c>
      <c r="U35">
        <v>336</v>
      </c>
      <c r="V35">
        <v>42036</v>
      </c>
      <c r="W35" t="s">
        <v>3708</v>
      </c>
      <c r="X35" t="s">
        <v>3709</v>
      </c>
      <c r="Y35" t="s">
        <v>3135</v>
      </c>
      <c r="Z35" t="s">
        <v>3710</v>
      </c>
      <c r="AA35" t="s">
        <v>3711</v>
      </c>
      <c r="AB35" t="s">
        <v>3712</v>
      </c>
      <c r="AC35" t="s">
        <v>3713</v>
      </c>
      <c r="AD35" t="s">
        <v>3182</v>
      </c>
      <c r="AE35">
        <v>174.2</v>
      </c>
      <c r="AF35">
        <v>79.2</v>
      </c>
      <c r="AG35" t="s">
        <v>3141</v>
      </c>
      <c r="AH35">
        <v>186</v>
      </c>
      <c r="AI35" t="s">
        <v>3714</v>
      </c>
      <c r="AJ35">
        <v>49.550196</v>
      </c>
      <c r="AK35">
        <v>-115.725538</v>
      </c>
    </row>
    <row r="36" spans="1:37" x14ac:dyDescent="0.3">
      <c r="A36">
        <v>202</v>
      </c>
      <c r="B36" t="s">
        <v>3143</v>
      </c>
      <c r="C36" t="s">
        <v>3185</v>
      </c>
      <c r="D36" t="s">
        <v>3715</v>
      </c>
      <c r="E36" t="s">
        <v>3120</v>
      </c>
      <c r="F36" t="s">
        <v>3716</v>
      </c>
      <c r="G36" t="s">
        <v>3717</v>
      </c>
      <c r="H36" t="s">
        <v>3718</v>
      </c>
      <c r="I36" t="s">
        <v>3123</v>
      </c>
      <c r="J36" t="s">
        <v>3719</v>
      </c>
      <c r="K36" t="s">
        <v>3125</v>
      </c>
      <c r="L36" t="s">
        <v>3126</v>
      </c>
      <c r="M36" t="s">
        <v>3720</v>
      </c>
      <c r="N36" t="s">
        <v>3721</v>
      </c>
      <c r="O36" t="s">
        <v>3722</v>
      </c>
      <c r="P36" t="s">
        <v>3723</v>
      </c>
      <c r="Q36" t="s">
        <v>3055</v>
      </c>
      <c r="R36">
        <v>21636</v>
      </c>
      <c r="S36" t="s">
        <v>3132</v>
      </c>
      <c r="T36">
        <v>4539384666188390</v>
      </c>
      <c r="U36">
        <v>727</v>
      </c>
      <c r="V36">
        <v>43040</v>
      </c>
      <c r="W36" t="s">
        <v>3724</v>
      </c>
      <c r="X36" t="s">
        <v>3725</v>
      </c>
      <c r="Y36" t="s">
        <v>3135</v>
      </c>
      <c r="Z36" t="s">
        <v>3726</v>
      </c>
      <c r="AA36" t="s">
        <v>3727</v>
      </c>
      <c r="AB36" t="s">
        <v>3728</v>
      </c>
      <c r="AC36" t="s">
        <v>3729</v>
      </c>
      <c r="AD36" t="s">
        <v>3276</v>
      </c>
      <c r="AE36">
        <v>225.7</v>
      </c>
      <c r="AF36">
        <v>102.6</v>
      </c>
      <c r="AG36" t="s">
        <v>3257</v>
      </c>
      <c r="AH36">
        <v>166</v>
      </c>
      <c r="AI36" t="s">
        <v>3730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3143</v>
      </c>
      <c r="C37" t="s">
        <v>3185</v>
      </c>
      <c r="D37" t="s">
        <v>3731</v>
      </c>
      <c r="E37" t="s">
        <v>190</v>
      </c>
      <c r="F37" t="s">
        <v>3732</v>
      </c>
      <c r="G37" t="s">
        <v>3733</v>
      </c>
      <c r="H37" t="s">
        <v>2</v>
      </c>
      <c r="I37" t="s">
        <v>3123</v>
      </c>
      <c r="J37" t="s">
        <v>3490</v>
      </c>
      <c r="K37" t="s">
        <v>3125</v>
      </c>
      <c r="L37" t="s">
        <v>3126</v>
      </c>
      <c r="M37" t="s">
        <v>3734</v>
      </c>
      <c r="N37" t="s">
        <v>3735</v>
      </c>
      <c r="O37" t="s">
        <v>3736</v>
      </c>
      <c r="P37" t="s">
        <v>3737</v>
      </c>
      <c r="Q37" t="s">
        <v>3738</v>
      </c>
      <c r="R37">
        <v>30398</v>
      </c>
      <c r="S37" t="s">
        <v>3155</v>
      </c>
      <c r="T37">
        <v>5471455017359370</v>
      </c>
      <c r="U37">
        <v>235</v>
      </c>
      <c r="V37">
        <v>43556</v>
      </c>
      <c r="W37" t="s">
        <v>3739</v>
      </c>
      <c r="X37" t="s">
        <v>3740</v>
      </c>
      <c r="Y37" t="s">
        <v>3194</v>
      </c>
      <c r="Z37" t="s">
        <v>3741</v>
      </c>
      <c r="AA37" t="s">
        <v>3742</v>
      </c>
      <c r="AB37" t="s">
        <v>3743</v>
      </c>
      <c r="AC37" t="s">
        <v>3744</v>
      </c>
      <c r="AD37" t="s">
        <v>3276</v>
      </c>
      <c r="AE37">
        <v>123</v>
      </c>
      <c r="AF37">
        <v>55.9</v>
      </c>
      <c r="AG37" t="s">
        <v>3294</v>
      </c>
      <c r="AH37">
        <v>173</v>
      </c>
      <c r="AI37" t="s">
        <v>3745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3143</v>
      </c>
      <c r="C38" t="s">
        <v>3185</v>
      </c>
      <c r="D38" t="s">
        <v>3746</v>
      </c>
      <c r="E38" t="s">
        <v>416</v>
      </c>
      <c r="F38" t="s">
        <v>3747</v>
      </c>
      <c r="G38" t="s">
        <v>3748</v>
      </c>
      <c r="H38" t="s">
        <v>38</v>
      </c>
      <c r="I38" t="s">
        <v>3123</v>
      </c>
      <c r="J38" t="s">
        <v>60</v>
      </c>
      <c r="K38" t="s">
        <v>3125</v>
      </c>
      <c r="L38" t="s">
        <v>3126</v>
      </c>
      <c r="M38" t="s">
        <v>3749</v>
      </c>
      <c r="N38" t="s">
        <v>3750</v>
      </c>
      <c r="O38" t="s">
        <v>3751</v>
      </c>
      <c r="P38" t="s">
        <v>3752</v>
      </c>
      <c r="Q38" t="s">
        <v>3753</v>
      </c>
      <c r="R38">
        <v>30670</v>
      </c>
      <c r="S38" t="s">
        <v>3132</v>
      </c>
      <c r="T38">
        <v>4929959369895440</v>
      </c>
      <c r="U38">
        <v>44</v>
      </c>
      <c r="V38">
        <v>42309</v>
      </c>
      <c r="W38" t="s">
        <v>3754</v>
      </c>
      <c r="X38" t="s">
        <v>3755</v>
      </c>
      <c r="Y38" t="s">
        <v>3158</v>
      </c>
      <c r="Z38" t="s">
        <v>3756</v>
      </c>
      <c r="AA38" t="s">
        <v>3160</v>
      </c>
      <c r="AB38" t="s">
        <v>3757</v>
      </c>
      <c r="AC38" t="s">
        <v>3758</v>
      </c>
      <c r="AD38" t="s">
        <v>3220</v>
      </c>
      <c r="AE38">
        <v>146.69999999999999</v>
      </c>
      <c r="AF38">
        <v>66.7</v>
      </c>
      <c r="AG38" t="s">
        <v>3294</v>
      </c>
      <c r="AH38">
        <v>173</v>
      </c>
      <c r="AI38" t="s">
        <v>3759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3117</v>
      </c>
      <c r="C39" t="s">
        <v>3118</v>
      </c>
      <c r="D39" t="s">
        <v>3760</v>
      </c>
      <c r="E39" t="s">
        <v>3279</v>
      </c>
      <c r="F39" t="s">
        <v>3761</v>
      </c>
      <c r="G39" t="s">
        <v>3762</v>
      </c>
      <c r="H39" t="s">
        <v>3763</v>
      </c>
      <c r="I39" t="s">
        <v>3123</v>
      </c>
      <c r="J39" t="s">
        <v>3764</v>
      </c>
      <c r="K39" t="s">
        <v>3125</v>
      </c>
      <c r="L39" t="s">
        <v>3126</v>
      </c>
      <c r="M39" t="s">
        <v>3765</v>
      </c>
      <c r="N39" t="s">
        <v>3766</v>
      </c>
      <c r="O39" t="s">
        <v>3767</v>
      </c>
      <c r="P39" t="s">
        <v>3768</v>
      </c>
      <c r="Q39" t="s">
        <v>3769</v>
      </c>
      <c r="R39">
        <v>14909</v>
      </c>
      <c r="S39" t="s">
        <v>3132</v>
      </c>
      <c r="T39">
        <v>4539726755144060</v>
      </c>
      <c r="U39">
        <v>508</v>
      </c>
      <c r="V39">
        <v>43435</v>
      </c>
      <c r="W39" t="s">
        <v>3770</v>
      </c>
      <c r="X39" t="s">
        <v>3771</v>
      </c>
      <c r="Y39" t="s">
        <v>3135</v>
      </c>
      <c r="Z39" t="s">
        <v>3772</v>
      </c>
      <c r="AA39" t="s">
        <v>3773</v>
      </c>
      <c r="AB39" t="s">
        <v>3774</v>
      </c>
      <c r="AC39" t="s">
        <v>3775</v>
      </c>
      <c r="AD39" t="s">
        <v>3220</v>
      </c>
      <c r="AE39">
        <v>143.4</v>
      </c>
      <c r="AF39">
        <v>65.2</v>
      </c>
      <c r="AG39" t="s">
        <v>3312</v>
      </c>
      <c r="AH39">
        <v>183</v>
      </c>
      <c r="AI39" t="s">
        <v>3776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3143</v>
      </c>
      <c r="C40" t="s">
        <v>3185</v>
      </c>
      <c r="D40" t="s">
        <v>3777</v>
      </c>
      <c r="E40" t="s">
        <v>3778</v>
      </c>
      <c r="F40" t="s">
        <v>3779</v>
      </c>
      <c r="G40" t="s">
        <v>3780</v>
      </c>
      <c r="H40" t="s">
        <v>2</v>
      </c>
      <c r="I40" t="s">
        <v>3123</v>
      </c>
      <c r="J40" t="s">
        <v>3781</v>
      </c>
      <c r="K40" t="s">
        <v>3125</v>
      </c>
      <c r="L40" t="s">
        <v>3126</v>
      </c>
      <c r="M40" t="s">
        <v>3782</v>
      </c>
      <c r="N40" t="s">
        <v>3783</v>
      </c>
      <c r="O40" t="s">
        <v>3784</v>
      </c>
      <c r="P40" t="s">
        <v>3785</v>
      </c>
      <c r="Q40" t="s">
        <v>3786</v>
      </c>
      <c r="R40">
        <v>24336</v>
      </c>
      <c r="S40" t="s">
        <v>3132</v>
      </c>
      <c r="T40">
        <v>4539709392003340</v>
      </c>
      <c r="U40">
        <v>813</v>
      </c>
      <c r="V40">
        <v>42491</v>
      </c>
      <c r="W40" t="s">
        <v>3787</v>
      </c>
      <c r="X40" t="s">
        <v>3788</v>
      </c>
      <c r="Y40" t="s">
        <v>3289</v>
      </c>
      <c r="Z40" t="s">
        <v>3789</v>
      </c>
      <c r="AA40" t="s">
        <v>3790</v>
      </c>
      <c r="AB40" t="s">
        <v>3791</v>
      </c>
      <c r="AC40" t="s">
        <v>3792</v>
      </c>
      <c r="AD40" t="s">
        <v>3220</v>
      </c>
      <c r="AE40">
        <v>155.30000000000001</v>
      </c>
      <c r="AF40">
        <v>70.599999999999994</v>
      </c>
      <c r="AG40" t="s">
        <v>3257</v>
      </c>
      <c r="AH40">
        <v>166</v>
      </c>
      <c r="AI40" t="s">
        <v>3793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3143</v>
      </c>
      <c r="C41" t="s">
        <v>3144</v>
      </c>
      <c r="D41" t="s">
        <v>3794</v>
      </c>
      <c r="E41" t="s">
        <v>3120</v>
      </c>
      <c r="F41" t="s">
        <v>3795</v>
      </c>
      <c r="G41" t="s">
        <v>3796</v>
      </c>
      <c r="H41" t="s">
        <v>38</v>
      </c>
      <c r="I41" t="s">
        <v>3123</v>
      </c>
      <c r="J41" t="s">
        <v>3797</v>
      </c>
      <c r="K41" t="s">
        <v>3125</v>
      </c>
      <c r="L41" t="s">
        <v>3126</v>
      </c>
      <c r="M41" t="s">
        <v>3798</v>
      </c>
      <c r="N41" t="s">
        <v>3799</v>
      </c>
      <c r="O41" t="s">
        <v>3800</v>
      </c>
      <c r="P41" t="s">
        <v>3801</v>
      </c>
      <c r="Q41" t="s">
        <v>3802</v>
      </c>
      <c r="R41">
        <v>18331</v>
      </c>
      <c r="S41" t="s">
        <v>3155</v>
      </c>
      <c r="T41">
        <v>5352392465776140</v>
      </c>
      <c r="U41">
        <v>130</v>
      </c>
      <c r="V41">
        <v>42767</v>
      </c>
      <c r="W41" t="s">
        <v>3803</v>
      </c>
      <c r="X41" t="s">
        <v>3804</v>
      </c>
      <c r="Y41" t="s">
        <v>3135</v>
      </c>
      <c r="Z41" t="s">
        <v>3805</v>
      </c>
      <c r="AA41" t="s">
        <v>3806</v>
      </c>
      <c r="AB41" t="s">
        <v>3807</v>
      </c>
      <c r="AC41" t="s">
        <v>3808</v>
      </c>
      <c r="AD41" t="s">
        <v>3276</v>
      </c>
      <c r="AE41">
        <v>216.5</v>
      </c>
      <c r="AF41">
        <v>98.4</v>
      </c>
      <c r="AG41" t="s">
        <v>3330</v>
      </c>
      <c r="AH41">
        <v>169</v>
      </c>
      <c r="AI41" t="s">
        <v>3809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3143</v>
      </c>
      <c r="C42" t="s">
        <v>3144</v>
      </c>
      <c r="D42" t="s">
        <v>3537</v>
      </c>
      <c r="E42" t="s">
        <v>3778</v>
      </c>
      <c r="F42" t="s">
        <v>3810</v>
      </c>
      <c r="G42" t="s">
        <v>3811</v>
      </c>
      <c r="H42" t="s">
        <v>3812</v>
      </c>
      <c r="I42" t="s">
        <v>3123</v>
      </c>
      <c r="J42" t="s">
        <v>3813</v>
      </c>
      <c r="K42" t="s">
        <v>3125</v>
      </c>
      <c r="L42" t="s">
        <v>3126</v>
      </c>
      <c r="M42" t="s">
        <v>3814</v>
      </c>
      <c r="N42" t="s">
        <v>3815</v>
      </c>
      <c r="O42" t="s">
        <v>3816</v>
      </c>
      <c r="P42" t="s">
        <v>3817</v>
      </c>
      <c r="Q42" t="s">
        <v>3818</v>
      </c>
      <c r="R42">
        <v>30819</v>
      </c>
      <c r="S42" t="s">
        <v>3132</v>
      </c>
      <c r="T42">
        <v>4556820375737440</v>
      </c>
      <c r="U42">
        <v>382</v>
      </c>
      <c r="V42">
        <v>42948</v>
      </c>
      <c r="W42" t="s">
        <v>3819</v>
      </c>
      <c r="X42" t="s">
        <v>3820</v>
      </c>
      <c r="Y42" t="s">
        <v>3344</v>
      </c>
      <c r="Z42" t="s">
        <v>3821</v>
      </c>
      <c r="AA42" t="s">
        <v>3822</v>
      </c>
      <c r="AB42" t="s">
        <v>3823</v>
      </c>
      <c r="AC42" t="s">
        <v>3824</v>
      </c>
      <c r="AD42" t="s">
        <v>3276</v>
      </c>
      <c r="AE42">
        <v>205.5</v>
      </c>
      <c r="AF42">
        <v>93.4</v>
      </c>
      <c r="AG42" t="s">
        <v>3221</v>
      </c>
      <c r="AH42">
        <v>168</v>
      </c>
      <c r="AI42" t="s">
        <v>3825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3117</v>
      </c>
      <c r="C43" t="s">
        <v>3118</v>
      </c>
      <c r="D43" t="s">
        <v>3826</v>
      </c>
      <c r="E43" t="s">
        <v>221</v>
      </c>
      <c r="F43" t="s">
        <v>3616</v>
      </c>
      <c r="G43" t="s">
        <v>3827</v>
      </c>
      <c r="H43" t="s">
        <v>3828</v>
      </c>
      <c r="I43" t="s">
        <v>3123</v>
      </c>
      <c r="J43" t="s">
        <v>3829</v>
      </c>
      <c r="K43" t="s">
        <v>3125</v>
      </c>
      <c r="L43" t="s">
        <v>3126</v>
      </c>
      <c r="M43" t="s">
        <v>3830</v>
      </c>
      <c r="N43" t="s">
        <v>3831</v>
      </c>
      <c r="O43" t="s">
        <v>3832</v>
      </c>
      <c r="P43" t="s">
        <v>3833</v>
      </c>
      <c r="Q43" t="s">
        <v>3834</v>
      </c>
      <c r="R43">
        <v>23701</v>
      </c>
      <c r="S43" t="s">
        <v>3132</v>
      </c>
      <c r="T43">
        <v>4916378851120780</v>
      </c>
      <c r="U43">
        <v>767</v>
      </c>
      <c r="V43">
        <v>42767</v>
      </c>
      <c r="W43" t="s">
        <v>3835</v>
      </c>
      <c r="X43" t="s">
        <v>3836</v>
      </c>
      <c r="Y43" t="s">
        <v>3344</v>
      </c>
      <c r="Z43" t="s">
        <v>3837</v>
      </c>
      <c r="AA43" t="s">
        <v>3838</v>
      </c>
      <c r="AB43" t="s">
        <v>3839</v>
      </c>
      <c r="AC43" t="s">
        <v>3840</v>
      </c>
      <c r="AD43" t="s">
        <v>3256</v>
      </c>
      <c r="AE43">
        <v>232.1</v>
      </c>
      <c r="AF43">
        <v>105.5</v>
      </c>
      <c r="AG43" t="s">
        <v>3566</v>
      </c>
      <c r="AH43">
        <v>180</v>
      </c>
      <c r="AI43" t="s">
        <v>3841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3117</v>
      </c>
      <c r="C44" t="s">
        <v>3118</v>
      </c>
      <c r="D44" t="s">
        <v>3842</v>
      </c>
      <c r="E44" t="s">
        <v>420</v>
      </c>
      <c r="F44" t="s">
        <v>3843</v>
      </c>
      <c r="G44" t="s">
        <v>3844</v>
      </c>
      <c r="H44" t="s">
        <v>3845</v>
      </c>
      <c r="I44" t="s">
        <v>3123</v>
      </c>
      <c r="J44" t="s">
        <v>3846</v>
      </c>
      <c r="K44" t="s">
        <v>3125</v>
      </c>
      <c r="L44" t="s">
        <v>3126</v>
      </c>
      <c r="M44" t="s">
        <v>3847</v>
      </c>
      <c r="N44" t="s">
        <v>3848</v>
      </c>
      <c r="O44" t="s">
        <v>3849</v>
      </c>
      <c r="P44" t="s">
        <v>3850</v>
      </c>
      <c r="Q44" t="s">
        <v>3453</v>
      </c>
      <c r="R44">
        <v>33962</v>
      </c>
      <c r="S44" t="s">
        <v>3155</v>
      </c>
      <c r="T44">
        <v>5350430634550290</v>
      </c>
      <c r="U44">
        <v>399</v>
      </c>
      <c r="V44">
        <v>42795</v>
      </c>
      <c r="W44" t="s">
        <v>3851</v>
      </c>
      <c r="X44" t="s">
        <v>3852</v>
      </c>
      <c r="Y44" t="s">
        <v>3135</v>
      </c>
      <c r="Z44" t="s">
        <v>3853</v>
      </c>
      <c r="AA44" t="s">
        <v>3854</v>
      </c>
      <c r="AB44" t="s">
        <v>3855</v>
      </c>
      <c r="AC44" t="s">
        <v>3856</v>
      </c>
      <c r="AD44" t="s">
        <v>3220</v>
      </c>
      <c r="AE44">
        <v>171.6</v>
      </c>
      <c r="AF44">
        <v>78</v>
      </c>
      <c r="AG44" t="s">
        <v>3312</v>
      </c>
      <c r="AH44">
        <v>182</v>
      </c>
      <c r="AI44" t="s">
        <v>3857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3143</v>
      </c>
      <c r="C45" t="s">
        <v>3185</v>
      </c>
      <c r="D45" t="s">
        <v>3858</v>
      </c>
      <c r="E45" t="s">
        <v>3778</v>
      </c>
      <c r="F45" t="s">
        <v>3859</v>
      </c>
      <c r="G45" t="s">
        <v>3860</v>
      </c>
      <c r="H45" t="s">
        <v>3861</v>
      </c>
      <c r="I45" t="s">
        <v>3123</v>
      </c>
      <c r="J45" t="s">
        <v>3862</v>
      </c>
      <c r="K45" t="s">
        <v>3125</v>
      </c>
      <c r="L45" t="s">
        <v>3126</v>
      </c>
      <c r="M45" t="s">
        <v>3863</v>
      </c>
      <c r="N45" t="s">
        <v>3864</v>
      </c>
      <c r="O45" t="s">
        <v>3865</v>
      </c>
      <c r="P45" t="s">
        <v>3866</v>
      </c>
      <c r="Q45" t="s">
        <v>3867</v>
      </c>
      <c r="R45">
        <v>22985</v>
      </c>
      <c r="S45" t="s">
        <v>3132</v>
      </c>
      <c r="T45">
        <v>4539916065181950</v>
      </c>
      <c r="U45">
        <v>717</v>
      </c>
      <c r="V45">
        <v>43101</v>
      </c>
      <c r="W45" t="s">
        <v>3868</v>
      </c>
      <c r="X45" t="s">
        <v>3869</v>
      </c>
      <c r="Y45" t="s">
        <v>3446</v>
      </c>
      <c r="Z45" t="s">
        <v>3870</v>
      </c>
      <c r="AA45" t="s">
        <v>3871</v>
      </c>
      <c r="AB45" t="s">
        <v>3872</v>
      </c>
      <c r="AC45" t="s">
        <v>3873</v>
      </c>
      <c r="AD45" t="s">
        <v>3220</v>
      </c>
      <c r="AE45">
        <v>171.8</v>
      </c>
      <c r="AF45">
        <v>78.099999999999994</v>
      </c>
      <c r="AG45" t="s">
        <v>3202</v>
      </c>
      <c r="AH45">
        <v>158</v>
      </c>
      <c r="AI45" t="s">
        <v>3874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3117</v>
      </c>
      <c r="C46" t="s">
        <v>3118</v>
      </c>
      <c r="D46" t="s">
        <v>3875</v>
      </c>
      <c r="E46" t="s">
        <v>3778</v>
      </c>
      <c r="F46" t="s">
        <v>3876</v>
      </c>
      <c r="G46" t="s">
        <v>3877</v>
      </c>
      <c r="H46" t="s">
        <v>2</v>
      </c>
      <c r="I46" t="s">
        <v>3123</v>
      </c>
      <c r="J46" t="s">
        <v>3878</v>
      </c>
      <c r="K46" t="s">
        <v>3125</v>
      </c>
      <c r="L46" t="s">
        <v>3126</v>
      </c>
      <c r="M46" t="s">
        <v>3879</v>
      </c>
      <c r="N46" t="s">
        <v>3880</v>
      </c>
      <c r="O46" t="s">
        <v>3881</v>
      </c>
      <c r="P46" t="s">
        <v>3882</v>
      </c>
      <c r="Q46" t="s">
        <v>3883</v>
      </c>
      <c r="R46">
        <v>31714</v>
      </c>
      <c r="S46" t="s">
        <v>3155</v>
      </c>
      <c r="T46">
        <v>5455463670396130</v>
      </c>
      <c r="U46">
        <v>263</v>
      </c>
      <c r="V46">
        <v>43374</v>
      </c>
      <c r="W46" t="s">
        <v>3884</v>
      </c>
      <c r="X46" t="s">
        <v>3885</v>
      </c>
      <c r="Y46" t="s">
        <v>3135</v>
      </c>
      <c r="Z46" t="s">
        <v>3886</v>
      </c>
      <c r="AA46" t="s">
        <v>3346</v>
      </c>
      <c r="AB46" t="s">
        <v>3887</v>
      </c>
      <c r="AC46" t="s">
        <v>3888</v>
      </c>
      <c r="AD46" t="s">
        <v>3276</v>
      </c>
      <c r="AE46">
        <v>134.19999999999999</v>
      </c>
      <c r="AF46">
        <v>61</v>
      </c>
      <c r="AG46" t="s">
        <v>3183</v>
      </c>
      <c r="AH46">
        <v>175</v>
      </c>
      <c r="AI46" t="s">
        <v>3889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3117</v>
      </c>
      <c r="C47" t="s">
        <v>3118</v>
      </c>
      <c r="D47" t="s">
        <v>3664</v>
      </c>
      <c r="E47" t="s">
        <v>190</v>
      </c>
      <c r="F47" t="s">
        <v>3890</v>
      </c>
      <c r="G47" t="s">
        <v>3891</v>
      </c>
      <c r="H47" t="s">
        <v>3892</v>
      </c>
      <c r="I47" t="s">
        <v>3123</v>
      </c>
      <c r="J47" t="s">
        <v>3893</v>
      </c>
      <c r="K47" t="s">
        <v>3125</v>
      </c>
      <c r="L47" t="s">
        <v>3126</v>
      </c>
      <c r="M47" t="s">
        <v>3894</v>
      </c>
      <c r="N47" t="s">
        <v>3895</v>
      </c>
      <c r="O47" t="s">
        <v>3896</v>
      </c>
      <c r="P47" t="s">
        <v>3897</v>
      </c>
      <c r="Q47" t="s">
        <v>3898</v>
      </c>
      <c r="R47">
        <v>33486</v>
      </c>
      <c r="S47" t="s">
        <v>3132</v>
      </c>
      <c r="T47">
        <v>4929162087842670</v>
      </c>
      <c r="U47">
        <v>507</v>
      </c>
      <c r="V47">
        <v>42583</v>
      </c>
      <c r="W47" t="s">
        <v>3899</v>
      </c>
      <c r="X47" t="s">
        <v>3900</v>
      </c>
      <c r="Y47" t="s">
        <v>3344</v>
      </c>
      <c r="Z47" t="s">
        <v>3901</v>
      </c>
      <c r="AA47" t="s">
        <v>3902</v>
      </c>
      <c r="AB47" t="s">
        <v>3903</v>
      </c>
      <c r="AC47" t="s">
        <v>3904</v>
      </c>
      <c r="AD47" t="s">
        <v>3276</v>
      </c>
      <c r="AE47">
        <v>216.7</v>
      </c>
      <c r="AF47">
        <v>98.5</v>
      </c>
      <c r="AG47" t="s">
        <v>3141</v>
      </c>
      <c r="AH47">
        <v>185</v>
      </c>
      <c r="AI47" t="s">
        <v>3905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3117</v>
      </c>
      <c r="C48" t="s">
        <v>3118</v>
      </c>
      <c r="D48" t="s">
        <v>3906</v>
      </c>
      <c r="E48" t="s">
        <v>417</v>
      </c>
      <c r="F48" t="s">
        <v>3907</v>
      </c>
      <c r="G48" t="s">
        <v>3908</v>
      </c>
      <c r="H48" t="s">
        <v>67</v>
      </c>
      <c r="I48" t="s">
        <v>3123</v>
      </c>
      <c r="J48" t="s">
        <v>3909</v>
      </c>
      <c r="K48" t="s">
        <v>3125</v>
      </c>
      <c r="L48" t="s">
        <v>3126</v>
      </c>
      <c r="M48" t="s">
        <v>3910</v>
      </c>
      <c r="N48" t="s">
        <v>3911</v>
      </c>
      <c r="O48" t="s">
        <v>3912</v>
      </c>
      <c r="P48" t="s">
        <v>3913</v>
      </c>
      <c r="Q48" t="s">
        <v>3914</v>
      </c>
      <c r="R48">
        <v>31731</v>
      </c>
      <c r="S48" t="s">
        <v>3132</v>
      </c>
      <c r="T48">
        <v>4539032742642340</v>
      </c>
      <c r="U48">
        <v>437</v>
      </c>
      <c r="V48">
        <v>42948</v>
      </c>
      <c r="W48" t="s">
        <v>3915</v>
      </c>
      <c r="X48" t="s">
        <v>3916</v>
      </c>
      <c r="Y48" t="s">
        <v>3135</v>
      </c>
      <c r="Z48" t="s">
        <v>3917</v>
      </c>
      <c r="AA48" t="s">
        <v>3918</v>
      </c>
      <c r="AB48" t="s">
        <v>3919</v>
      </c>
      <c r="AC48" t="s">
        <v>3920</v>
      </c>
      <c r="AD48" t="s">
        <v>3182</v>
      </c>
      <c r="AE48">
        <v>222.2</v>
      </c>
      <c r="AF48">
        <v>101</v>
      </c>
      <c r="AG48" t="s">
        <v>3330</v>
      </c>
      <c r="AH48">
        <v>169</v>
      </c>
      <c r="AI48" t="s">
        <v>3921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3143</v>
      </c>
      <c r="C49" t="s">
        <v>3144</v>
      </c>
      <c r="D49" t="s">
        <v>3922</v>
      </c>
      <c r="E49" t="s">
        <v>3120</v>
      </c>
      <c r="F49" t="s">
        <v>3323</v>
      </c>
      <c r="G49" t="s">
        <v>3923</v>
      </c>
      <c r="H49" t="s">
        <v>3368</v>
      </c>
      <c r="I49" t="s">
        <v>3123</v>
      </c>
      <c r="J49" t="s">
        <v>3924</v>
      </c>
      <c r="K49" t="s">
        <v>3125</v>
      </c>
      <c r="L49" t="s">
        <v>3126</v>
      </c>
      <c r="M49" t="s">
        <v>3925</v>
      </c>
      <c r="N49" t="s">
        <v>3926</v>
      </c>
      <c r="O49" t="s">
        <v>3927</v>
      </c>
      <c r="P49" t="s">
        <v>3928</v>
      </c>
      <c r="Q49" t="s">
        <v>3569</v>
      </c>
      <c r="R49">
        <v>34046</v>
      </c>
      <c r="S49" t="s">
        <v>3132</v>
      </c>
      <c r="T49">
        <v>4556109265568130</v>
      </c>
      <c r="U49">
        <v>804</v>
      </c>
      <c r="V49">
        <v>42917</v>
      </c>
      <c r="W49" t="s">
        <v>3929</v>
      </c>
      <c r="X49" t="s">
        <v>3930</v>
      </c>
      <c r="Y49" t="s">
        <v>3135</v>
      </c>
      <c r="Z49" t="s">
        <v>3931</v>
      </c>
      <c r="AA49" t="s">
        <v>3932</v>
      </c>
      <c r="AB49" t="s">
        <v>3933</v>
      </c>
      <c r="AC49" t="s">
        <v>3934</v>
      </c>
      <c r="AD49" t="s">
        <v>3276</v>
      </c>
      <c r="AE49">
        <v>196.2</v>
      </c>
      <c r="AF49">
        <v>89.2</v>
      </c>
      <c r="AG49" t="s">
        <v>3631</v>
      </c>
      <c r="AH49">
        <v>161</v>
      </c>
      <c r="AI49" t="s">
        <v>3935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3143</v>
      </c>
      <c r="C50" t="s">
        <v>3185</v>
      </c>
      <c r="D50" t="s">
        <v>3936</v>
      </c>
      <c r="E50" t="s">
        <v>3487</v>
      </c>
      <c r="F50" t="s">
        <v>3937</v>
      </c>
      <c r="G50" t="s">
        <v>3938</v>
      </c>
      <c r="H50" t="s">
        <v>3299</v>
      </c>
      <c r="I50" t="s">
        <v>3123</v>
      </c>
      <c r="J50" t="s">
        <v>3300</v>
      </c>
      <c r="K50" t="s">
        <v>3125</v>
      </c>
      <c r="L50" t="s">
        <v>3126</v>
      </c>
      <c r="M50" t="s">
        <v>3939</v>
      </c>
      <c r="N50" t="s">
        <v>3940</v>
      </c>
      <c r="O50" t="s">
        <v>3941</v>
      </c>
      <c r="P50" t="s">
        <v>3942</v>
      </c>
      <c r="Q50" t="s">
        <v>3943</v>
      </c>
      <c r="R50">
        <v>29448</v>
      </c>
      <c r="S50" t="s">
        <v>3155</v>
      </c>
      <c r="T50">
        <v>5137509452272370</v>
      </c>
      <c r="U50">
        <v>558</v>
      </c>
      <c r="V50">
        <v>42583</v>
      </c>
      <c r="W50" t="s">
        <v>3944</v>
      </c>
      <c r="X50" t="s">
        <v>3945</v>
      </c>
      <c r="Y50" t="s">
        <v>3197</v>
      </c>
      <c r="Z50" t="s">
        <v>3946</v>
      </c>
      <c r="AA50" t="s">
        <v>3947</v>
      </c>
      <c r="AB50" t="s">
        <v>3948</v>
      </c>
      <c r="AC50" t="s">
        <v>3949</v>
      </c>
      <c r="AD50" t="s">
        <v>3182</v>
      </c>
      <c r="AE50">
        <v>192.1</v>
      </c>
      <c r="AF50">
        <v>87.3</v>
      </c>
      <c r="AG50" t="s">
        <v>3183</v>
      </c>
      <c r="AH50">
        <v>174</v>
      </c>
      <c r="AI50" t="s">
        <v>3950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3117</v>
      </c>
      <c r="C51" t="s">
        <v>3118</v>
      </c>
      <c r="D51" t="s">
        <v>3951</v>
      </c>
      <c r="E51" t="s">
        <v>3487</v>
      </c>
      <c r="F51" t="s">
        <v>3167</v>
      </c>
      <c r="G51" t="s">
        <v>3952</v>
      </c>
      <c r="H51" t="s">
        <v>3263</v>
      </c>
      <c r="I51" t="s">
        <v>3123</v>
      </c>
      <c r="J51" t="s">
        <v>3264</v>
      </c>
      <c r="K51" t="s">
        <v>3125</v>
      </c>
      <c r="L51" t="s">
        <v>3126</v>
      </c>
      <c r="M51" t="s">
        <v>3953</v>
      </c>
      <c r="N51" t="s">
        <v>3954</v>
      </c>
      <c r="O51" t="s">
        <v>3955</v>
      </c>
      <c r="P51" t="s">
        <v>3956</v>
      </c>
      <c r="Q51" t="s">
        <v>3957</v>
      </c>
      <c r="R51">
        <v>19736</v>
      </c>
      <c r="S51" t="s">
        <v>3132</v>
      </c>
      <c r="T51">
        <v>4929168028258690</v>
      </c>
      <c r="U51">
        <v>347</v>
      </c>
      <c r="V51">
        <v>43800</v>
      </c>
      <c r="W51" t="s">
        <v>3958</v>
      </c>
      <c r="X51" t="s">
        <v>3959</v>
      </c>
      <c r="Y51" t="s">
        <v>3135</v>
      </c>
      <c r="Z51" t="s">
        <v>3960</v>
      </c>
      <c r="AA51" t="s">
        <v>3961</v>
      </c>
      <c r="AB51" t="s">
        <v>3962</v>
      </c>
      <c r="AC51" t="s">
        <v>3963</v>
      </c>
      <c r="AD51" t="s">
        <v>3220</v>
      </c>
      <c r="AE51">
        <v>165</v>
      </c>
      <c r="AF51">
        <v>75</v>
      </c>
      <c r="AG51" t="s">
        <v>3330</v>
      </c>
      <c r="AH51">
        <v>170</v>
      </c>
      <c r="AI51" t="s">
        <v>3964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3143</v>
      </c>
      <c r="C52" t="s">
        <v>3185</v>
      </c>
      <c r="D52" t="s">
        <v>3965</v>
      </c>
      <c r="E52" t="s">
        <v>3260</v>
      </c>
      <c r="F52" t="s">
        <v>3966</v>
      </c>
      <c r="G52" t="s">
        <v>3967</v>
      </c>
      <c r="H52" t="s">
        <v>38</v>
      </c>
      <c r="I52" t="s">
        <v>3123</v>
      </c>
      <c r="J52" t="s">
        <v>3968</v>
      </c>
      <c r="K52" t="s">
        <v>3125</v>
      </c>
      <c r="L52" t="s">
        <v>3126</v>
      </c>
      <c r="M52" t="s">
        <v>3969</v>
      </c>
      <c r="N52" t="s">
        <v>3970</v>
      </c>
      <c r="O52" t="s">
        <v>3971</v>
      </c>
      <c r="P52" t="s">
        <v>3972</v>
      </c>
      <c r="Q52" t="s">
        <v>3973</v>
      </c>
      <c r="R52">
        <v>21833</v>
      </c>
      <c r="S52" t="s">
        <v>3155</v>
      </c>
      <c r="T52">
        <v>5166193014292080</v>
      </c>
      <c r="U52">
        <v>506</v>
      </c>
      <c r="V52">
        <v>42856</v>
      </c>
      <c r="W52" t="s">
        <v>3974</v>
      </c>
      <c r="X52" t="s">
        <v>3975</v>
      </c>
      <c r="Y52" t="s">
        <v>3197</v>
      </c>
      <c r="Z52" t="s">
        <v>3976</v>
      </c>
      <c r="AA52" t="s">
        <v>3977</v>
      </c>
      <c r="AB52" t="s">
        <v>3978</v>
      </c>
      <c r="AC52" t="s">
        <v>3979</v>
      </c>
      <c r="AD52" t="s">
        <v>3163</v>
      </c>
      <c r="AE52">
        <v>193.2</v>
      </c>
      <c r="AF52">
        <v>87.8</v>
      </c>
      <c r="AG52" t="s">
        <v>3164</v>
      </c>
      <c r="AH52">
        <v>155</v>
      </c>
      <c r="AI52" t="s">
        <v>3980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3143</v>
      </c>
      <c r="C53" t="s">
        <v>3144</v>
      </c>
      <c r="D53" t="s">
        <v>3981</v>
      </c>
      <c r="E53" t="s">
        <v>414</v>
      </c>
      <c r="F53" t="s">
        <v>3982</v>
      </c>
      <c r="G53" t="s">
        <v>3983</v>
      </c>
      <c r="H53" t="s">
        <v>3984</v>
      </c>
      <c r="I53" t="s">
        <v>3123</v>
      </c>
      <c r="J53" t="s">
        <v>3985</v>
      </c>
      <c r="K53" t="s">
        <v>3125</v>
      </c>
      <c r="L53" t="s">
        <v>3126</v>
      </c>
      <c r="M53" t="s">
        <v>3986</v>
      </c>
      <c r="N53" t="s">
        <v>3987</v>
      </c>
      <c r="O53" t="s">
        <v>3988</v>
      </c>
      <c r="P53" t="s">
        <v>3989</v>
      </c>
      <c r="Q53" t="s">
        <v>3990</v>
      </c>
      <c r="R53">
        <v>33446</v>
      </c>
      <c r="S53" t="s">
        <v>3132</v>
      </c>
      <c r="T53">
        <v>4539015127402320</v>
      </c>
      <c r="U53">
        <v>907</v>
      </c>
      <c r="V53">
        <v>42705</v>
      </c>
      <c r="W53" t="s">
        <v>3991</v>
      </c>
      <c r="X53" t="s">
        <v>3992</v>
      </c>
      <c r="Y53" t="s">
        <v>3158</v>
      </c>
      <c r="Z53" t="s">
        <v>3993</v>
      </c>
      <c r="AA53" t="s">
        <v>3994</v>
      </c>
      <c r="AB53" t="s">
        <v>3995</v>
      </c>
      <c r="AC53" t="s">
        <v>3996</v>
      </c>
      <c r="AD53" t="s">
        <v>3182</v>
      </c>
      <c r="AE53">
        <v>149.19999999999999</v>
      </c>
      <c r="AF53">
        <v>67.8</v>
      </c>
      <c r="AG53" t="s">
        <v>3631</v>
      </c>
      <c r="AH53">
        <v>159</v>
      </c>
      <c r="AI53" t="s">
        <v>3997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3143</v>
      </c>
      <c r="C54" t="s">
        <v>3144</v>
      </c>
      <c r="D54" t="s">
        <v>3998</v>
      </c>
      <c r="E54" t="s">
        <v>3224</v>
      </c>
      <c r="F54" t="s">
        <v>3121</v>
      </c>
      <c r="G54" t="s">
        <v>3999</v>
      </c>
      <c r="H54" t="s">
        <v>38</v>
      </c>
      <c r="I54" t="s">
        <v>3123</v>
      </c>
      <c r="J54" t="s">
        <v>3968</v>
      </c>
      <c r="K54" t="s">
        <v>3125</v>
      </c>
      <c r="L54" t="s">
        <v>3126</v>
      </c>
      <c r="M54" t="s">
        <v>4000</v>
      </c>
      <c r="N54" t="s">
        <v>4001</v>
      </c>
      <c r="O54" t="s">
        <v>4002</v>
      </c>
      <c r="P54" t="s">
        <v>4003</v>
      </c>
      <c r="Q54" t="s">
        <v>3411</v>
      </c>
      <c r="R54">
        <v>27528</v>
      </c>
      <c r="S54" t="s">
        <v>3132</v>
      </c>
      <c r="T54">
        <v>4929480487490910</v>
      </c>
      <c r="U54">
        <v>970</v>
      </c>
      <c r="V54">
        <v>42675</v>
      </c>
      <c r="W54" t="s">
        <v>4004</v>
      </c>
      <c r="X54" t="s">
        <v>4005</v>
      </c>
      <c r="Y54" t="s">
        <v>3135</v>
      </c>
      <c r="Z54" t="s">
        <v>4006</v>
      </c>
      <c r="AA54" t="s">
        <v>4007</v>
      </c>
      <c r="AB54" t="s">
        <v>4008</v>
      </c>
      <c r="AC54" t="s">
        <v>4009</v>
      </c>
      <c r="AD54" t="s">
        <v>3276</v>
      </c>
      <c r="AE54">
        <v>112.6</v>
      </c>
      <c r="AF54">
        <v>51.2</v>
      </c>
      <c r="AG54" t="s">
        <v>3257</v>
      </c>
      <c r="AH54">
        <v>166</v>
      </c>
      <c r="AI54" t="s">
        <v>4010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3117</v>
      </c>
      <c r="C55" t="s">
        <v>3118</v>
      </c>
      <c r="D55" t="s">
        <v>4011</v>
      </c>
      <c r="E55" t="s">
        <v>417</v>
      </c>
      <c r="F55" t="s">
        <v>4012</v>
      </c>
      <c r="G55" t="s">
        <v>4013</v>
      </c>
      <c r="H55" t="s">
        <v>4014</v>
      </c>
      <c r="I55" t="s">
        <v>3123</v>
      </c>
      <c r="J55" t="s">
        <v>4015</v>
      </c>
      <c r="K55" t="s">
        <v>3125</v>
      </c>
      <c r="L55" t="s">
        <v>3126</v>
      </c>
      <c r="M55" t="s">
        <v>4016</v>
      </c>
      <c r="N55" t="s">
        <v>4017</v>
      </c>
      <c r="O55" t="s">
        <v>4018</v>
      </c>
      <c r="P55" t="s">
        <v>4019</v>
      </c>
      <c r="Q55" t="s">
        <v>4020</v>
      </c>
      <c r="R55">
        <v>14070</v>
      </c>
      <c r="S55" t="s">
        <v>3155</v>
      </c>
      <c r="T55">
        <v>5132220569111510</v>
      </c>
      <c r="U55">
        <v>240</v>
      </c>
      <c r="V55">
        <v>43282</v>
      </c>
      <c r="W55" t="s">
        <v>4021</v>
      </c>
      <c r="X55" t="s">
        <v>4022</v>
      </c>
      <c r="Y55" t="s">
        <v>3135</v>
      </c>
      <c r="Z55" t="s">
        <v>4023</v>
      </c>
      <c r="AA55" t="s">
        <v>4024</v>
      </c>
      <c r="AB55" t="s">
        <v>4025</v>
      </c>
      <c r="AC55" t="s">
        <v>4026</v>
      </c>
      <c r="AD55" t="s">
        <v>3182</v>
      </c>
      <c r="AE55">
        <v>217.6</v>
      </c>
      <c r="AF55">
        <v>98.9</v>
      </c>
      <c r="AG55" t="s">
        <v>3312</v>
      </c>
      <c r="AH55">
        <v>182</v>
      </c>
      <c r="AI55" t="s">
        <v>4027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3143</v>
      </c>
      <c r="C56" t="s">
        <v>3185</v>
      </c>
      <c r="D56" t="s">
        <v>4028</v>
      </c>
      <c r="E56" t="s">
        <v>3778</v>
      </c>
      <c r="F56" t="s">
        <v>4029</v>
      </c>
      <c r="G56" t="s">
        <v>4030</v>
      </c>
      <c r="H56" t="s">
        <v>2</v>
      </c>
      <c r="I56" t="s">
        <v>3123</v>
      </c>
      <c r="J56" t="s">
        <v>4031</v>
      </c>
      <c r="K56" t="s">
        <v>3125</v>
      </c>
      <c r="L56" t="s">
        <v>3126</v>
      </c>
      <c r="M56" t="s">
        <v>4032</v>
      </c>
      <c r="N56" t="s">
        <v>4033</v>
      </c>
      <c r="O56" t="s">
        <v>4034</v>
      </c>
      <c r="P56" t="s">
        <v>4035</v>
      </c>
      <c r="Q56" t="s">
        <v>4036</v>
      </c>
      <c r="R56">
        <v>21321</v>
      </c>
      <c r="S56" t="s">
        <v>3155</v>
      </c>
      <c r="T56">
        <v>5538777231771170</v>
      </c>
      <c r="U56">
        <v>257</v>
      </c>
      <c r="V56">
        <v>42917</v>
      </c>
      <c r="W56" t="s">
        <v>4037</v>
      </c>
      <c r="X56" t="s">
        <v>4038</v>
      </c>
      <c r="Y56" t="s">
        <v>3197</v>
      </c>
      <c r="Z56" t="s">
        <v>4039</v>
      </c>
      <c r="AA56" t="s">
        <v>4040</v>
      </c>
      <c r="AB56" t="s">
        <v>4041</v>
      </c>
      <c r="AC56" t="s">
        <v>4042</v>
      </c>
      <c r="AD56" t="s">
        <v>3276</v>
      </c>
      <c r="AE56">
        <v>207.9</v>
      </c>
      <c r="AF56">
        <v>94.5</v>
      </c>
      <c r="AG56" t="s">
        <v>3257</v>
      </c>
      <c r="AH56">
        <v>165</v>
      </c>
      <c r="AI56" t="s">
        <v>4043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3143</v>
      </c>
      <c r="C57" t="s">
        <v>3144</v>
      </c>
      <c r="D57" t="s">
        <v>3649</v>
      </c>
      <c r="E57" t="s">
        <v>3120</v>
      </c>
      <c r="F57" t="s">
        <v>4044</v>
      </c>
      <c r="G57" t="s">
        <v>4045</v>
      </c>
      <c r="H57" t="s">
        <v>4046</v>
      </c>
      <c r="I57" t="s">
        <v>3123</v>
      </c>
      <c r="J57" t="s">
        <v>4047</v>
      </c>
      <c r="K57" t="s">
        <v>3125</v>
      </c>
      <c r="L57" t="s">
        <v>3126</v>
      </c>
      <c r="M57" t="s">
        <v>4048</v>
      </c>
      <c r="N57" t="s">
        <v>4049</v>
      </c>
      <c r="O57" t="s">
        <v>4050</v>
      </c>
      <c r="P57" t="s">
        <v>4051</v>
      </c>
      <c r="Q57" t="s">
        <v>4052</v>
      </c>
      <c r="R57">
        <v>19089</v>
      </c>
      <c r="S57" t="s">
        <v>3155</v>
      </c>
      <c r="T57">
        <v>5431451069127230</v>
      </c>
      <c r="U57">
        <v>692</v>
      </c>
      <c r="V57">
        <v>43132</v>
      </c>
      <c r="W57" t="s">
        <v>4053</v>
      </c>
      <c r="X57" t="s">
        <v>4054</v>
      </c>
      <c r="Y57" t="s">
        <v>3135</v>
      </c>
      <c r="Z57" t="s">
        <v>4055</v>
      </c>
      <c r="AA57" t="s">
        <v>4056</v>
      </c>
      <c r="AB57" t="s">
        <v>4057</v>
      </c>
      <c r="AC57" t="s">
        <v>4058</v>
      </c>
      <c r="AD57" t="s">
        <v>3163</v>
      </c>
      <c r="AE57">
        <v>119.5</v>
      </c>
      <c r="AF57">
        <v>54.3</v>
      </c>
      <c r="AG57" t="s">
        <v>3330</v>
      </c>
      <c r="AH57">
        <v>169</v>
      </c>
      <c r="AI57" t="s">
        <v>4059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3117</v>
      </c>
      <c r="C58" t="s">
        <v>3118</v>
      </c>
      <c r="D58" t="s">
        <v>4060</v>
      </c>
      <c r="E58" t="s">
        <v>3778</v>
      </c>
      <c r="F58" t="s">
        <v>4061</v>
      </c>
      <c r="G58" t="s">
        <v>4062</v>
      </c>
      <c r="H58" t="s">
        <v>2</v>
      </c>
      <c r="I58" t="s">
        <v>3123</v>
      </c>
      <c r="J58" t="s">
        <v>4063</v>
      </c>
      <c r="K58" t="s">
        <v>3125</v>
      </c>
      <c r="L58" t="s">
        <v>3126</v>
      </c>
      <c r="M58" t="s">
        <v>4064</v>
      </c>
      <c r="N58" t="s">
        <v>4065</v>
      </c>
      <c r="O58" t="s">
        <v>4066</v>
      </c>
      <c r="P58" t="s">
        <v>4067</v>
      </c>
      <c r="Q58" t="s">
        <v>4068</v>
      </c>
      <c r="R58">
        <v>13657</v>
      </c>
      <c r="S58" t="s">
        <v>3132</v>
      </c>
      <c r="T58">
        <v>4485001996379110</v>
      </c>
      <c r="U58">
        <v>891</v>
      </c>
      <c r="V58">
        <v>43709</v>
      </c>
      <c r="W58" t="s">
        <v>4069</v>
      </c>
      <c r="X58" t="s">
        <v>4070</v>
      </c>
      <c r="Y58" t="s">
        <v>3344</v>
      </c>
      <c r="Z58" t="s">
        <v>4071</v>
      </c>
      <c r="AA58" t="s">
        <v>4072</v>
      </c>
      <c r="AB58" t="s">
        <v>4073</v>
      </c>
      <c r="AC58" t="s">
        <v>4074</v>
      </c>
      <c r="AD58" t="s">
        <v>3182</v>
      </c>
      <c r="AE58">
        <v>180.6</v>
      </c>
      <c r="AF58">
        <v>82.1</v>
      </c>
      <c r="AG58" t="s">
        <v>3221</v>
      </c>
      <c r="AH58">
        <v>167</v>
      </c>
      <c r="AI58" t="s">
        <v>4075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3143</v>
      </c>
      <c r="C59" t="s">
        <v>3185</v>
      </c>
      <c r="D59" t="s">
        <v>4076</v>
      </c>
      <c r="E59" t="s">
        <v>3600</v>
      </c>
      <c r="F59" t="s">
        <v>3486</v>
      </c>
      <c r="G59" t="s">
        <v>4077</v>
      </c>
      <c r="H59" t="s">
        <v>3386</v>
      </c>
      <c r="I59" t="s">
        <v>3123</v>
      </c>
      <c r="J59" t="s">
        <v>3387</v>
      </c>
      <c r="K59" t="s">
        <v>3125</v>
      </c>
      <c r="L59" t="s">
        <v>3126</v>
      </c>
      <c r="M59" t="s">
        <v>4078</v>
      </c>
      <c r="N59" t="s">
        <v>4079</v>
      </c>
      <c r="O59" t="s">
        <v>4080</v>
      </c>
      <c r="P59" t="s">
        <v>4081</v>
      </c>
      <c r="Q59" t="s">
        <v>4082</v>
      </c>
      <c r="R59">
        <v>33166</v>
      </c>
      <c r="S59" t="s">
        <v>3132</v>
      </c>
      <c r="T59">
        <v>4916462064084390</v>
      </c>
      <c r="U59">
        <v>6</v>
      </c>
      <c r="V59">
        <v>43344</v>
      </c>
      <c r="W59" t="s">
        <v>4083</v>
      </c>
      <c r="X59" t="s">
        <v>4084</v>
      </c>
      <c r="Y59" t="s">
        <v>3446</v>
      </c>
      <c r="Z59" t="s">
        <v>4085</v>
      </c>
      <c r="AA59" t="s">
        <v>4086</v>
      </c>
      <c r="AB59" t="s">
        <v>4087</v>
      </c>
      <c r="AC59" t="s">
        <v>4088</v>
      </c>
      <c r="AD59" t="s">
        <v>3220</v>
      </c>
      <c r="AE59">
        <v>214.1</v>
      </c>
      <c r="AF59">
        <v>97.3</v>
      </c>
      <c r="AG59" t="s">
        <v>3294</v>
      </c>
      <c r="AH59">
        <v>173</v>
      </c>
      <c r="AI59" t="s">
        <v>4089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3117</v>
      </c>
      <c r="C60" t="s">
        <v>3118</v>
      </c>
      <c r="D60" t="s">
        <v>4090</v>
      </c>
      <c r="E60" t="s">
        <v>418</v>
      </c>
      <c r="F60" t="s">
        <v>4091</v>
      </c>
      <c r="G60" t="s">
        <v>4092</v>
      </c>
      <c r="H60" t="s">
        <v>38</v>
      </c>
      <c r="I60" t="s">
        <v>3123</v>
      </c>
      <c r="J60" t="s">
        <v>4093</v>
      </c>
      <c r="K60" t="s">
        <v>3125</v>
      </c>
      <c r="L60" t="s">
        <v>3126</v>
      </c>
      <c r="M60" t="s">
        <v>4094</v>
      </c>
      <c r="N60" t="s">
        <v>4095</v>
      </c>
      <c r="O60" t="s">
        <v>4096</v>
      </c>
      <c r="P60" t="s">
        <v>4097</v>
      </c>
      <c r="Q60" t="s">
        <v>4098</v>
      </c>
      <c r="R60">
        <v>24039</v>
      </c>
      <c r="S60" t="s">
        <v>3155</v>
      </c>
      <c r="T60">
        <v>5375761645820650</v>
      </c>
      <c r="U60">
        <v>259</v>
      </c>
      <c r="V60">
        <v>42795</v>
      </c>
      <c r="W60" t="s">
        <v>4099</v>
      </c>
      <c r="X60" t="s">
        <v>4100</v>
      </c>
      <c r="Y60" t="s">
        <v>3135</v>
      </c>
      <c r="Z60" t="s">
        <v>4101</v>
      </c>
      <c r="AA60" t="s">
        <v>4102</v>
      </c>
      <c r="AB60" t="s">
        <v>4103</v>
      </c>
      <c r="AC60" t="s">
        <v>4104</v>
      </c>
      <c r="AD60" t="s">
        <v>3182</v>
      </c>
      <c r="AE60">
        <v>179.1</v>
      </c>
      <c r="AF60">
        <v>81.400000000000006</v>
      </c>
      <c r="AG60" t="s">
        <v>3294</v>
      </c>
      <c r="AH60">
        <v>173</v>
      </c>
      <c r="AI60" t="s">
        <v>4105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3117</v>
      </c>
      <c r="C61" t="s">
        <v>3118</v>
      </c>
      <c r="D61" t="s">
        <v>4106</v>
      </c>
      <c r="E61" t="s">
        <v>414</v>
      </c>
      <c r="F61" t="s">
        <v>4107</v>
      </c>
      <c r="G61" t="s">
        <v>4108</v>
      </c>
      <c r="H61" t="s">
        <v>3472</v>
      </c>
      <c r="I61" t="s">
        <v>3123</v>
      </c>
      <c r="J61" t="s">
        <v>4109</v>
      </c>
      <c r="K61" t="s">
        <v>3125</v>
      </c>
      <c r="L61" t="s">
        <v>3126</v>
      </c>
      <c r="M61" t="s">
        <v>4110</v>
      </c>
      <c r="N61" t="s">
        <v>4111</v>
      </c>
      <c r="O61" t="s">
        <v>4112</v>
      </c>
      <c r="P61" t="s">
        <v>4113</v>
      </c>
      <c r="Q61" t="s">
        <v>4114</v>
      </c>
      <c r="R61">
        <v>34014</v>
      </c>
      <c r="S61" t="s">
        <v>3132</v>
      </c>
      <c r="T61">
        <v>4556603574493390</v>
      </c>
      <c r="U61">
        <v>441</v>
      </c>
      <c r="V61">
        <v>42278</v>
      </c>
      <c r="W61" t="s">
        <v>4115</v>
      </c>
      <c r="X61" t="s">
        <v>4116</v>
      </c>
      <c r="Y61" t="s">
        <v>3411</v>
      </c>
      <c r="Z61" t="s">
        <v>4117</v>
      </c>
      <c r="AA61" t="s">
        <v>4118</v>
      </c>
      <c r="AB61" t="s">
        <v>4119</v>
      </c>
      <c r="AC61" t="s">
        <v>4120</v>
      </c>
      <c r="AD61" t="s">
        <v>3182</v>
      </c>
      <c r="AE61">
        <v>216.9</v>
      </c>
      <c r="AF61">
        <v>98.6</v>
      </c>
      <c r="AG61" t="s">
        <v>3597</v>
      </c>
      <c r="AH61">
        <v>189</v>
      </c>
      <c r="AI61" t="s">
        <v>4121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3143</v>
      </c>
      <c r="C62" t="s">
        <v>3144</v>
      </c>
      <c r="D62" t="s">
        <v>3777</v>
      </c>
      <c r="E62" t="s">
        <v>190</v>
      </c>
      <c r="F62" t="s">
        <v>4122</v>
      </c>
      <c r="G62" t="s">
        <v>4123</v>
      </c>
      <c r="H62" t="s">
        <v>3352</v>
      </c>
      <c r="I62" t="s">
        <v>3123</v>
      </c>
      <c r="J62" t="s">
        <v>3353</v>
      </c>
      <c r="K62" t="s">
        <v>3125</v>
      </c>
      <c r="L62" t="s">
        <v>3126</v>
      </c>
      <c r="M62" t="s">
        <v>4124</v>
      </c>
      <c r="N62" t="s">
        <v>4125</v>
      </c>
      <c r="O62" t="s">
        <v>4126</v>
      </c>
      <c r="P62" t="s">
        <v>4127</v>
      </c>
      <c r="Q62" t="s">
        <v>4128</v>
      </c>
      <c r="R62">
        <v>19119</v>
      </c>
      <c r="S62" t="s">
        <v>3132</v>
      </c>
      <c r="T62">
        <v>4485857286767500</v>
      </c>
      <c r="U62">
        <v>632</v>
      </c>
      <c r="V62">
        <v>42491</v>
      </c>
      <c r="W62" t="s">
        <v>4129</v>
      </c>
      <c r="X62" t="s">
        <v>4130</v>
      </c>
      <c r="Y62" t="s">
        <v>3135</v>
      </c>
      <c r="Z62" t="s">
        <v>4131</v>
      </c>
      <c r="AA62" t="s">
        <v>4132</v>
      </c>
      <c r="AB62" t="s">
        <v>4133</v>
      </c>
      <c r="AC62" t="s">
        <v>4134</v>
      </c>
      <c r="AD62" t="s">
        <v>3182</v>
      </c>
      <c r="AE62">
        <v>164.8</v>
      </c>
      <c r="AF62">
        <v>74.900000000000006</v>
      </c>
      <c r="AG62" t="s">
        <v>3631</v>
      </c>
      <c r="AH62">
        <v>160</v>
      </c>
      <c r="AI62" t="s">
        <v>4135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3143</v>
      </c>
      <c r="C63" t="s">
        <v>3185</v>
      </c>
      <c r="D63" t="s">
        <v>4136</v>
      </c>
      <c r="E63" t="s">
        <v>190</v>
      </c>
      <c r="F63" t="s">
        <v>3341</v>
      </c>
      <c r="G63" t="s">
        <v>4137</v>
      </c>
      <c r="H63" t="s">
        <v>4046</v>
      </c>
      <c r="I63" t="s">
        <v>3123</v>
      </c>
      <c r="J63" t="s">
        <v>4047</v>
      </c>
      <c r="K63" t="s">
        <v>3125</v>
      </c>
      <c r="L63" t="s">
        <v>3126</v>
      </c>
      <c r="M63" t="s">
        <v>4138</v>
      </c>
      <c r="N63" t="s">
        <v>4139</v>
      </c>
      <c r="O63" t="s">
        <v>4140</v>
      </c>
      <c r="P63" t="s">
        <v>4141</v>
      </c>
      <c r="Q63" t="s">
        <v>4142</v>
      </c>
      <c r="R63">
        <v>24730</v>
      </c>
      <c r="S63" t="s">
        <v>3155</v>
      </c>
      <c r="T63">
        <v>5505304700031810</v>
      </c>
      <c r="U63">
        <v>860</v>
      </c>
      <c r="V63">
        <v>43009</v>
      </c>
      <c r="W63" t="s">
        <v>4143</v>
      </c>
      <c r="X63" t="s">
        <v>4144</v>
      </c>
      <c r="Y63" t="s">
        <v>3197</v>
      </c>
      <c r="Z63" t="s">
        <v>4145</v>
      </c>
      <c r="AA63" t="s">
        <v>4146</v>
      </c>
      <c r="AB63" t="s">
        <v>4147</v>
      </c>
      <c r="AC63" t="s">
        <v>4148</v>
      </c>
      <c r="AD63" t="s">
        <v>3220</v>
      </c>
      <c r="AE63">
        <v>224.2</v>
      </c>
      <c r="AF63">
        <v>101.9</v>
      </c>
      <c r="AG63" t="s">
        <v>3164</v>
      </c>
      <c r="AH63">
        <v>155</v>
      </c>
      <c r="AI63" t="s">
        <v>4149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3117</v>
      </c>
      <c r="C64" t="s">
        <v>3118</v>
      </c>
      <c r="D64" t="s">
        <v>4150</v>
      </c>
      <c r="E64" t="s">
        <v>3682</v>
      </c>
      <c r="F64" t="s">
        <v>4151</v>
      </c>
      <c r="G64" t="s">
        <v>4152</v>
      </c>
      <c r="H64" t="s">
        <v>4153</v>
      </c>
      <c r="I64" t="s">
        <v>3123</v>
      </c>
      <c r="J64" t="s">
        <v>3473</v>
      </c>
      <c r="K64" t="s">
        <v>3125</v>
      </c>
      <c r="L64" t="s">
        <v>3126</v>
      </c>
      <c r="M64" t="s">
        <v>4154</v>
      </c>
      <c r="N64" t="s">
        <v>4155</v>
      </c>
      <c r="O64" t="s">
        <v>4156</v>
      </c>
      <c r="P64" t="s">
        <v>4157</v>
      </c>
      <c r="Q64" t="s">
        <v>4158</v>
      </c>
      <c r="R64">
        <v>16218</v>
      </c>
      <c r="S64" t="s">
        <v>3132</v>
      </c>
      <c r="T64">
        <v>4485360984845760</v>
      </c>
      <c r="U64">
        <v>677</v>
      </c>
      <c r="V64">
        <v>42979</v>
      </c>
      <c r="W64" t="s">
        <v>4159</v>
      </c>
      <c r="X64" t="s">
        <v>4160</v>
      </c>
      <c r="Y64" t="s">
        <v>3446</v>
      </c>
      <c r="Z64" t="s">
        <v>4161</v>
      </c>
      <c r="AA64" t="s">
        <v>4162</v>
      </c>
      <c r="AB64" t="s">
        <v>4163</v>
      </c>
      <c r="AC64" t="s">
        <v>4164</v>
      </c>
      <c r="AD64" t="s">
        <v>3276</v>
      </c>
      <c r="AE64">
        <v>229.2</v>
      </c>
      <c r="AF64">
        <v>104.2</v>
      </c>
      <c r="AG64" t="s">
        <v>3294</v>
      </c>
      <c r="AH64">
        <v>173</v>
      </c>
      <c r="AI64" t="s">
        <v>4165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3143</v>
      </c>
      <c r="C65" t="s">
        <v>4166</v>
      </c>
      <c r="D65" t="s">
        <v>4167</v>
      </c>
      <c r="E65" t="s">
        <v>190</v>
      </c>
      <c r="F65" t="s">
        <v>4168</v>
      </c>
      <c r="G65" t="s">
        <v>4169</v>
      </c>
      <c r="H65" t="s">
        <v>37</v>
      </c>
      <c r="I65" t="s">
        <v>3123</v>
      </c>
      <c r="J65" t="s">
        <v>3506</v>
      </c>
      <c r="K65" t="s">
        <v>3125</v>
      </c>
      <c r="L65" t="s">
        <v>3126</v>
      </c>
      <c r="M65" t="s">
        <v>4170</v>
      </c>
      <c r="N65" t="s">
        <v>4171</v>
      </c>
      <c r="O65" t="s">
        <v>4172</v>
      </c>
      <c r="P65" t="s">
        <v>4173</v>
      </c>
      <c r="Q65" t="s">
        <v>3121</v>
      </c>
      <c r="R65">
        <v>26871</v>
      </c>
      <c r="S65" t="s">
        <v>3132</v>
      </c>
      <c r="T65">
        <v>4929477174794870</v>
      </c>
      <c r="U65">
        <v>396</v>
      </c>
      <c r="V65">
        <v>42522</v>
      </c>
      <c r="W65" t="s">
        <v>4174</v>
      </c>
      <c r="X65" t="s">
        <v>4175</v>
      </c>
      <c r="Y65" t="s">
        <v>3344</v>
      </c>
      <c r="Z65" t="s">
        <v>4176</v>
      </c>
      <c r="AA65" t="s">
        <v>4177</v>
      </c>
      <c r="AB65" t="s">
        <v>4178</v>
      </c>
      <c r="AC65" t="s">
        <v>4179</v>
      </c>
      <c r="AD65" t="s">
        <v>3163</v>
      </c>
      <c r="AE65">
        <v>211.9</v>
      </c>
      <c r="AF65">
        <v>96.3</v>
      </c>
      <c r="AG65" t="s">
        <v>4180</v>
      </c>
      <c r="AH65">
        <v>163</v>
      </c>
      <c r="AI65" t="s">
        <v>4181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3117</v>
      </c>
      <c r="C66" t="s">
        <v>3118</v>
      </c>
      <c r="D66" t="s">
        <v>4182</v>
      </c>
      <c r="E66" t="s">
        <v>3279</v>
      </c>
      <c r="F66" t="s">
        <v>4183</v>
      </c>
      <c r="G66" t="s">
        <v>4184</v>
      </c>
      <c r="H66" t="s">
        <v>2</v>
      </c>
      <c r="I66" t="s">
        <v>3123</v>
      </c>
      <c r="J66" t="s">
        <v>4031</v>
      </c>
      <c r="K66" t="s">
        <v>3125</v>
      </c>
      <c r="L66" t="s">
        <v>3126</v>
      </c>
      <c r="M66" t="s">
        <v>4185</v>
      </c>
      <c r="N66" t="s">
        <v>4186</v>
      </c>
      <c r="O66" t="s">
        <v>4187</v>
      </c>
      <c r="P66" t="s">
        <v>4188</v>
      </c>
      <c r="Q66" t="s">
        <v>3341</v>
      </c>
      <c r="R66">
        <v>23681</v>
      </c>
      <c r="S66" t="s">
        <v>3155</v>
      </c>
      <c r="T66">
        <v>5374996813203890</v>
      </c>
      <c r="U66">
        <v>385</v>
      </c>
      <c r="V66">
        <v>43374</v>
      </c>
      <c r="W66" t="s">
        <v>4189</v>
      </c>
      <c r="X66" t="s">
        <v>4190</v>
      </c>
      <c r="Y66" t="s">
        <v>3135</v>
      </c>
      <c r="Z66" t="s">
        <v>4191</v>
      </c>
      <c r="AA66" t="s">
        <v>4192</v>
      </c>
      <c r="AB66" t="s">
        <v>4193</v>
      </c>
      <c r="AC66" t="s">
        <v>4194</v>
      </c>
      <c r="AD66" t="s">
        <v>3140</v>
      </c>
      <c r="AE66">
        <v>193.6</v>
      </c>
      <c r="AF66">
        <v>88</v>
      </c>
      <c r="AG66" t="s">
        <v>3330</v>
      </c>
      <c r="AH66">
        <v>169</v>
      </c>
      <c r="AI66" t="s">
        <v>4195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3117</v>
      </c>
      <c r="C67" t="s">
        <v>3118</v>
      </c>
      <c r="D67" t="s">
        <v>3296</v>
      </c>
      <c r="E67" t="s">
        <v>3487</v>
      </c>
      <c r="F67" t="s">
        <v>4196</v>
      </c>
      <c r="G67" t="s">
        <v>4197</v>
      </c>
      <c r="H67" t="s">
        <v>4198</v>
      </c>
      <c r="I67" t="s">
        <v>3123</v>
      </c>
      <c r="J67" t="s">
        <v>4199</v>
      </c>
      <c r="K67" t="s">
        <v>3125</v>
      </c>
      <c r="L67" t="s">
        <v>3126</v>
      </c>
      <c r="M67" t="s">
        <v>4200</v>
      </c>
      <c r="N67" t="s">
        <v>4201</v>
      </c>
      <c r="O67" t="s">
        <v>4202</v>
      </c>
      <c r="P67" t="s">
        <v>4203</v>
      </c>
      <c r="Q67" t="s">
        <v>4204</v>
      </c>
      <c r="R67">
        <v>23837</v>
      </c>
      <c r="S67" t="s">
        <v>3155</v>
      </c>
      <c r="T67">
        <v>5101024619669940</v>
      </c>
      <c r="U67">
        <v>434</v>
      </c>
      <c r="V67">
        <v>42095</v>
      </c>
      <c r="W67" t="s">
        <v>4205</v>
      </c>
      <c r="X67" t="s">
        <v>4206</v>
      </c>
      <c r="Y67" t="s">
        <v>3135</v>
      </c>
      <c r="Z67" t="s">
        <v>4207</v>
      </c>
      <c r="AA67" t="s">
        <v>4208</v>
      </c>
      <c r="AB67" t="s">
        <v>4209</v>
      </c>
      <c r="AC67" t="s">
        <v>4210</v>
      </c>
      <c r="AD67" t="s">
        <v>3163</v>
      </c>
      <c r="AE67">
        <v>214.3</v>
      </c>
      <c r="AF67">
        <v>97.4</v>
      </c>
      <c r="AG67" t="s">
        <v>3381</v>
      </c>
      <c r="AH67">
        <v>177</v>
      </c>
      <c r="AI67" t="s">
        <v>4211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3117</v>
      </c>
      <c r="C68" t="s">
        <v>3118</v>
      </c>
      <c r="D68" t="s">
        <v>4204</v>
      </c>
      <c r="E68" t="s">
        <v>3120</v>
      </c>
      <c r="F68" t="s">
        <v>4212</v>
      </c>
      <c r="G68" t="s">
        <v>4213</v>
      </c>
      <c r="H68" t="s">
        <v>4214</v>
      </c>
      <c r="I68" t="s">
        <v>3123</v>
      </c>
      <c r="J68" t="s">
        <v>4215</v>
      </c>
      <c r="K68" t="s">
        <v>3125</v>
      </c>
      <c r="L68" t="s">
        <v>3126</v>
      </c>
      <c r="M68" t="s">
        <v>4216</v>
      </c>
      <c r="N68" t="s">
        <v>4217</v>
      </c>
      <c r="O68" t="s">
        <v>4218</v>
      </c>
      <c r="P68" t="s">
        <v>4219</v>
      </c>
      <c r="Q68" t="s">
        <v>4220</v>
      </c>
      <c r="R68">
        <v>33750</v>
      </c>
      <c r="S68" t="s">
        <v>3132</v>
      </c>
      <c r="T68">
        <v>4556143766109160</v>
      </c>
      <c r="U68">
        <v>53</v>
      </c>
      <c r="V68">
        <v>42705</v>
      </c>
      <c r="W68" t="s">
        <v>4221</v>
      </c>
      <c r="X68" t="s">
        <v>4222</v>
      </c>
      <c r="Y68" t="s">
        <v>3446</v>
      </c>
      <c r="Z68" t="s">
        <v>4223</v>
      </c>
      <c r="AA68" t="s">
        <v>4224</v>
      </c>
      <c r="AB68" t="s">
        <v>4225</v>
      </c>
      <c r="AC68" t="s">
        <v>4226</v>
      </c>
      <c r="AD68" t="s">
        <v>3182</v>
      </c>
      <c r="AE68">
        <v>185.2</v>
      </c>
      <c r="AF68">
        <v>84.2</v>
      </c>
      <c r="AG68" t="s">
        <v>3294</v>
      </c>
      <c r="AH68">
        <v>172</v>
      </c>
      <c r="AI68" t="s">
        <v>4227</v>
      </c>
      <c r="AJ68">
        <v>49.067867</v>
      </c>
      <c r="AK68">
        <v>-122.504447</v>
      </c>
    </row>
    <row r="69" spans="1:37" x14ac:dyDescent="0.3">
      <c r="A69">
        <v>374</v>
      </c>
      <c r="B69" t="s">
        <v>3143</v>
      </c>
      <c r="C69" t="s">
        <v>3144</v>
      </c>
      <c r="D69" t="s">
        <v>4228</v>
      </c>
      <c r="E69" t="s">
        <v>420</v>
      </c>
      <c r="F69" t="s">
        <v>4229</v>
      </c>
      <c r="G69" t="s">
        <v>4230</v>
      </c>
      <c r="H69" t="s">
        <v>38</v>
      </c>
      <c r="I69" t="s">
        <v>3123</v>
      </c>
      <c r="J69" t="s">
        <v>4093</v>
      </c>
      <c r="K69" t="s">
        <v>3125</v>
      </c>
      <c r="L69" t="s">
        <v>3126</v>
      </c>
      <c r="M69" t="s">
        <v>4231</v>
      </c>
      <c r="N69" t="s">
        <v>4232</v>
      </c>
      <c r="O69" t="s">
        <v>4233</v>
      </c>
      <c r="P69" t="s">
        <v>4234</v>
      </c>
      <c r="Q69" t="s">
        <v>3543</v>
      </c>
      <c r="R69">
        <v>15507</v>
      </c>
      <c r="S69" t="s">
        <v>3132</v>
      </c>
      <c r="T69">
        <v>4556477214286650</v>
      </c>
      <c r="U69">
        <v>959</v>
      </c>
      <c r="V69">
        <v>43678</v>
      </c>
      <c r="W69" t="s">
        <v>4235</v>
      </c>
      <c r="X69" t="s">
        <v>4236</v>
      </c>
      <c r="Y69" t="s">
        <v>3411</v>
      </c>
      <c r="Z69" t="s">
        <v>4237</v>
      </c>
      <c r="AA69" t="s">
        <v>4238</v>
      </c>
      <c r="AB69" t="s">
        <v>4239</v>
      </c>
      <c r="AC69" t="s">
        <v>4240</v>
      </c>
      <c r="AD69" t="s">
        <v>3276</v>
      </c>
      <c r="AE69">
        <v>182.8</v>
      </c>
      <c r="AF69">
        <v>83.1</v>
      </c>
      <c r="AG69" t="s">
        <v>3257</v>
      </c>
      <c r="AH69">
        <v>164</v>
      </c>
      <c r="AI69" t="s">
        <v>4241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3143</v>
      </c>
      <c r="C70" t="s">
        <v>3144</v>
      </c>
      <c r="D70" t="s">
        <v>4242</v>
      </c>
      <c r="E70" t="s">
        <v>3778</v>
      </c>
      <c r="F70" t="s">
        <v>3194</v>
      </c>
      <c r="G70" t="s">
        <v>4243</v>
      </c>
      <c r="H70" t="s">
        <v>2</v>
      </c>
      <c r="I70" t="s">
        <v>3123</v>
      </c>
      <c r="J70" t="s">
        <v>3490</v>
      </c>
      <c r="K70" t="s">
        <v>3125</v>
      </c>
      <c r="L70" t="s">
        <v>3126</v>
      </c>
      <c r="M70" t="s">
        <v>4244</v>
      </c>
      <c r="N70" t="s">
        <v>4245</v>
      </c>
      <c r="O70" t="s">
        <v>4246</v>
      </c>
      <c r="P70" t="s">
        <v>4247</v>
      </c>
      <c r="Q70" t="s">
        <v>3323</v>
      </c>
      <c r="R70">
        <v>18273</v>
      </c>
      <c r="S70" t="s">
        <v>3132</v>
      </c>
      <c r="T70">
        <v>4916039951166660</v>
      </c>
      <c r="U70">
        <v>836</v>
      </c>
      <c r="V70">
        <v>42767</v>
      </c>
      <c r="W70" t="s">
        <v>4248</v>
      </c>
      <c r="X70" t="s">
        <v>4249</v>
      </c>
      <c r="Y70" t="s">
        <v>3197</v>
      </c>
      <c r="Z70" t="s">
        <v>4250</v>
      </c>
      <c r="AA70" t="s">
        <v>4251</v>
      </c>
      <c r="AB70" t="s">
        <v>4252</v>
      </c>
      <c r="AC70" t="s">
        <v>4253</v>
      </c>
      <c r="AD70" t="s">
        <v>3276</v>
      </c>
      <c r="AE70">
        <v>208.1</v>
      </c>
      <c r="AF70">
        <v>94.6</v>
      </c>
      <c r="AG70" t="s">
        <v>3164</v>
      </c>
      <c r="AH70">
        <v>154</v>
      </c>
      <c r="AI70" t="s">
        <v>4254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3117</v>
      </c>
      <c r="C71" t="s">
        <v>3118</v>
      </c>
      <c r="D71" t="s">
        <v>4255</v>
      </c>
      <c r="E71" t="s">
        <v>3120</v>
      </c>
      <c r="F71" t="s">
        <v>3738</v>
      </c>
      <c r="G71" t="s">
        <v>4256</v>
      </c>
      <c r="H71" t="s">
        <v>4257</v>
      </c>
      <c r="I71" t="s">
        <v>3123</v>
      </c>
      <c r="J71" t="s">
        <v>4258</v>
      </c>
      <c r="K71" t="s">
        <v>3125</v>
      </c>
      <c r="L71" t="s">
        <v>3126</v>
      </c>
      <c r="M71" t="s">
        <v>4259</v>
      </c>
      <c r="N71" t="s">
        <v>4260</v>
      </c>
      <c r="O71" t="s">
        <v>4261</v>
      </c>
      <c r="P71" t="s">
        <v>4262</v>
      </c>
      <c r="Q71" t="s">
        <v>4263</v>
      </c>
      <c r="R71">
        <v>21393</v>
      </c>
      <c r="S71" t="s">
        <v>3132</v>
      </c>
      <c r="T71">
        <v>4485369147076750</v>
      </c>
      <c r="U71">
        <v>502</v>
      </c>
      <c r="V71">
        <v>42675</v>
      </c>
      <c r="W71" t="s">
        <v>4264</v>
      </c>
      <c r="X71" t="s">
        <v>4265</v>
      </c>
      <c r="Y71" t="s">
        <v>3135</v>
      </c>
      <c r="Z71" t="s">
        <v>4266</v>
      </c>
      <c r="AA71" t="s">
        <v>4267</v>
      </c>
      <c r="AB71" t="s">
        <v>4268</v>
      </c>
      <c r="AC71" t="s">
        <v>4269</v>
      </c>
      <c r="AD71" t="s">
        <v>3182</v>
      </c>
      <c r="AE71">
        <v>191.6</v>
      </c>
      <c r="AF71">
        <v>87.1</v>
      </c>
      <c r="AG71" t="s">
        <v>3257</v>
      </c>
      <c r="AH71">
        <v>166</v>
      </c>
      <c r="AI71" t="s">
        <v>4270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3143</v>
      </c>
      <c r="C72" t="s">
        <v>3185</v>
      </c>
      <c r="D72" t="s">
        <v>4271</v>
      </c>
      <c r="E72" t="s">
        <v>3120</v>
      </c>
      <c r="F72" t="s">
        <v>4272</v>
      </c>
      <c r="G72" t="s">
        <v>4273</v>
      </c>
      <c r="H72" t="s">
        <v>67</v>
      </c>
      <c r="I72" t="s">
        <v>3123</v>
      </c>
      <c r="J72" t="s">
        <v>3909</v>
      </c>
      <c r="K72" t="s">
        <v>3125</v>
      </c>
      <c r="L72" t="s">
        <v>3126</v>
      </c>
      <c r="M72" t="s">
        <v>4274</v>
      </c>
      <c r="N72" t="s">
        <v>4275</v>
      </c>
      <c r="O72" t="s">
        <v>4276</v>
      </c>
      <c r="P72" t="s">
        <v>4277</v>
      </c>
      <c r="Q72" t="s">
        <v>3520</v>
      </c>
      <c r="R72">
        <v>16312</v>
      </c>
      <c r="S72" t="s">
        <v>3132</v>
      </c>
      <c r="T72">
        <v>4716770652380410</v>
      </c>
      <c r="U72">
        <v>696</v>
      </c>
      <c r="V72">
        <v>42948</v>
      </c>
      <c r="W72" t="s">
        <v>4278</v>
      </c>
      <c r="X72" t="s">
        <v>4279</v>
      </c>
      <c r="Y72" t="s">
        <v>3135</v>
      </c>
      <c r="Z72" t="s">
        <v>4280</v>
      </c>
      <c r="AA72" t="s">
        <v>4281</v>
      </c>
      <c r="AB72" t="s">
        <v>4282</v>
      </c>
      <c r="AC72" t="s">
        <v>4283</v>
      </c>
      <c r="AD72" t="s">
        <v>3276</v>
      </c>
      <c r="AE72">
        <v>197.3</v>
      </c>
      <c r="AF72">
        <v>89.7</v>
      </c>
      <c r="AG72" t="s">
        <v>3257</v>
      </c>
      <c r="AH72">
        <v>165</v>
      </c>
      <c r="AI72" t="s">
        <v>4284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3117</v>
      </c>
      <c r="C73" t="s">
        <v>3118</v>
      </c>
      <c r="D73" t="s">
        <v>4285</v>
      </c>
      <c r="E73" t="s">
        <v>3279</v>
      </c>
      <c r="F73" t="s">
        <v>4286</v>
      </c>
      <c r="G73" t="s">
        <v>4287</v>
      </c>
      <c r="H73" t="s">
        <v>3386</v>
      </c>
      <c r="I73" t="s">
        <v>3123</v>
      </c>
      <c r="J73" t="s">
        <v>4288</v>
      </c>
      <c r="K73" t="s">
        <v>3125</v>
      </c>
      <c r="L73" t="s">
        <v>3126</v>
      </c>
      <c r="M73" t="s">
        <v>4289</v>
      </c>
      <c r="N73" t="s">
        <v>4290</v>
      </c>
      <c r="O73" t="s">
        <v>4291</v>
      </c>
      <c r="P73" t="s">
        <v>4292</v>
      </c>
      <c r="Q73" t="s">
        <v>3537</v>
      </c>
      <c r="R73">
        <v>20126</v>
      </c>
      <c r="S73" t="s">
        <v>3132</v>
      </c>
      <c r="T73">
        <v>4916357454632210</v>
      </c>
      <c r="U73">
        <v>88</v>
      </c>
      <c r="V73">
        <v>43466</v>
      </c>
      <c r="W73" t="s">
        <v>4293</v>
      </c>
      <c r="X73" t="s">
        <v>4294</v>
      </c>
      <c r="Y73" t="s">
        <v>3344</v>
      </c>
      <c r="Z73" t="s">
        <v>4295</v>
      </c>
      <c r="AA73" t="s">
        <v>4296</v>
      </c>
      <c r="AB73" t="s">
        <v>4297</v>
      </c>
      <c r="AC73" t="s">
        <v>4298</v>
      </c>
      <c r="AD73" t="s">
        <v>3220</v>
      </c>
      <c r="AE73">
        <v>155.5</v>
      </c>
      <c r="AF73">
        <v>70.7</v>
      </c>
      <c r="AG73" t="s">
        <v>3221</v>
      </c>
      <c r="AH73">
        <v>168</v>
      </c>
      <c r="AI73" t="s">
        <v>4299</v>
      </c>
      <c r="AJ73">
        <v>49.170023</v>
      </c>
      <c r="AK73">
        <v>-122.925072</v>
      </c>
    </row>
    <row r="74" spans="1:37" x14ac:dyDescent="0.3">
      <c r="A74">
        <v>402</v>
      </c>
      <c r="B74" t="s">
        <v>3117</v>
      </c>
      <c r="C74" t="s">
        <v>3118</v>
      </c>
      <c r="D74" t="s">
        <v>4300</v>
      </c>
      <c r="E74" t="s">
        <v>419</v>
      </c>
      <c r="F74" t="s">
        <v>4301</v>
      </c>
      <c r="G74" t="s">
        <v>4302</v>
      </c>
      <c r="H74" t="s">
        <v>3368</v>
      </c>
      <c r="I74" t="s">
        <v>3123</v>
      </c>
      <c r="J74" t="s">
        <v>3924</v>
      </c>
      <c r="K74" t="s">
        <v>3125</v>
      </c>
      <c r="L74" t="s">
        <v>3126</v>
      </c>
      <c r="M74" t="s">
        <v>4303</v>
      </c>
      <c r="N74" t="s">
        <v>4304</v>
      </c>
      <c r="O74" t="s">
        <v>4305</v>
      </c>
      <c r="P74" t="s">
        <v>4306</v>
      </c>
      <c r="Q74" t="s">
        <v>3315</v>
      </c>
      <c r="R74">
        <v>34021</v>
      </c>
      <c r="S74" t="s">
        <v>3132</v>
      </c>
      <c r="T74">
        <v>4532344655196310</v>
      </c>
      <c r="U74">
        <v>929</v>
      </c>
      <c r="V74">
        <v>42767</v>
      </c>
      <c r="W74" t="s">
        <v>4307</v>
      </c>
      <c r="X74" t="s">
        <v>4308</v>
      </c>
      <c r="Y74" t="s">
        <v>3135</v>
      </c>
      <c r="Z74" t="s">
        <v>4309</v>
      </c>
      <c r="AA74" t="s">
        <v>3742</v>
      </c>
      <c r="AB74" t="s">
        <v>4310</v>
      </c>
      <c r="AC74" t="s">
        <v>4311</v>
      </c>
      <c r="AD74" t="s">
        <v>3276</v>
      </c>
      <c r="AE74">
        <v>127.8</v>
      </c>
      <c r="AF74">
        <v>58.1</v>
      </c>
      <c r="AG74" t="s">
        <v>3330</v>
      </c>
      <c r="AH74">
        <v>171</v>
      </c>
      <c r="AI74" t="s">
        <v>4312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3143</v>
      </c>
      <c r="C75" t="s">
        <v>3185</v>
      </c>
      <c r="D75" t="s">
        <v>3777</v>
      </c>
      <c r="E75" t="s">
        <v>3120</v>
      </c>
      <c r="F75" t="s">
        <v>4313</v>
      </c>
      <c r="G75" t="s">
        <v>4314</v>
      </c>
      <c r="H75" t="s">
        <v>3227</v>
      </c>
      <c r="I75" t="s">
        <v>3123</v>
      </c>
      <c r="J75" t="s">
        <v>3228</v>
      </c>
      <c r="K75" t="s">
        <v>3125</v>
      </c>
      <c r="L75" t="s">
        <v>3126</v>
      </c>
      <c r="M75" t="s">
        <v>4315</v>
      </c>
      <c r="N75" t="s">
        <v>4316</v>
      </c>
      <c r="O75" t="s">
        <v>4317</v>
      </c>
      <c r="P75" t="s">
        <v>4318</v>
      </c>
      <c r="Q75" t="s">
        <v>4319</v>
      </c>
      <c r="R75">
        <v>20182</v>
      </c>
      <c r="S75" t="s">
        <v>3155</v>
      </c>
      <c r="T75">
        <v>5153038736034600</v>
      </c>
      <c r="U75">
        <v>13</v>
      </c>
      <c r="V75">
        <v>42491</v>
      </c>
      <c r="W75" t="s">
        <v>4320</v>
      </c>
      <c r="X75" t="s">
        <v>4321</v>
      </c>
      <c r="Y75" t="s">
        <v>3135</v>
      </c>
      <c r="Z75" t="s">
        <v>4322</v>
      </c>
      <c r="AA75" t="s">
        <v>4323</v>
      </c>
      <c r="AB75" t="s">
        <v>4324</v>
      </c>
      <c r="AC75" t="s">
        <v>4325</v>
      </c>
      <c r="AD75" t="s">
        <v>3220</v>
      </c>
      <c r="AE75">
        <v>194.5</v>
      </c>
      <c r="AF75">
        <v>88.4</v>
      </c>
      <c r="AG75" t="s">
        <v>3202</v>
      </c>
      <c r="AH75">
        <v>158</v>
      </c>
      <c r="AI75" t="s">
        <v>4326</v>
      </c>
      <c r="AJ75">
        <v>49.149307</v>
      </c>
      <c r="AK75">
        <v>-122.34475</v>
      </c>
    </row>
    <row r="76" spans="1:37" x14ac:dyDescent="0.3">
      <c r="A76">
        <v>427</v>
      </c>
      <c r="B76" t="s">
        <v>3143</v>
      </c>
      <c r="C76" t="s">
        <v>3185</v>
      </c>
      <c r="D76" t="s">
        <v>3417</v>
      </c>
      <c r="E76" t="s">
        <v>416</v>
      </c>
      <c r="F76" t="s">
        <v>4327</v>
      </c>
      <c r="G76" t="s">
        <v>4328</v>
      </c>
      <c r="H76" t="s">
        <v>2</v>
      </c>
      <c r="I76" t="s">
        <v>3123</v>
      </c>
      <c r="J76" t="s">
        <v>3490</v>
      </c>
      <c r="K76" t="s">
        <v>3125</v>
      </c>
      <c r="L76" t="s">
        <v>3126</v>
      </c>
      <c r="M76" t="s">
        <v>4329</v>
      </c>
      <c r="N76" t="s">
        <v>4330</v>
      </c>
      <c r="O76" t="s">
        <v>4331</v>
      </c>
      <c r="P76" t="s">
        <v>4332</v>
      </c>
      <c r="Q76" t="s">
        <v>4150</v>
      </c>
      <c r="R76">
        <v>21180</v>
      </c>
      <c r="S76" t="s">
        <v>3155</v>
      </c>
      <c r="T76">
        <v>5499105457219760</v>
      </c>
      <c r="U76">
        <v>736</v>
      </c>
      <c r="V76">
        <v>42552</v>
      </c>
      <c r="W76" t="s">
        <v>4333</v>
      </c>
      <c r="X76" t="s">
        <v>4334</v>
      </c>
      <c r="Y76" t="s">
        <v>3135</v>
      </c>
      <c r="Z76" t="s">
        <v>4335</v>
      </c>
      <c r="AA76" t="s">
        <v>4336</v>
      </c>
      <c r="AB76" t="s">
        <v>4337</v>
      </c>
      <c r="AC76" t="s">
        <v>4338</v>
      </c>
      <c r="AD76" t="s">
        <v>3182</v>
      </c>
      <c r="AE76">
        <v>207</v>
      </c>
      <c r="AF76">
        <v>94.1</v>
      </c>
      <c r="AG76" t="s">
        <v>4339</v>
      </c>
      <c r="AH76">
        <v>152</v>
      </c>
      <c r="AI76" t="s">
        <v>4340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3143</v>
      </c>
      <c r="C77" t="s">
        <v>3144</v>
      </c>
      <c r="D77" t="s">
        <v>4341</v>
      </c>
      <c r="E77" t="s">
        <v>3487</v>
      </c>
      <c r="F77" t="s">
        <v>3121</v>
      </c>
      <c r="G77" t="s">
        <v>4342</v>
      </c>
      <c r="H77" t="s">
        <v>3368</v>
      </c>
      <c r="I77" t="s">
        <v>3123</v>
      </c>
      <c r="J77" t="s">
        <v>3369</v>
      </c>
      <c r="K77" t="s">
        <v>3125</v>
      </c>
      <c r="L77" t="s">
        <v>3126</v>
      </c>
      <c r="M77" t="s">
        <v>4343</v>
      </c>
      <c r="N77" t="s">
        <v>4344</v>
      </c>
      <c r="O77" t="s">
        <v>4345</v>
      </c>
      <c r="P77" t="s">
        <v>4346</v>
      </c>
      <c r="Q77" t="s">
        <v>4347</v>
      </c>
      <c r="R77">
        <v>14771</v>
      </c>
      <c r="S77" t="s">
        <v>3155</v>
      </c>
      <c r="T77">
        <v>5116727733431700</v>
      </c>
      <c r="U77">
        <v>793</v>
      </c>
      <c r="V77">
        <v>42856</v>
      </c>
      <c r="W77" t="s">
        <v>4348</v>
      </c>
      <c r="X77" t="s">
        <v>4349</v>
      </c>
      <c r="Y77" t="s">
        <v>3135</v>
      </c>
      <c r="Z77" t="s">
        <v>4350</v>
      </c>
      <c r="AA77" t="s">
        <v>4351</v>
      </c>
      <c r="AB77" t="s">
        <v>4352</v>
      </c>
      <c r="AC77" t="s">
        <v>4353</v>
      </c>
      <c r="AD77" t="s">
        <v>3220</v>
      </c>
      <c r="AE77">
        <v>202</v>
      </c>
      <c r="AF77">
        <v>91.8</v>
      </c>
      <c r="AG77" t="s">
        <v>3330</v>
      </c>
      <c r="AH77">
        <v>171</v>
      </c>
      <c r="AI77" t="s">
        <v>4354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3117</v>
      </c>
      <c r="C78" t="s">
        <v>3118</v>
      </c>
      <c r="D78" t="s">
        <v>4355</v>
      </c>
      <c r="E78" t="s">
        <v>3279</v>
      </c>
      <c r="F78" t="s">
        <v>4356</v>
      </c>
      <c r="G78" t="s">
        <v>4357</v>
      </c>
      <c r="H78" t="s">
        <v>4358</v>
      </c>
      <c r="I78" t="s">
        <v>3123</v>
      </c>
      <c r="J78" t="s">
        <v>4359</v>
      </c>
      <c r="K78" t="s">
        <v>3125</v>
      </c>
      <c r="L78" t="s">
        <v>3126</v>
      </c>
      <c r="M78" t="s">
        <v>4360</v>
      </c>
      <c r="N78" t="s">
        <v>4361</v>
      </c>
      <c r="O78" t="s">
        <v>4362</v>
      </c>
      <c r="P78" t="s">
        <v>4363</v>
      </c>
      <c r="Q78" t="s">
        <v>4364</v>
      </c>
      <c r="R78">
        <v>28879</v>
      </c>
      <c r="S78" t="s">
        <v>3155</v>
      </c>
      <c r="T78">
        <v>5274026349370290</v>
      </c>
      <c r="U78">
        <v>321</v>
      </c>
      <c r="V78">
        <v>42156</v>
      </c>
      <c r="W78" t="s">
        <v>4365</v>
      </c>
      <c r="X78" t="s">
        <v>4366</v>
      </c>
      <c r="Y78" t="s">
        <v>3158</v>
      </c>
      <c r="Z78" t="s">
        <v>4367</v>
      </c>
      <c r="AA78" t="s">
        <v>4368</v>
      </c>
      <c r="AB78" t="s">
        <v>4369</v>
      </c>
      <c r="AC78" t="s">
        <v>4370</v>
      </c>
      <c r="AD78" t="s">
        <v>3220</v>
      </c>
      <c r="AE78">
        <v>202.2</v>
      </c>
      <c r="AF78">
        <v>91.9</v>
      </c>
      <c r="AG78" t="s">
        <v>3183</v>
      </c>
      <c r="AH78">
        <v>175</v>
      </c>
      <c r="AI78" t="s">
        <v>4371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3117</v>
      </c>
      <c r="C79" t="s">
        <v>3118</v>
      </c>
      <c r="D79" t="s">
        <v>4182</v>
      </c>
      <c r="E79" t="s">
        <v>4372</v>
      </c>
      <c r="F79" t="s">
        <v>3443</v>
      </c>
      <c r="G79" t="s">
        <v>4373</v>
      </c>
      <c r="H79" t="s">
        <v>4374</v>
      </c>
      <c r="I79" t="s">
        <v>3123</v>
      </c>
      <c r="J79" t="s">
        <v>4375</v>
      </c>
      <c r="K79" t="s">
        <v>3125</v>
      </c>
      <c r="L79" t="s">
        <v>3126</v>
      </c>
      <c r="M79" t="s">
        <v>4376</v>
      </c>
      <c r="N79" t="s">
        <v>4377</v>
      </c>
      <c r="O79" t="s">
        <v>4378</v>
      </c>
      <c r="P79" t="s">
        <v>4379</v>
      </c>
      <c r="Q79" t="s">
        <v>4380</v>
      </c>
      <c r="R79">
        <v>16254</v>
      </c>
      <c r="S79" t="s">
        <v>3132</v>
      </c>
      <c r="T79">
        <v>4929407916922110</v>
      </c>
      <c r="U79">
        <v>662</v>
      </c>
      <c r="V79">
        <v>42095</v>
      </c>
      <c r="W79" t="s">
        <v>4381</v>
      </c>
      <c r="X79" t="s">
        <v>4382</v>
      </c>
      <c r="Y79" t="s">
        <v>3135</v>
      </c>
      <c r="Z79" t="s">
        <v>4383</v>
      </c>
      <c r="AA79" t="s">
        <v>4384</v>
      </c>
      <c r="AB79" t="s">
        <v>4385</v>
      </c>
      <c r="AC79" t="s">
        <v>4386</v>
      </c>
      <c r="AD79" t="s">
        <v>3220</v>
      </c>
      <c r="AE79">
        <v>165.9</v>
      </c>
      <c r="AF79">
        <v>75.400000000000006</v>
      </c>
      <c r="AG79" t="s">
        <v>3183</v>
      </c>
      <c r="AH79">
        <v>174</v>
      </c>
      <c r="AI79" t="s">
        <v>4387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3143</v>
      </c>
      <c r="C80" t="s">
        <v>3185</v>
      </c>
      <c r="D80" t="s">
        <v>3452</v>
      </c>
      <c r="E80" t="s">
        <v>3120</v>
      </c>
      <c r="F80" t="s">
        <v>4388</v>
      </c>
      <c r="G80" t="s">
        <v>4389</v>
      </c>
      <c r="H80" t="s">
        <v>2</v>
      </c>
      <c r="I80" t="s">
        <v>3123</v>
      </c>
      <c r="J80" t="s">
        <v>4031</v>
      </c>
      <c r="K80" t="s">
        <v>3125</v>
      </c>
      <c r="L80" t="s">
        <v>3126</v>
      </c>
      <c r="M80" t="s">
        <v>4390</v>
      </c>
      <c r="N80" t="s">
        <v>4391</v>
      </c>
      <c r="O80" t="s">
        <v>4392</v>
      </c>
      <c r="P80" t="s">
        <v>4393</v>
      </c>
      <c r="Q80" t="s">
        <v>4394</v>
      </c>
      <c r="R80">
        <v>16674</v>
      </c>
      <c r="S80" t="s">
        <v>3132</v>
      </c>
      <c r="T80">
        <v>4532076369361500</v>
      </c>
      <c r="U80">
        <v>132</v>
      </c>
      <c r="V80">
        <v>42036</v>
      </c>
      <c r="W80" t="s">
        <v>4395</v>
      </c>
      <c r="X80" t="s">
        <v>4396</v>
      </c>
      <c r="Y80" t="s">
        <v>3344</v>
      </c>
      <c r="Z80" t="s">
        <v>4397</v>
      </c>
      <c r="AA80" t="s">
        <v>4398</v>
      </c>
      <c r="AB80" t="s">
        <v>4399</v>
      </c>
      <c r="AC80" t="s">
        <v>4400</v>
      </c>
      <c r="AD80" t="s">
        <v>3220</v>
      </c>
      <c r="AE80">
        <v>219.3</v>
      </c>
      <c r="AF80">
        <v>99.7</v>
      </c>
      <c r="AG80" t="s">
        <v>3330</v>
      </c>
      <c r="AH80">
        <v>169</v>
      </c>
      <c r="AI80" t="s">
        <v>4401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3117</v>
      </c>
      <c r="C81" t="s">
        <v>3118</v>
      </c>
      <c r="D81" t="s">
        <v>4402</v>
      </c>
      <c r="E81" t="s">
        <v>414</v>
      </c>
      <c r="F81" t="s">
        <v>4403</v>
      </c>
      <c r="G81" t="s">
        <v>4404</v>
      </c>
      <c r="H81" t="s">
        <v>4405</v>
      </c>
      <c r="I81" t="s">
        <v>3123</v>
      </c>
      <c r="J81" t="s">
        <v>4406</v>
      </c>
      <c r="K81" t="s">
        <v>3125</v>
      </c>
      <c r="L81" t="s">
        <v>3126</v>
      </c>
      <c r="M81" t="s">
        <v>4407</v>
      </c>
      <c r="N81" t="s">
        <v>4408</v>
      </c>
      <c r="O81" t="s">
        <v>4409</v>
      </c>
      <c r="P81" t="s">
        <v>4410</v>
      </c>
      <c r="Q81" t="s">
        <v>4411</v>
      </c>
      <c r="R81">
        <v>15559</v>
      </c>
      <c r="S81" t="s">
        <v>3132</v>
      </c>
      <c r="T81">
        <v>4485792470214100</v>
      </c>
      <c r="U81">
        <v>931</v>
      </c>
      <c r="V81">
        <v>42767</v>
      </c>
      <c r="W81" t="s">
        <v>4412</v>
      </c>
      <c r="X81" t="s">
        <v>4413</v>
      </c>
      <c r="Y81" t="s">
        <v>3446</v>
      </c>
      <c r="Z81" t="s">
        <v>4414</v>
      </c>
      <c r="AA81" t="s">
        <v>4415</v>
      </c>
      <c r="AB81" t="s">
        <v>4416</v>
      </c>
      <c r="AC81" t="s">
        <v>4417</v>
      </c>
      <c r="AD81" t="s">
        <v>3220</v>
      </c>
      <c r="AE81">
        <v>141.9</v>
      </c>
      <c r="AF81">
        <v>64.5</v>
      </c>
      <c r="AG81" t="s">
        <v>3312</v>
      </c>
      <c r="AH81">
        <v>182</v>
      </c>
      <c r="AI81" t="s">
        <v>4418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3117</v>
      </c>
      <c r="C82" t="s">
        <v>3118</v>
      </c>
      <c r="D82" t="s">
        <v>4419</v>
      </c>
      <c r="E82" t="s">
        <v>3120</v>
      </c>
      <c r="F82" t="s">
        <v>4420</v>
      </c>
      <c r="G82" t="s">
        <v>4421</v>
      </c>
      <c r="H82" t="s">
        <v>4422</v>
      </c>
      <c r="I82" t="s">
        <v>3123</v>
      </c>
      <c r="J82" t="s">
        <v>4423</v>
      </c>
      <c r="K82" t="s">
        <v>3125</v>
      </c>
      <c r="L82" t="s">
        <v>3126</v>
      </c>
      <c r="M82" t="s">
        <v>4424</v>
      </c>
      <c r="N82" t="s">
        <v>4425</v>
      </c>
      <c r="O82" t="s">
        <v>4426</v>
      </c>
      <c r="P82" t="s">
        <v>4427</v>
      </c>
      <c r="Q82" t="s">
        <v>4428</v>
      </c>
      <c r="R82">
        <v>27696</v>
      </c>
      <c r="S82" t="s">
        <v>3132</v>
      </c>
      <c r="T82">
        <v>4485298847377740</v>
      </c>
      <c r="U82">
        <v>702</v>
      </c>
      <c r="V82">
        <v>42736</v>
      </c>
      <c r="W82" t="s">
        <v>4429</v>
      </c>
      <c r="X82" t="s">
        <v>4430</v>
      </c>
      <c r="Y82" t="s">
        <v>3446</v>
      </c>
      <c r="Z82" t="s">
        <v>4431</v>
      </c>
      <c r="AA82" t="s">
        <v>4432</v>
      </c>
      <c r="AB82" t="s">
        <v>4433</v>
      </c>
      <c r="AC82" t="s">
        <v>4434</v>
      </c>
      <c r="AD82" t="s">
        <v>3220</v>
      </c>
      <c r="AE82">
        <v>247.5</v>
      </c>
      <c r="AF82">
        <v>112.5</v>
      </c>
      <c r="AG82" t="s">
        <v>3597</v>
      </c>
      <c r="AH82">
        <v>189</v>
      </c>
      <c r="AI82" t="s">
        <v>4435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3143</v>
      </c>
      <c r="C83" t="s">
        <v>3144</v>
      </c>
      <c r="D83" t="s">
        <v>4436</v>
      </c>
      <c r="E83" t="s">
        <v>4372</v>
      </c>
      <c r="F83" t="s">
        <v>4437</v>
      </c>
      <c r="G83" t="s">
        <v>4438</v>
      </c>
      <c r="H83" t="s">
        <v>4439</v>
      </c>
      <c r="I83" t="s">
        <v>3123</v>
      </c>
      <c r="J83" t="s">
        <v>4440</v>
      </c>
      <c r="K83" t="s">
        <v>3125</v>
      </c>
      <c r="L83" t="s">
        <v>3126</v>
      </c>
      <c r="M83" t="s">
        <v>4441</v>
      </c>
      <c r="N83" t="s">
        <v>4442</v>
      </c>
      <c r="O83" t="s">
        <v>4443</v>
      </c>
      <c r="P83" t="s">
        <v>4444</v>
      </c>
      <c r="Q83" t="s">
        <v>4445</v>
      </c>
      <c r="R83">
        <v>19439</v>
      </c>
      <c r="S83" t="s">
        <v>3132</v>
      </c>
      <c r="T83">
        <v>4485134624786160</v>
      </c>
      <c r="U83">
        <v>46</v>
      </c>
      <c r="V83">
        <v>43344</v>
      </c>
      <c r="W83" t="s">
        <v>4446</v>
      </c>
      <c r="X83" t="s">
        <v>4447</v>
      </c>
      <c r="Y83" t="s">
        <v>3289</v>
      </c>
      <c r="Z83" t="s">
        <v>4448</v>
      </c>
      <c r="AA83" t="s">
        <v>4449</v>
      </c>
      <c r="AB83" t="s">
        <v>4450</v>
      </c>
      <c r="AC83" t="s">
        <v>4451</v>
      </c>
      <c r="AD83" t="s">
        <v>3220</v>
      </c>
      <c r="AE83">
        <v>161.5</v>
      </c>
      <c r="AF83">
        <v>73.400000000000006</v>
      </c>
      <c r="AG83" t="s">
        <v>4339</v>
      </c>
      <c r="AH83">
        <v>153</v>
      </c>
      <c r="AI83" t="s">
        <v>4452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3117</v>
      </c>
      <c r="C84" t="s">
        <v>3118</v>
      </c>
      <c r="D84" t="s">
        <v>3568</v>
      </c>
      <c r="E84" t="s">
        <v>3487</v>
      </c>
      <c r="F84" t="s">
        <v>4453</v>
      </c>
      <c r="G84" t="s">
        <v>4454</v>
      </c>
      <c r="H84" t="s">
        <v>4455</v>
      </c>
      <c r="I84" t="s">
        <v>3123</v>
      </c>
      <c r="J84" t="s">
        <v>4456</v>
      </c>
      <c r="K84" t="s">
        <v>3125</v>
      </c>
      <c r="L84" t="s">
        <v>3126</v>
      </c>
      <c r="M84" t="s">
        <v>4457</v>
      </c>
      <c r="N84" t="s">
        <v>4458</v>
      </c>
      <c r="O84" t="s">
        <v>4459</v>
      </c>
      <c r="P84" t="s">
        <v>4460</v>
      </c>
      <c r="Q84" t="s">
        <v>4461</v>
      </c>
      <c r="R84">
        <v>21583</v>
      </c>
      <c r="S84" t="s">
        <v>3132</v>
      </c>
      <c r="T84">
        <v>4929588594216720</v>
      </c>
      <c r="U84">
        <v>233</v>
      </c>
      <c r="V84">
        <v>43525</v>
      </c>
      <c r="W84" t="s">
        <v>4462</v>
      </c>
      <c r="X84" t="s">
        <v>4463</v>
      </c>
      <c r="Y84" t="s">
        <v>3135</v>
      </c>
      <c r="Z84" t="s">
        <v>4464</v>
      </c>
      <c r="AA84" t="s">
        <v>4465</v>
      </c>
      <c r="AB84" t="s">
        <v>4466</v>
      </c>
      <c r="AC84" t="s">
        <v>4467</v>
      </c>
      <c r="AD84" t="s">
        <v>3276</v>
      </c>
      <c r="AE84">
        <v>235.4</v>
      </c>
      <c r="AF84">
        <v>107</v>
      </c>
      <c r="AG84" t="s">
        <v>3566</v>
      </c>
      <c r="AH84">
        <v>181</v>
      </c>
      <c r="AI84" t="s">
        <v>4468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3143</v>
      </c>
      <c r="C85" t="s">
        <v>3144</v>
      </c>
      <c r="D85" t="s">
        <v>4469</v>
      </c>
      <c r="E85" t="s">
        <v>3120</v>
      </c>
      <c r="F85" t="s">
        <v>4470</v>
      </c>
      <c r="G85" t="s">
        <v>4471</v>
      </c>
      <c r="H85" t="s">
        <v>4214</v>
      </c>
      <c r="I85" t="s">
        <v>3123</v>
      </c>
      <c r="J85" t="s">
        <v>4215</v>
      </c>
      <c r="K85" t="s">
        <v>3125</v>
      </c>
      <c r="L85" t="s">
        <v>3126</v>
      </c>
      <c r="M85" t="s">
        <v>4472</v>
      </c>
      <c r="N85" t="s">
        <v>4473</v>
      </c>
      <c r="O85" t="s">
        <v>4474</v>
      </c>
      <c r="P85" t="s">
        <v>4475</v>
      </c>
      <c r="Q85" t="s">
        <v>4476</v>
      </c>
      <c r="R85">
        <v>27263</v>
      </c>
      <c r="S85" t="s">
        <v>3155</v>
      </c>
      <c r="T85">
        <v>5363306913729700</v>
      </c>
      <c r="U85">
        <v>837</v>
      </c>
      <c r="V85">
        <v>42461</v>
      </c>
      <c r="W85" t="s">
        <v>4477</v>
      </c>
      <c r="X85" t="s">
        <v>4478</v>
      </c>
      <c r="Y85" t="s">
        <v>3289</v>
      </c>
      <c r="Z85" t="s">
        <v>4479</v>
      </c>
      <c r="AA85" t="s">
        <v>4480</v>
      </c>
      <c r="AB85" t="s">
        <v>4481</v>
      </c>
      <c r="AC85" t="s">
        <v>4482</v>
      </c>
      <c r="AD85" t="s">
        <v>3220</v>
      </c>
      <c r="AE85">
        <v>218.9</v>
      </c>
      <c r="AF85">
        <v>99.5</v>
      </c>
      <c r="AG85" t="s">
        <v>4180</v>
      </c>
      <c r="AH85">
        <v>163</v>
      </c>
      <c r="AI85" t="s">
        <v>4483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3117</v>
      </c>
      <c r="C86" t="s">
        <v>3118</v>
      </c>
      <c r="D86" t="s">
        <v>3802</v>
      </c>
      <c r="E86" t="s">
        <v>3600</v>
      </c>
      <c r="F86" t="s">
        <v>4484</v>
      </c>
      <c r="G86" t="s">
        <v>4485</v>
      </c>
      <c r="H86" t="s">
        <v>3522</v>
      </c>
      <c r="I86" t="s">
        <v>3123</v>
      </c>
      <c r="J86" t="s">
        <v>4486</v>
      </c>
      <c r="K86" t="s">
        <v>3125</v>
      </c>
      <c r="L86" t="s">
        <v>3126</v>
      </c>
      <c r="M86" t="s">
        <v>4487</v>
      </c>
      <c r="N86" t="s">
        <v>4488</v>
      </c>
      <c r="O86" t="s">
        <v>4489</v>
      </c>
      <c r="P86" t="s">
        <v>4490</v>
      </c>
      <c r="Q86" t="s">
        <v>4182</v>
      </c>
      <c r="R86">
        <v>18000</v>
      </c>
      <c r="S86" t="s">
        <v>3155</v>
      </c>
      <c r="T86">
        <v>5592618023783610</v>
      </c>
      <c r="U86">
        <v>968</v>
      </c>
      <c r="V86">
        <v>42979</v>
      </c>
      <c r="W86" t="s">
        <v>4491</v>
      </c>
      <c r="X86" t="s">
        <v>4492</v>
      </c>
      <c r="Y86" t="s">
        <v>3135</v>
      </c>
      <c r="Z86" t="s">
        <v>4493</v>
      </c>
      <c r="AA86" t="s">
        <v>4494</v>
      </c>
      <c r="AB86" t="s">
        <v>4495</v>
      </c>
      <c r="AC86" t="s">
        <v>4496</v>
      </c>
      <c r="AD86" t="s">
        <v>3140</v>
      </c>
      <c r="AE86">
        <v>238.7</v>
      </c>
      <c r="AF86">
        <v>108.5</v>
      </c>
      <c r="AG86" t="s">
        <v>3141</v>
      </c>
      <c r="AH86">
        <v>186</v>
      </c>
      <c r="AI86" t="s">
        <v>4497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3143</v>
      </c>
      <c r="C87" t="s">
        <v>3144</v>
      </c>
      <c r="D87" t="s">
        <v>4498</v>
      </c>
      <c r="E87" t="s">
        <v>3224</v>
      </c>
      <c r="F87" t="s">
        <v>4499</v>
      </c>
      <c r="G87" t="s">
        <v>4500</v>
      </c>
      <c r="H87" t="s">
        <v>3299</v>
      </c>
      <c r="I87" t="s">
        <v>3123</v>
      </c>
      <c r="J87" t="s">
        <v>3300</v>
      </c>
      <c r="K87" t="s">
        <v>3125</v>
      </c>
      <c r="L87" t="s">
        <v>3126</v>
      </c>
      <c r="M87" t="s">
        <v>4501</v>
      </c>
      <c r="N87" t="s">
        <v>4502</v>
      </c>
      <c r="O87" t="s">
        <v>4503</v>
      </c>
      <c r="P87" t="s">
        <v>4504</v>
      </c>
      <c r="Q87" t="s">
        <v>4420</v>
      </c>
      <c r="R87">
        <v>19161</v>
      </c>
      <c r="S87" t="s">
        <v>3132</v>
      </c>
      <c r="T87">
        <v>4485646572594640</v>
      </c>
      <c r="U87">
        <v>681</v>
      </c>
      <c r="V87">
        <v>43770</v>
      </c>
      <c r="W87" t="s">
        <v>4505</v>
      </c>
      <c r="X87" t="s">
        <v>4506</v>
      </c>
      <c r="Y87" t="s">
        <v>3197</v>
      </c>
      <c r="Z87" t="s">
        <v>4507</v>
      </c>
      <c r="AA87" t="s">
        <v>4508</v>
      </c>
      <c r="AB87" t="s">
        <v>4509</v>
      </c>
      <c r="AC87" t="s">
        <v>4510</v>
      </c>
      <c r="AD87" t="s">
        <v>3276</v>
      </c>
      <c r="AE87">
        <v>149.80000000000001</v>
      </c>
      <c r="AF87">
        <v>68.099999999999994</v>
      </c>
      <c r="AG87" t="s">
        <v>3257</v>
      </c>
      <c r="AH87">
        <v>164</v>
      </c>
      <c r="AI87" t="s">
        <v>4511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3143</v>
      </c>
      <c r="C88" t="s">
        <v>3144</v>
      </c>
      <c r="D88" t="s">
        <v>4512</v>
      </c>
      <c r="E88" t="s">
        <v>419</v>
      </c>
      <c r="F88" t="s">
        <v>4513</v>
      </c>
      <c r="G88" t="s">
        <v>4514</v>
      </c>
      <c r="H88" t="s">
        <v>3420</v>
      </c>
      <c r="I88" t="s">
        <v>3123</v>
      </c>
      <c r="J88" t="s">
        <v>4515</v>
      </c>
      <c r="K88" t="s">
        <v>3125</v>
      </c>
      <c r="L88" t="s">
        <v>3126</v>
      </c>
      <c r="M88" t="s">
        <v>4516</v>
      </c>
      <c r="N88" t="s">
        <v>4517</v>
      </c>
      <c r="O88" t="s">
        <v>4518</v>
      </c>
      <c r="P88" t="s">
        <v>4519</v>
      </c>
      <c r="Q88" t="s">
        <v>4520</v>
      </c>
      <c r="R88">
        <v>23301</v>
      </c>
      <c r="S88" t="s">
        <v>3132</v>
      </c>
      <c r="T88">
        <v>4539632637054550</v>
      </c>
      <c r="U88">
        <v>440</v>
      </c>
      <c r="V88">
        <v>42979</v>
      </c>
      <c r="W88" t="s">
        <v>4521</v>
      </c>
      <c r="X88" t="s">
        <v>4522</v>
      </c>
      <c r="Y88" t="s">
        <v>3344</v>
      </c>
      <c r="Z88" t="s">
        <v>4523</v>
      </c>
      <c r="AA88" t="s">
        <v>4524</v>
      </c>
      <c r="AB88" t="s">
        <v>4525</v>
      </c>
      <c r="AC88" t="s">
        <v>4526</v>
      </c>
      <c r="AD88" t="s">
        <v>3276</v>
      </c>
      <c r="AE88">
        <v>171.8</v>
      </c>
      <c r="AF88">
        <v>78.099999999999994</v>
      </c>
      <c r="AG88" t="s">
        <v>3221</v>
      </c>
      <c r="AH88">
        <v>167</v>
      </c>
      <c r="AI88" t="s">
        <v>4527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3143</v>
      </c>
      <c r="C89" t="s">
        <v>3185</v>
      </c>
      <c r="D89" t="s">
        <v>4528</v>
      </c>
      <c r="E89" t="s">
        <v>414</v>
      </c>
      <c r="F89" t="s">
        <v>4020</v>
      </c>
      <c r="G89" t="s">
        <v>4529</v>
      </c>
      <c r="H89" t="s">
        <v>38</v>
      </c>
      <c r="I89" t="s">
        <v>3123</v>
      </c>
      <c r="J89" t="s">
        <v>3968</v>
      </c>
      <c r="K89" t="s">
        <v>3125</v>
      </c>
      <c r="L89" t="s">
        <v>3126</v>
      </c>
      <c r="M89" t="s">
        <v>4530</v>
      </c>
      <c r="N89" t="s">
        <v>4531</v>
      </c>
      <c r="O89" t="s">
        <v>4532</v>
      </c>
      <c r="P89" t="s">
        <v>4533</v>
      </c>
      <c r="Q89" t="s">
        <v>4534</v>
      </c>
      <c r="R89">
        <v>13632</v>
      </c>
      <c r="S89" t="s">
        <v>3155</v>
      </c>
      <c r="T89">
        <v>5446101966112130</v>
      </c>
      <c r="U89">
        <v>724</v>
      </c>
      <c r="V89">
        <v>42370</v>
      </c>
      <c r="W89" t="s">
        <v>4535</v>
      </c>
      <c r="X89" t="s">
        <v>4536</v>
      </c>
      <c r="Y89" t="s">
        <v>3344</v>
      </c>
      <c r="Z89" t="s">
        <v>4537</v>
      </c>
      <c r="AA89" t="s">
        <v>4538</v>
      </c>
      <c r="AB89" t="s">
        <v>4539</v>
      </c>
      <c r="AC89" t="s">
        <v>4540</v>
      </c>
      <c r="AD89" t="s">
        <v>3220</v>
      </c>
      <c r="AE89">
        <v>146.69999999999999</v>
      </c>
      <c r="AF89">
        <v>66.7</v>
      </c>
      <c r="AG89" t="s">
        <v>3221</v>
      </c>
      <c r="AH89">
        <v>167</v>
      </c>
      <c r="AI89" t="s">
        <v>4541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3143</v>
      </c>
      <c r="C90" t="s">
        <v>3185</v>
      </c>
      <c r="D90" t="s">
        <v>4542</v>
      </c>
      <c r="E90" t="s">
        <v>3224</v>
      </c>
      <c r="F90" t="s">
        <v>4543</v>
      </c>
      <c r="G90" t="s">
        <v>4544</v>
      </c>
      <c r="H90" t="s">
        <v>4545</v>
      </c>
      <c r="I90" t="s">
        <v>3123</v>
      </c>
      <c r="J90" t="s">
        <v>4546</v>
      </c>
      <c r="K90" t="s">
        <v>3125</v>
      </c>
      <c r="L90" t="s">
        <v>3126</v>
      </c>
      <c r="M90" t="s">
        <v>4547</v>
      </c>
      <c r="N90" t="s">
        <v>4548</v>
      </c>
      <c r="O90" t="s">
        <v>4549</v>
      </c>
      <c r="P90" t="s">
        <v>4550</v>
      </c>
      <c r="Q90" t="s">
        <v>4551</v>
      </c>
      <c r="R90">
        <v>31931</v>
      </c>
      <c r="S90" t="s">
        <v>3132</v>
      </c>
      <c r="T90">
        <v>4929961010185900</v>
      </c>
      <c r="U90">
        <v>427</v>
      </c>
      <c r="V90">
        <v>43647</v>
      </c>
      <c r="W90" t="s">
        <v>4552</v>
      </c>
      <c r="X90" t="s">
        <v>4553</v>
      </c>
      <c r="Y90" t="s">
        <v>3135</v>
      </c>
      <c r="Z90" t="s">
        <v>4554</v>
      </c>
      <c r="AA90" t="s">
        <v>4555</v>
      </c>
      <c r="AB90" t="s">
        <v>4556</v>
      </c>
      <c r="AC90" t="s">
        <v>4557</v>
      </c>
      <c r="AD90" t="s">
        <v>3182</v>
      </c>
      <c r="AE90">
        <v>142.80000000000001</v>
      </c>
      <c r="AF90">
        <v>64.900000000000006</v>
      </c>
      <c r="AG90" t="s">
        <v>3221</v>
      </c>
      <c r="AH90">
        <v>167</v>
      </c>
      <c r="AI90" t="s">
        <v>4558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3143</v>
      </c>
      <c r="C91" t="s">
        <v>3144</v>
      </c>
      <c r="D91" t="s">
        <v>4559</v>
      </c>
      <c r="E91" t="s">
        <v>414</v>
      </c>
      <c r="F91" t="s">
        <v>4560</v>
      </c>
      <c r="G91" t="s">
        <v>4561</v>
      </c>
      <c r="H91" t="s">
        <v>2</v>
      </c>
      <c r="I91" t="s">
        <v>3123</v>
      </c>
      <c r="J91" t="s">
        <v>3490</v>
      </c>
      <c r="K91" t="s">
        <v>3125</v>
      </c>
      <c r="L91" t="s">
        <v>3126</v>
      </c>
      <c r="M91" t="s">
        <v>4562</v>
      </c>
      <c r="N91" t="s">
        <v>4563</v>
      </c>
      <c r="O91" t="s">
        <v>4564</v>
      </c>
      <c r="P91" t="s">
        <v>4565</v>
      </c>
      <c r="Q91" t="s">
        <v>4566</v>
      </c>
      <c r="R91">
        <v>16486</v>
      </c>
      <c r="S91" t="s">
        <v>3155</v>
      </c>
      <c r="T91">
        <v>5593155219338320</v>
      </c>
      <c r="U91">
        <v>295</v>
      </c>
      <c r="V91">
        <v>43070</v>
      </c>
      <c r="W91" t="s">
        <v>4567</v>
      </c>
      <c r="X91" t="s">
        <v>4568</v>
      </c>
      <c r="Y91" t="s">
        <v>3289</v>
      </c>
      <c r="Z91" t="s">
        <v>4569</v>
      </c>
      <c r="AA91" t="s">
        <v>4570</v>
      </c>
      <c r="AB91" t="s">
        <v>4571</v>
      </c>
      <c r="AC91" t="s">
        <v>4572</v>
      </c>
      <c r="AD91" t="s">
        <v>3220</v>
      </c>
      <c r="AE91">
        <v>193.8</v>
      </c>
      <c r="AF91">
        <v>88.1</v>
      </c>
      <c r="AG91" t="s">
        <v>4339</v>
      </c>
      <c r="AH91">
        <v>153</v>
      </c>
      <c r="AI91" t="s">
        <v>4573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3143</v>
      </c>
      <c r="C92" t="s">
        <v>3185</v>
      </c>
      <c r="D92" t="s">
        <v>4574</v>
      </c>
      <c r="E92" t="s">
        <v>3778</v>
      </c>
      <c r="F92" t="s">
        <v>4575</v>
      </c>
      <c r="G92" t="s">
        <v>4576</v>
      </c>
      <c r="H92" t="s">
        <v>38</v>
      </c>
      <c r="I92" t="s">
        <v>3123</v>
      </c>
      <c r="J92" t="s">
        <v>4577</v>
      </c>
      <c r="K92" t="s">
        <v>3125</v>
      </c>
      <c r="L92" t="s">
        <v>3126</v>
      </c>
      <c r="M92" t="s">
        <v>4578</v>
      </c>
      <c r="N92" t="s">
        <v>4579</v>
      </c>
      <c r="O92" t="s">
        <v>4580</v>
      </c>
      <c r="P92" t="s">
        <v>4581</v>
      </c>
      <c r="Q92" t="s">
        <v>4582</v>
      </c>
      <c r="R92">
        <v>19847</v>
      </c>
      <c r="S92" t="s">
        <v>3132</v>
      </c>
      <c r="T92">
        <v>4556697484298540</v>
      </c>
      <c r="U92">
        <v>98</v>
      </c>
      <c r="V92">
        <v>43221</v>
      </c>
      <c r="W92" t="s">
        <v>4583</v>
      </c>
      <c r="X92" t="s">
        <v>4584</v>
      </c>
      <c r="Y92" t="s">
        <v>3289</v>
      </c>
      <c r="Z92" t="s">
        <v>4585</v>
      </c>
      <c r="AA92" t="s">
        <v>4586</v>
      </c>
      <c r="AB92" t="s">
        <v>4587</v>
      </c>
      <c r="AC92" t="s">
        <v>4588</v>
      </c>
      <c r="AD92" t="s">
        <v>3182</v>
      </c>
      <c r="AE92">
        <v>176.4</v>
      </c>
      <c r="AF92">
        <v>80.2</v>
      </c>
      <c r="AG92" t="s">
        <v>3257</v>
      </c>
      <c r="AH92">
        <v>165</v>
      </c>
      <c r="AI92" t="s">
        <v>4589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3143</v>
      </c>
      <c r="C93" t="s">
        <v>3185</v>
      </c>
      <c r="D93" t="s">
        <v>4590</v>
      </c>
      <c r="E93" t="s">
        <v>3487</v>
      </c>
      <c r="F93" t="s">
        <v>4591</v>
      </c>
      <c r="G93" t="s">
        <v>4592</v>
      </c>
      <c r="H93" t="s">
        <v>4593</v>
      </c>
      <c r="I93" t="s">
        <v>3123</v>
      </c>
      <c r="J93" t="s">
        <v>4594</v>
      </c>
      <c r="K93" t="s">
        <v>3125</v>
      </c>
      <c r="L93" t="s">
        <v>3126</v>
      </c>
      <c r="M93" t="s">
        <v>4595</v>
      </c>
      <c r="N93" t="s">
        <v>4596</v>
      </c>
      <c r="O93" t="s">
        <v>4597</v>
      </c>
      <c r="P93" t="s">
        <v>4598</v>
      </c>
      <c r="Q93" t="s">
        <v>4599</v>
      </c>
      <c r="R93">
        <v>28871</v>
      </c>
      <c r="S93" t="s">
        <v>3155</v>
      </c>
      <c r="T93">
        <v>5569506901020870</v>
      </c>
      <c r="U93">
        <v>159</v>
      </c>
      <c r="V93">
        <v>43647</v>
      </c>
      <c r="W93" t="s">
        <v>4600</v>
      </c>
      <c r="X93" t="s">
        <v>4601</v>
      </c>
      <c r="Y93" t="s">
        <v>3135</v>
      </c>
      <c r="Z93" t="s">
        <v>4602</v>
      </c>
      <c r="AA93" t="s">
        <v>4603</v>
      </c>
      <c r="AB93" t="s">
        <v>4604</v>
      </c>
      <c r="AC93" t="s">
        <v>4605</v>
      </c>
      <c r="AD93" t="s">
        <v>3276</v>
      </c>
      <c r="AE93">
        <v>174.2</v>
      </c>
      <c r="AF93">
        <v>79.2</v>
      </c>
      <c r="AG93" t="s">
        <v>3221</v>
      </c>
      <c r="AH93">
        <v>167</v>
      </c>
      <c r="AI93" t="s">
        <v>4606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3117</v>
      </c>
      <c r="C94" t="s">
        <v>3118</v>
      </c>
      <c r="D94" t="s">
        <v>4607</v>
      </c>
      <c r="E94" t="s">
        <v>221</v>
      </c>
      <c r="F94" t="s">
        <v>3344</v>
      </c>
      <c r="G94" t="s">
        <v>4608</v>
      </c>
      <c r="H94" t="s">
        <v>4609</v>
      </c>
      <c r="I94" t="s">
        <v>3123</v>
      </c>
      <c r="J94" t="s">
        <v>4610</v>
      </c>
      <c r="K94" t="s">
        <v>3125</v>
      </c>
      <c r="L94" t="s">
        <v>3126</v>
      </c>
      <c r="M94" t="s">
        <v>4611</v>
      </c>
      <c r="N94" t="s">
        <v>4612</v>
      </c>
      <c r="O94" t="s">
        <v>4613</v>
      </c>
      <c r="P94" t="s">
        <v>4614</v>
      </c>
      <c r="Q94" t="s">
        <v>4615</v>
      </c>
      <c r="R94">
        <v>22161</v>
      </c>
      <c r="S94" t="s">
        <v>3155</v>
      </c>
      <c r="T94">
        <v>5419117354070530</v>
      </c>
      <c r="U94">
        <v>355</v>
      </c>
      <c r="V94">
        <v>43800</v>
      </c>
      <c r="W94" t="s">
        <v>4616</v>
      </c>
      <c r="X94" t="s">
        <v>4617</v>
      </c>
      <c r="Y94" t="s">
        <v>3135</v>
      </c>
      <c r="Z94" t="s">
        <v>4618</v>
      </c>
      <c r="AA94" t="s">
        <v>4494</v>
      </c>
      <c r="AB94" t="s">
        <v>4619</v>
      </c>
      <c r="AC94" t="s">
        <v>4620</v>
      </c>
      <c r="AD94" t="s">
        <v>3182</v>
      </c>
      <c r="AE94">
        <v>245.5</v>
      </c>
      <c r="AF94">
        <v>111.6</v>
      </c>
      <c r="AG94" t="s">
        <v>3183</v>
      </c>
      <c r="AH94">
        <v>176</v>
      </c>
      <c r="AI94" t="s">
        <v>4621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3117</v>
      </c>
      <c r="C95" t="s">
        <v>3118</v>
      </c>
      <c r="D95" t="s">
        <v>4622</v>
      </c>
      <c r="E95" t="s">
        <v>3487</v>
      </c>
      <c r="F95" t="s">
        <v>4623</v>
      </c>
      <c r="G95" t="s">
        <v>4624</v>
      </c>
      <c r="H95" t="s">
        <v>3861</v>
      </c>
      <c r="I95" t="s">
        <v>3123</v>
      </c>
      <c r="J95" t="s">
        <v>3862</v>
      </c>
      <c r="K95" t="s">
        <v>3125</v>
      </c>
      <c r="L95" t="s">
        <v>3126</v>
      </c>
      <c r="M95" t="s">
        <v>4625</v>
      </c>
      <c r="N95" t="s">
        <v>4626</v>
      </c>
      <c r="O95" t="s">
        <v>4627</v>
      </c>
      <c r="P95" t="s">
        <v>4628</v>
      </c>
      <c r="Q95" t="s">
        <v>4629</v>
      </c>
      <c r="R95">
        <v>26286</v>
      </c>
      <c r="S95" t="s">
        <v>3132</v>
      </c>
      <c r="T95">
        <v>4556900001278110</v>
      </c>
      <c r="U95">
        <v>436</v>
      </c>
      <c r="V95">
        <v>43435</v>
      </c>
      <c r="W95" t="s">
        <v>4630</v>
      </c>
      <c r="X95" t="s">
        <v>4631</v>
      </c>
      <c r="Y95" t="s">
        <v>3158</v>
      </c>
      <c r="Z95" t="s">
        <v>4632</v>
      </c>
      <c r="AA95" t="s">
        <v>4633</v>
      </c>
      <c r="AB95" t="s">
        <v>4634</v>
      </c>
      <c r="AC95" t="s">
        <v>4635</v>
      </c>
      <c r="AD95" t="s">
        <v>3276</v>
      </c>
      <c r="AE95">
        <v>174.2</v>
      </c>
      <c r="AF95">
        <v>79.2</v>
      </c>
      <c r="AG95" t="s">
        <v>3597</v>
      </c>
      <c r="AH95">
        <v>188</v>
      </c>
      <c r="AI95" t="s">
        <v>4636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3143</v>
      </c>
      <c r="C96" t="s">
        <v>3144</v>
      </c>
      <c r="D96" t="s">
        <v>4637</v>
      </c>
      <c r="E96" t="s">
        <v>3778</v>
      </c>
      <c r="F96" t="s">
        <v>3495</v>
      </c>
      <c r="G96" t="s">
        <v>4638</v>
      </c>
      <c r="H96" t="s">
        <v>2</v>
      </c>
      <c r="I96" t="s">
        <v>3123</v>
      </c>
      <c r="J96" t="s">
        <v>4063</v>
      </c>
      <c r="K96" t="s">
        <v>3125</v>
      </c>
      <c r="L96" t="s">
        <v>3126</v>
      </c>
      <c r="M96" t="s">
        <v>4639</v>
      </c>
      <c r="N96" t="s">
        <v>4640</v>
      </c>
      <c r="O96" t="s">
        <v>4641</v>
      </c>
      <c r="P96" t="s">
        <v>4642</v>
      </c>
      <c r="Q96" t="s">
        <v>4643</v>
      </c>
      <c r="R96">
        <v>32496</v>
      </c>
      <c r="S96" t="s">
        <v>3155</v>
      </c>
      <c r="T96">
        <v>5298189796222490</v>
      </c>
      <c r="U96">
        <v>333</v>
      </c>
      <c r="V96">
        <v>43040</v>
      </c>
      <c r="W96" t="s">
        <v>4644</v>
      </c>
      <c r="X96" t="s">
        <v>4645</v>
      </c>
      <c r="Y96" t="s">
        <v>3197</v>
      </c>
      <c r="Z96" t="s">
        <v>4646</v>
      </c>
      <c r="AA96" t="s">
        <v>3727</v>
      </c>
      <c r="AB96" t="s">
        <v>4647</v>
      </c>
      <c r="AC96" t="s">
        <v>4648</v>
      </c>
      <c r="AD96" t="s">
        <v>3276</v>
      </c>
      <c r="AE96">
        <v>186.3</v>
      </c>
      <c r="AF96">
        <v>84.7</v>
      </c>
      <c r="AG96" t="s">
        <v>3631</v>
      </c>
      <c r="AH96">
        <v>160</v>
      </c>
      <c r="AI96" t="s">
        <v>4649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3143</v>
      </c>
      <c r="C97" t="s">
        <v>3144</v>
      </c>
      <c r="D97" t="s">
        <v>4650</v>
      </c>
      <c r="E97" t="s">
        <v>3682</v>
      </c>
      <c r="F97" t="s">
        <v>4651</v>
      </c>
      <c r="G97" t="s">
        <v>4652</v>
      </c>
      <c r="H97" t="s">
        <v>2</v>
      </c>
      <c r="I97" t="s">
        <v>3123</v>
      </c>
      <c r="J97" t="s">
        <v>3490</v>
      </c>
      <c r="K97" t="s">
        <v>3125</v>
      </c>
      <c r="L97" t="s">
        <v>3126</v>
      </c>
      <c r="M97" t="s">
        <v>4653</v>
      </c>
      <c r="N97" t="s">
        <v>4654</v>
      </c>
      <c r="O97" t="s">
        <v>4655</v>
      </c>
      <c r="P97" t="s">
        <v>4656</v>
      </c>
      <c r="Q97" t="s">
        <v>4657</v>
      </c>
      <c r="R97">
        <v>21939</v>
      </c>
      <c r="S97" t="s">
        <v>3132</v>
      </c>
      <c r="T97">
        <v>4485737923936180</v>
      </c>
      <c r="U97">
        <v>757</v>
      </c>
      <c r="V97">
        <v>43586</v>
      </c>
      <c r="W97" t="s">
        <v>4658</v>
      </c>
      <c r="X97" t="s">
        <v>4659</v>
      </c>
      <c r="Y97" t="s">
        <v>3135</v>
      </c>
      <c r="Z97" t="s">
        <v>4660</v>
      </c>
      <c r="AA97" t="s">
        <v>4661</v>
      </c>
      <c r="AB97" t="s">
        <v>4662</v>
      </c>
      <c r="AC97" t="s">
        <v>4663</v>
      </c>
      <c r="AD97" t="s">
        <v>3182</v>
      </c>
      <c r="AE97">
        <v>207.2</v>
      </c>
      <c r="AF97">
        <v>94.2</v>
      </c>
      <c r="AG97" t="s">
        <v>3330</v>
      </c>
      <c r="AH97">
        <v>170</v>
      </c>
      <c r="AI97" t="s">
        <v>4664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3143</v>
      </c>
      <c r="C98" t="s">
        <v>3185</v>
      </c>
      <c r="D98" t="s">
        <v>4665</v>
      </c>
      <c r="E98" t="s">
        <v>3120</v>
      </c>
      <c r="F98" t="s">
        <v>4666</v>
      </c>
      <c r="G98" t="s">
        <v>4667</v>
      </c>
      <c r="H98" t="s">
        <v>3472</v>
      </c>
      <c r="I98" t="s">
        <v>3123</v>
      </c>
      <c r="J98" t="s">
        <v>4109</v>
      </c>
      <c r="K98" t="s">
        <v>3125</v>
      </c>
      <c r="L98" t="s">
        <v>3126</v>
      </c>
      <c r="M98" t="s">
        <v>4668</v>
      </c>
      <c r="N98" t="s">
        <v>4669</v>
      </c>
      <c r="O98" t="s">
        <v>4670</v>
      </c>
      <c r="P98" t="s">
        <v>4671</v>
      </c>
      <c r="Q98" t="s">
        <v>4168</v>
      </c>
      <c r="R98">
        <v>18738</v>
      </c>
      <c r="S98" t="s">
        <v>3155</v>
      </c>
      <c r="T98">
        <v>5308046634468260</v>
      </c>
      <c r="U98">
        <v>698</v>
      </c>
      <c r="V98">
        <v>42005</v>
      </c>
      <c r="W98" t="s">
        <v>4672</v>
      </c>
      <c r="X98" t="s">
        <v>4673</v>
      </c>
      <c r="Y98" t="s">
        <v>3135</v>
      </c>
      <c r="Z98" t="s">
        <v>4674</v>
      </c>
      <c r="AA98" t="s">
        <v>4675</v>
      </c>
      <c r="AB98" t="s">
        <v>4676</v>
      </c>
      <c r="AC98" t="s">
        <v>4677</v>
      </c>
      <c r="AD98" t="s">
        <v>3220</v>
      </c>
      <c r="AE98">
        <v>110</v>
      </c>
      <c r="AF98">
        <v>50</v>
      </c>
      <c r="AG98" t="s">
        <v>4339</v>
      </c>
      <c r="AH98">
        <v>153</v>
      </c>
      <c r="AI98" t="s">
        <v>4678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3117</v>
      </c>
      <c r="C99" t="s">
        <v>3118</v>
      </c>
      <c r="D99" t="s">
        <v>4679</v>
      </c>
      <c r="E99" t="s">
        <v>418</v>
      </c>
      <c r="F99" t="s">
        <v>4680</v>
      </c>
      <c r="G99" t="s">
        <v>4681</v>
      </c>
      <c r="H99" t="s">
        <v>4682</v>
      </c>
      <c r="I99" t="s">
        <v>3123</v>
      </c>
      <c r="J99" t="s">
        <v>4683</v>
      </c>
      <c r="K99" t="s">
        <v>3125</v>
      </c>
      <c r="L99" t="s">
        <v>3126</v>
      </c>
      <c r="M99" t="s">
        <v>4684</v>
      </c>
      <c r="N99" t="s">
        <v>4685</v>
      </c>
      <c r="O99" t="s">
        <v>4686</v>
      </c>
      <c r="P99" t="s">
        <v>4687</v>
      </c>
      <c r="Q99" t="s">
        <v>4688</v>
      </c>
      <c r="R99">
        <v>33771</v>
      </c>
      <c r="S99" t="s">
        <v>3132</v>
      </c>
      <c r="T99">
        <v>4916866971041800</v>
      </c>
      <c r="U99">
        <v>522</v>
      </c>
      <c r="V99">
        <v>42767</v>
      </c>
      <c r="W99" t="s">
        <v>4689</v>
      </c>
      <c r="X99" t="s">
        <v>4690</v>
      </c>
      <c r="Y99" t="s">
        <v>3344</v>
      </c>
      <c r="Z99" t="s">
        <v>4691</v>
      </c>
      <c r="AA99" t="s">
        <v>4692</v>
      </c>
      <c r="AB99" t="s">
        <v>4693</v>
      </c>
      <c r="AC99" t="s">
        <v>4694</v>
      </c>
      <c r="AD99" t="s">
        <v>3276</v>
      </c>
      <c r="AE99">
        <v>198.4</v>
      </c>
      <c r="AF99">
        <v>90.2</v>
      </c>
      <c r="AG99" t="s">
        <v>3141</v>
      </c>
      <c r="AH99">
        <v>185</v>
      </c>
      <c r="AI99" t="s">
        <v>4695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3143</v>
      </c>
      <c r="C100" t="s">
        <v>3144</v>
      </c>
      <c r="D100" t="s">
        <v>4696</v>
      </c>
      <c r="E100" t="s">
        <v>3120</v>
      </c>
      <c r="F100" t="s">
        <v>4470</v>
      </c>
      <c r="G100" t="s">
        <v>4697</v>
      </c>
      <c r="H100" t="s">
        <v>38</v>
      </c>
      <c r="I100" t="s">
        <v>3123</v>
      </c>
      <c r="J100" t="s">
        <v>60</v>
      </c>
      <c r="K100" t="s">
        <v>3125</v>
      </c>
      <c r="L100" t="s">
        <v>3126</v>
      </c>
      <c r="M100" t="s">
        <v>4698</v>
      </c>
      <c r="N100" t="s">
        <v>4699</v>
      </c>
      <c r="O100" t="s">
        <v>4700</v>
      </c>
      <c r="P100" t="s">
        <v>4701</v>
      </c>
      <c r="Q100" t="s">
        <v>4702</v>
      </c>
      <c r="R100">
        <v>17966</v>
      </c>
      <c r="S100" t="s">
        <v>3155</v>
      </c>
      <c r="T100">
        <v>5218535350393930</v>
      </c>
      <c r="U100">
        <v>932</v>
      </c>
      <c r="V100">
        <v>43160</v>
      </c>
      <c r="W100" t="s">
        <v>4703</v>
      </c>
      <c r="X100" t="s">
        <v>4704</v>
      </c>
      <c r="Y100" t="s">
        <v>3446</v>
      </c>
      <c r="Z100" t="s">
        <v>4705</v>
      </c>
      <c r="AA100" t="s">
        <v>4706</v>
      </c>
      <c r="AB100" t="s">
        <v>4707</v>
      </c>
      <c r="AC100" t="s">
        <v>4708</v>
      </c>
      <c r="AD100" t="s">
        <v>3182</v>
      </c>
      <c r="AE100">
        <v>193.6</v>
      </c>
      <c r="AF100">
        <v>88</v>
      </c>
      <c r="AG100" t="s">
        <v>3202</v>
      </c>
      <c r="AH100">
        <v>158</v>
      </c>
      <c r="AI100" t="s">
        <v>4709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3117</v>
      </c>
      <c r="C101" t="s">
        <v>3118</v>
      </c>
      <c r="D101" t="s">
        <v>4710</v>
      </c>
      <c r="E101" t="s">
        <v>3120</v>
      </c>
      <c r="F101" t="s">
        <v>4711</v>
      </c>
      <c r="G101" t="s">
        <v>4712</v>
      </c>
      <c r="H101" t="s">
        <v>38</v>
      </c>
      <c r="I101" t="s">
        <v>3123</v>
      </c>
      <c r="J101" t="s">
        <v>60</v>
      </c>
      <c r="K101" t="s">
        <v>3125</v>
      </c>
      <c r="L101" t="s">
        <v>3126</v>
      </c>
      <c r="M101" t="s">
        <v>4713</v>
      </c>
      <c r="N101" t="s">
        <v>4714</v>
      </c>
      <c r="O101" t="s">
        <v>4715</v>
      </c>
      <c r="P101" t="s">
        <v>4716</v>
      </c>
      <c r="Q101" t="s">
        <v>4717</v>
      </c>
      <c r="R101">
        <v>17081</v>
      </c>
      <c r="S101" t="s">
        <v>3155</v>
      </c>
      <c r="T101">
        <v>5564732146100370</v>
      </c>
      <c r="U101">
        <v>523</v>
      </c>
      <c r="V101">
        <v>42795</v>
      </c>
      <c r="W101" t="s">
        <v>4718</v>
      </c>
      <c r="X101" t="s">
        <v>4719</v>
      </c>
      <c r="Y101" t="s">
        <v>3135</v>
      </c>
      <c r="Z101" t="s">
        <v>4720</v>
      </c>
      <c r="AA101" t="s">
        <v>3773</v>
      </c>
      <c r="AB101" t="s">
        <v>4721</v>
      </c>
      <c r="AC101" t="s">
        <v>4722</v>
      </c>
      <c r="AD101" t="s">
        <v>3163</v>
      </c>
      <c r="AE101">
        <v>169.8</v>
      </c>
      <c r="AF101">
        <v>77.2</v>
      </c>
      <c r="AG101" t="s">
        <v>4180</v>
      </c>
      <c r="AH101">
        <v>163</v>
      </c>
      <c r="AI101" t="s">
        <v>4723</v>
      </c>
      <c r="AJ101">
        <v>49.29148</v>
      </c>
      <c r="AK101">
        <v>-123.161027</v>
      </c>
    </row>
    <row r="102" spans="1:37" x14ac:dyDescent="0.3">
      <c r="A102">
        <v>574</v>
      </c>
      <c r="B102" t="s">
        <v>3117</v>
      </c>
      <c r="C102" t="s">
        <v>3118</v>
      </c>
      <c r="D102" t="s">
        <v>3802</v>
      </c>
      <c r="E102" t="s">
        <v>3260</v>
      </c>
      <c r="F102" t="s">
        <v>3261</v>
      </c>
      <c r="G102" t="s">
        <v>4724</v>
      </c>
      <c r="H102" t="s">
        <v>30</v>
      </c>
      <c r="I102" t="s">
        <v>3123</v>
      </c>
      <c r="J102" t="s">
        <v>4725</v>
      </c>
      <c r="K102" t="s">
        <v>3125</v>
      </c>
      <c r="L102" t="s">
        <v>3126</v>
      </c>
      <c r="M102" t="s">
        <v>4726</v>
      </c>
      <c r="N102" t="s">
        <v>4727</v>
      </c>
      <c r="O102" t="s">
        <v>4728</v>
      </c>
      <c r="P102" t="s">
        <v>4729</v>
      </c>
      <c r="Q102" t="s">
        <v>4730</v>
      </c>
      <c r="R102">
        <v>23493</v>
      </c>
      <c r="S102" t="s">
        <v>3155</v>
      </c>
      <c r="T102">
        <v>5122438467452050</v>
      </c>
      <c r="U102">
        <v>893</v>
      </c>
      <c r="V102">
        <v>43313</v>
      </c>
      <c r="W102" t="s">
        <v>4731</v>
      </c>
      <c r="X102" t="s">
        <v>4732</v>
      </c>
      <c r="Y102" t="s">
        <v>3135</v>
      </c>
      <c r="Z102" t="s">
        <v>4733</v>
      </c>
      <c r="AA102" t="s">
        <v>4734</v>
      </c>
      <c r="AB102" t="s">
        <v>4735</v>
      </c>
      <c r="AC102" t="s">
        <v>4736</v>
      </c>
      <c r="AD102" t="s">
        <v>3220</v>
      </c>
      <c r="AE102">
        <v>193.2</v>
      </c>
      <c r="AF102">
        <v>87.8</v>
      </c>
      <c r="AG102" t="s">
        <v>3330</v>
      </c>
      <c r="AH102">
        <v>171</v>
      </c>
      <c r="AI102" t="s">
        <v>4737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3143</v>
      </c>
      <c r="C103" t="s">
        <v>3144</v>
      </c>
      <c r="D103" t="s">
        <v>4738</v>
      </c>
      <c r="E103" t="s">
        <v>3120</v>
      </c>
      <c r="F103" t="s">
        <v>4739</v>
      </c>
      <c r="G103" t="s">
        <v>4740</v>
      </c>
      <c r="H103" t="s">
        <v>4046</v>
      </c>
      <c r="I103" t="s">
        <v>3123</v>
      </c>
      <c r="J103" t="s">
        <v>4047</v>
      </c>
      <c r="K103" t="s">
        <v>3125</v>
      </c>
      <c r="L103" t="s">
        <v>3126</v>
      </c>
      <c r="M103" t="s">
        <v>4741</v>
      </c>
      <c r="N103" t="s">
        <v>4742</v>
      </c>
      <c r="O103" t="s">
        <v>4743</v>
      </c>
      <c r="P103" t="s">
        <v>4744</v>
      </c>
      <c r="Q103" t="s">
        <v>4745</v>
      </c>
      <c r="R103">
        <v>20344</v>
      </c>
      <c r="S103" t="s">
        <v>3155</v>
      </c>
      <c r="T103">
        <v>5516327624489540</v>
      </c>
      <c r="U103">
        <v>495</v>
      </c>
      <c r="V103">
        <v>43282</v>
      </c>
      <c r="W103" t="s">
        <v>4746</v>
      </c>
      <c r="X103" t="s">
        <v>4747</v>
      </c>
      <c r="Y103" t="s">
        <v>3344</v>
      </c>
      <c r="Z103" t="s">
        <v>4748</v>
      </c>
      <c r="AA103" t="s">
        <v>4749</v>
      </c>
      <c r="AB103" t="s">
        <v>4750</v>
      </c>
      <c r="AC103" t="s">
        <v>4751</v>
      </c>
      <c r="AD103" t="s">
        <v>3220</v>
      </c>
      <c r="AE103">
        <v>207.2</v>
      </c>
      <c r="AF103">
        <v>94.2</v>
      </c>
      <c r="AG103" t="s">
        <v>3257</v>
      </c>
      <c r="AH103">
        <v>165</v>
      </c>
      <c r="AI103" t="s">
        <v>4752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3117</v>
      </c>
      <c r="C104" t="s">
        <v>3118</v>
      </c>
      <c r="D104" t="s">
        <v>4753</v>
      </c>
      <c r="E104" t="s">
        <v>417</v>
      </c>
      <c r="F104" t="s">
        <v>3673</v>
      </c>
      <c r="G104" t="s">
        <v>4754</v>
      </c>
      <c r="H104" t="s">
        <v>34</v>
      </c>
      <c r="I104" t="s">
        <v>3123</v>
      </c>
      <c r="J104" t="s">
        <v>4755</v>
      </c>
      <c r="K104" t="s">
        <v>3125</v>
      </c>
      <c r="L104" t="s">
        <v>3126</v>
      </c>
      <c r="M104" t="s">
        <v>4756</v>
      </c>
      <c r="N104" t="s">
        <v>4757</v>
      </c>
      <c r="O104" t="s">
        <v>4758</v>
      </c>
      <c r="P104" t="s">
        <v>4759</v>
      </c>
      <c r="Q104" t="s">
        <v>4760</v>
      </c>
      <c r="R104">
        <v>29549</v>
      </c>
      <c r="S104" t="s">
        <v>3132</v>
      </c>
      <c r="T104">
        <v>4556006750584020</v>
      </c>
      <c r="U104">
        <v>415</v>
      </c>
      <c r="V104">
        <v>43344</v>
      </c>
      <c r="W104" t="s">
        <v>4761</v>
      </c>
      <c r="X104" t="s">
        <v>4762</v>
      </c>
      <c r="Y104" t="s">
        <v>3135</v>
      </c>
      <c r="Z104" t="s">
        <v>4763</v>
      </c>
      <c r="AA104" t="s">
        <v>4764</v>
      </c>
      <c r="AB104" t="s">
        <v>4765</v>
      </c>
      <c r="AC104" t="s">
        <v>4766</v>
      </c>
      <c r="AD104" t="s">
        <v>3220</v>
      </c>
      <c r="AE104">
        <v>182.2</v>
      </c>
      <c r="AF104">
        <v>82.8</v>
      </c>
      <c r="AG104" t="s">
        <v>3221</v>
      </c>
      <c r="AH104">
        <v>168</v>
      </c>
      <c r="AI104" t="s">
        <v>4767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3143</v>
      </c>
      <c r="C105" t="s">
        <v>3185</v>
      </c>
      <c r="D105" t="s">
        <v>4768</v>
      </c>
      <c r="E105" t="s">
        <v>414</v>
      </c>
      <c r="F105" t="s">
        <v>4769</v>
      </c>
      <c r="G105" t="s">
        <v>4770</v>
      </c>
      <c r="H105" t="s">
        <v>4771</v>
      </c>
      <c r="I105" t="s">
        <v>3123</v>
      </c>
      <c r="J105" t="s">
        <v>4772</v>
      </c>
      <c r="K105" t="s">
        <v>3125</v>
      </c>
      <c r="L105" t="s">
        <v>3126</v>
      </c>
      <c r="M105" t="s">
        <v>4773</v>
      </c>
      <c r="N105" t="s">
        <v>4774</v>
      </c>
      <c r="O105" t="s">
        <v>4775</v>
      </c>
      <c r="P105" t="s">
        <v>4776</v>
      </c>
      <c r="Q105" t="s">
        <v>3344</v>
      </c>
      <c r="R105">
        <v>16535</v>
      </c>
      <c r="S105" t="s">
        <v>3155</v>
      </c>
      <c r="T105">
        <v>5510811939782190</v>
      </c>
      <c r="U105">
        <v>838</v>
      </c>
      <c r="V105">
        <v>42217</v>
      </c>
      <c r="W105" t="s">
        <v>4777</v>
      </c>
      <c r="X105" t="s">
        <v>4778</v>
      </c>
      <c r="Y105" t="s">
        <v>3344</v>
      </c>
      <c r="Z105" t="s">
        <v>4779</v>
      </c>
      <c r="AA105" t="s">
        <v>3137</v>
      </c>
      <c r="AB105" t="s">
        <v>4780</v>
      </c>
      <c r="AC105" t="s">
        <v>4781</v>
      </c>
      <c r="AD105" t="s">
        <v>3182</v>
      </c>
      <c r="AE105">
        <v>208.6</v>
      </c>
      <c r="AF105">
        <v>94.8</v>
      </c>
      <c r="AG105" t="s">
        <v>4339</v>
      </c>
      <c r="AH105">
        <v>152</v>
      </c>
      <c r="AI105" t="s">
        <v>4782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3117</v>
      </c>
      <c r="C106" t="s">
        <v>3118</v>
      </c>
      <c r="D106" t="s">
        <v>4783</v>
      </c>
      <c r="E106" t="s">
        <v>3260</v>
      </c>
      <c r="F106" t="s">
        <v>4784</v>
      </c>
      <c r="G106" t="s">
        <v>4785</v>
      </c>
      <c r="H106" t="s">
        <v>3368</v>
      </c>
      <c r="I106" t="s">
        <v>3123</v>
      </c>
      <c r="J106" t="s">
        <v>4786</v>
      </c>
      <c r="K106" t="s">
        <v>3125</v>
      </c>
      <c r="L106" t="s">
        <v>3126</v>
      </c>
      <c r="M106" t="s">
        <v>4787</v>
      </c>
      <c r="N106" t="s">
        <v>4788</v>
      </c>
      <c r="O106" t="s">
        <v>4789</v>
      </c>
      <c r="P106" t="s">
        <v>4790</v>
      </c>
      <c r="Q106" t="s">
        <v>4791</v>
      </c>
      <c r="R106">
        <v>18198</v>
      </c>
      <c r="S106" t="s">
        <v>3155</v>
      </c>
      <c r="T106">
        <v>5263111727367260</v>
      </c>
      <c r="U106">
        <v>725</v>
      </c>
      <c r="V106">
        <v>42856</v>
      </c>
      <c r="W106" t="s">
        <v>4792</v>
      </c>
      <c r="X106" t="s">
        <v>4793</v>
      </c>
      <c r="Y106" t="s">
        <v>3289</v>
      </c>
      <c r="Z106" t="s">
        <v>4794</v>
      </c>
      <c r="AA106" t="s">
        <v>3660</v>
      </c>
      <c r="AB106" t="s">
        <v>4795</v>
      </c>
      <c r="AC106" t="s">
        <v>4796</v>
      </c>
      <c r="AD106" t="s">
        <v>3182</v>
      </c>
      <c r="AE106">
        <v>169</v>
      </c>
      <c r="AF106">
        <v>76.8</v>
      </c>
      <c r="AG106" t="s">
        <v>3312</v>
      </c>
      <c r="AH106">
        <v>182</v>
      </c>
      <c r="AI106" t="s">
        <v>4797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3143</v>
      </c>
      <c r="C107" t="s">
        <v>3144</v>
      </c>
      <c r="D107" t="s">
        <v>4798</v>
      </c>
      <c r="E107" t="s">
        <v>3120</v>
      </c>
      <c r="F107" t="s">
        <v>4799</v>
      </c>
      <c r="G107" t="s">
        <v>4800</v>
      </c>
      <c r="H107" t="s">
        <v>30</v>
      </c>
      <c r="I107" t="s">
        <v>3123</v>
      </c>
      <c r="J107" t="s">
        <v>4801</v>
      </c>
      <c r="K107" t="s">
        <v>3125</v>
      </c>
      <c r="L107" t="s">
        <v>3126</v>
      </c>
      <c r="M107" t="s">
        <v>4802</v>
      </c>
      <c r="N107" t="s">
        <v>4803</v>
      </c>
      <c r="O107" t="s">
        <v>4804</v>
      </c>
      <c r="P107" t="s">
        <v>4805</v>
      </c>
      <c r="Q107" t="s">
        <v>4806</v>
      </c>
      <c r="R107">
        <v>20923</v>
      </c>
      <c r="S107" t="s">
        <v>3132</v>
      </c>
      <c r="T107">
        <v>4532299790581600</v>
      </c>
      <c r="U107">
        <v>909</v>
      </c>
      <c r="V107">
        <v>43282</v>
      </c>
      <c r="W107" t="s">
        <v>4807</v>
      </c>
      <c r="X107" t="s">
        <v>4808</v>
      </c>
      <c r="Y107" t="s">
        <v>3194</v>
      </c>
      <c r="Z107" t="s">
        <v>4809</v>
      </c>
      <c r="AA107" t="s">
        <v>4810</v>
      </c>
      <c r="AB107" t="s">
        <v>4811</v>
      </c>
      <c r="AC107" t="s">
        <v>4812</v>
      </c>
      <c r="AD107" t="s">
        <v>3182</v>
      </c>
      <c r="AE107">
        <v>142.30000000000001</v>
      </c>
      <c r="AF107">
        <v>64.7</v>
      </c>
      <c r="AG107" t="s">
        <v>3330</v>
      </c>
      <c r="AH107">
        <v>170</v>
      </c>
      <c r="AI107" t="s">
        <v>4813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3143</v>
      </c>
      <c r="C108" t="s">
        <v>3144</v>
      </c>
      <c r="D108" t="s">
        <v>3417</v>
      </c>
      <c r="E108" t="s">
        <v>3120</v>
      </c>
      <c r="F108" t="s">
        <v>4814</v>
      </c>
      <c r="G108" t="s">
        <v>4815</v>
      </c>
      <c r="H108" t="s">
        <v>3522</v>
      </c>
      <c r="I108" t="s">
        <v>3123</v>
      </c>
      <c r="J108" t="s">
        <v>4816</v>
      </c>
      <c r="K108" t="s">
        <v>3125</v>
      </c>
      <c r="L108" t="s">
        <v>3126</v>
      </c>
      <c r="M108" t="s">
        <v>4817</v>
      </c>
      <c r="N108" t="s">
        <v>4818</v>
      </c>
      <c r="O108" t="s">
        <v>4819</v>
      </c>
      <c r="P108" t="s">
        <v>4820</v>
      </c>
      <c r="Q108" t="s">
        <v>4821</v>
      </c>
      <c r="R108">
        <v>13810</v>
      </c>
      <c r="S108" t="s">
        <v>3132</v>
      </c>
      <c r="T108">
        <v>4716127454634710</v>
      </c>
      <c r="U108">
        <v>215</v>
      </c>
      <c r="V108">
        <v>42339</v>
      </c>
      <c r="W108" t="s">
        <v>4822</v>
      </c>
      <c r="X108" t="s">
        <v>4823</v>
      </c>
      <c r="Y108" t="s">
        <v>3289</v>
      </c>
      <c r="Z108" t="s">
        <v>4824</v>
      </c>
      <c r="AA108" t="s">
        <v>4825</v>
      </c>
      <c r="AB108" t="s">
        <v>4826</v>
      </c>
      <c r="AC108" t="s">
        <v>4827</v>
      </c>
      <c r="AD108" t="s">
        <v>3220</v>
      </c>
      <c r="AE108">
        <v>117</v>
      </c>
      <c r="AF108">
        <v>53.2</v>
      </c>
      <c r="AG108" t="s">
        <v>4180</v>
      </c>
      <c r="AH108">
        <v>163</v>
      </c>
      <c r="AI108" t="s">
        <v>4828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3143</v>
      </c>
      <c r="C109" t="s">
        <v>3144</v>
      </c>
      <c r="D109" t="s">
        <v>4829</v>
      </c>
      <c r="E109" t="s">
        <v>414</v>
      </c>
      <c r="F109" t="s">
        <v>4830</v>
      </c>
      <c r="G109" t="s">
        <v>4831</v>
      </c>
      <c r="H109" t="s">
        <v>38</v>
      </c>
      <c r="I109" t="s">
        <v>3123</v>
      </c>
      <c r="J109" t="s">
        <v>3797</v>
      </c>
      <c r="K109" t="s">
        <v>3125</v>
      </c>
      <c r="L109" t="s">
        <v>3126</v>
      </c>
      <c r="M109" t="s">
        <v>4832</v>
      </c>
      <c r="N109" t="s">
        <v>4833</v>
      </c>
      <c r="O109" t="s">
        <v>4834</v>
      </c>
      <c r="P109" t="s">
        <v>4835</v>
      </c>
      <c r="Q109" t="s">
        <v>4836</v>
      </c>
      <c r="R109">
        <v>32912</v>
      </c>
      <c r="S109" t="s">
        <v>3155</v>
      </c>
      <c r="T109">
        <v>5419988907510310</v>
      </c>
      <c r="U109">
        <v>206</v>
      </c>
      <c r="V109">
        <v>43009</v>
      </c>
      <c r="W109" t="s">
        <v>4837</v>
      </c>
      <c r="X109" t="s">
        <v>4838</v>
      </c>
      <c r="Y109" t="s">
        <v>3135</v>
      </c>
      <c r="Z109" t="s">
        <v>4839</v>
      </c>
      <c r="AA109" t="s">
        <v>4840</v>
      </c>
      <c r="AB109" t="s">
        <v>4841</v>
      </c>
      <c r="AC109" t="s">
        <v>4842</v>
      </c>
      <c r="AD109" t="s">
        <v>3182</v>
      </c>
      <c r="AE109">
        <v>206.4</v>
      </c>
      <c r="AF109">
        <v>93.8</v>
      </c>
      <c r="AG109" t="s">
        <v>4180</v>
      </c>
      <c r="AH109">
        <v>163</v>
      </c>
      <c r="AI109" t="s">
        <v>4843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3143</v>
      </c>
      <c r="C110" t="s">
        <v>3144</v>
      </c>
      <c r="D110" t="s">
        <v>4844</v>
      </c>
      <c r="E110" t="s">
        <v>417</v>
      </c>
      <c r="F110" t="s">
        <v>4845</v>
      </c>
      <c r="G110" t="s">
        <v>4846</v>
      </c>
      <c r="H110" t="s">
        <v>4847</v>
      </c>
      <c r="I110" t="s">
        <v>3123</v>
      </c>
      <c r="J110" t="s">
        <v>4848</v>
      </c>
      <c r="K110" t="s">
        <v>3125</v>
      </c>
      <c r="L110" t="s">
        <v>3126</v>
      </c>
      <c r="M110" t="s">
        <v>4849</v>
      </c>
      <c r="N110" t="s">
        <v>4850</v>
      </c>
      <c r="O110" t="s">
        <v>4851</v>
      </c>
      <c r="P110" t="s">
        <v>4852</v>
      </c>
      <c r="Q110" t="s">
        <v>4853</v>
      </c>
      <c r="R110">
        <v>16388</v>
      </c>
      <c r="S110" t="s">
        <v>3132</v>
      </c>
      <c r="T110">
        <v>4716445918373890</v>
      </c>
      <c r="U110">
        <v>351</v>
      </c>
      <c r="V110">
        <v>43586</v>
      </c>
      <c r="W110" t="s">
        <v>4854</v>
      </c>
      <c r="X110" t="s">
        <v>4855</v>
      </c>
      <c r="Y110" t="s">
        <v>3135</v>
      </c>
      <c r="Z110" t="s">
        <v>4856</v>
      </c>
      <c r="AA110" t="s">
        <v>4857</v>
      </c>
      <c r="AB110" t="s">
        <v>4858</v>
      </c>
      <c r="AC110" t="s">
        <v>4859</v>
      </c>
      <c r="AD110" t="s">
        <v>3182</v>
      </c>
      <c r="AE110">
        <v>210.1</v>
      </c>
      <c r="AF110">
        <v>95.5</v>
      </c>
      <c r="AG110" t="s">
        <v>3221</v>
      </c>
      <c r="AH110">
        <v>168</v>
      </c>
      <c r="AI110" t="s">
        <v>4860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3117</v>
      </c>
      <c r="C111" t="s">
        <v>4166</v>
      </c>
      <c r="D111" t="s">
        <v>4861</v>
      </c>
      <c r="E111" t="s">
        <v>221</v>
      </c>
      <c r="F111" t="s">
        <v>4862</v>
      </c>
      <c r="G111" t="s">
        <v>4863</v>
      </c>
      <c r="H111" t="s">
        <v>3685</v>
      </c>
      <c r="I111" t="s">
        <v>3123</v>
      </c>
      <c r="J111" t="s">
        <v>3686</v>
      </c>
      <c r="K111" t="s">
        <v>3125</v>
      </c>
      <c r="L111" t="s">
        <v>3126</v>
      </c>
      <c r="M111" t="s">
        <v>4864</v>
      </c>
      <c r="N111" t="s">
        <v>4865</v>
      </c>
      <c r="O111" t="s">
        <v>4866</v>
      </c>
      <c r="P111" t="s">
        <v>4867</v>
      </c>
      <c r="Q111" t="s">
        <v>4868</v>
      </c>
      <c r="R111">
        <v>19654</v>
      </c>
      <c r="S111" t="s">
        <v>3155</v>
      </c>
      <c r="T111">
        <v>5597959255121050</v>
      </c>
      <c r="U111">
        <v>991</v>
      </c>
      <c r="V111">
        <v>43101</v>
      </c>
      <c r="W111" t="s">
        <v>4869</v>
      </c>
      <c r="X111" t="s">
        <v>4870</v>
      </c>
      <c r="Y111" t="s">
        <v>3446</v>
      </c>
      <c r="Z111" t="s">
        <v>4871</v>
      </c>
      <c r="AA111" t="s">
        <v>4224</v>
      </c>
      <c r="AB111" t="s">
        <v>4872</v>
      </c>
      <c r="AC111" t="s">
        <v>4873</v>
      </c>
      <c r="AD111" t="s">
        <v>3276</v>
      </c>
      <c r="AE111">
        <v>212.3</v>
      </c>
      <c r="AF111">
        <v>96.5</v>
      </c>
      <c r="AG111" t="s">
        <v>3330</v>
      </c>
      <c r="AH111">
        <v>169</v>
      </c>
      <c r="AI111" t="s">
        <v>4874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3143</v>
      </c>
      <c r="C112" t="s">
        <v>3185</v>
      </c>
      <c r="D112" t="s">
        <v>4875</v>
      </c>
      <c r="E112" t="s">
        <v>3260</v>
      </c>
      <c r="F112" t="s">
        <v>4876</v>
      </c>
      <c r="G112" t="s">
        <v>4877</v>
      </c>
      <c r="H112" t="s">
        <v>3148</v>
      </c>
      <c r="I112" t="s">
        <v>3123</v>
      </c>
      <c r="J112" t="s">
        <v>3149</v>
      </c>
      <c r="K112" t="s">
        <v>3125</v>
      </c>
      <c r="L112" t="s">
        <v>3126</v>
      </c>
      <c r="M112" t="s">
        <v>4878</v>
      </c>
      <c r="N112" t="s">
        <v>4879</v>
      </c>
      <c r="O112" t="s">
        <v>4880</v>
      </c>
      <c r="P112" t="s">
        <v>4881</v>
      </c>
      <c r="Q112" t="s">
        <v>4882</v>
      </c>
      <c r="R112">
        <v>20596</v>
      </c>
      <c r="S112" t="s">
        <v>3155</v>
      </c>
      <c r="T112">
        <v>5163739240165560</v>
      </c>
      <c r="U112">
        <v>368</v>
      </c>
      <c r="V112">
        <v>42095</v>
      </c>
      <c r="W112" t="s">
        <v>4883</v>
      </c>
      <c r="X112" t="s">
        <v>4884</v>
      </c>
      <c r="Y112" t="s">
        <v>3135</v>
      </c>
      <c r="Z112" t="s">
        <v>4885</v>
      </c>
      <c r="AA112" t="s">
        <v>4886</v>
      </c>
      <c r="AB112" t="s">
        <v>4887</v>
      </c>
      <c r="AC112" t="s">
        <v>4888</v>
      </c>
      <c r="AD112" t="s">
        <v>3182</v>
      </c>
      <c r="AE112">
        <v>214.3</v>
      </c>
      <c r="AF112">
        <v>97.4</v>
      </c>
      <c r="AG112" t="s">
        <v>4180</v>
      </c>
      <c r="AH112">
        <v>163</v>
      </c>
      <c r="AI112" t="s">
        <v>4889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3117</v>
      </c>
      <c r="C113" t="s">
        <v>3118</v>
      </c>
      <c r="D113" t="s">
        <v>4890</v>
      </c>
      <c r="E113" t="s">
        <v>3487</v>
      </c>
      <c r="F113" t="s">
        <v>3121</v>
      </c>
      <c r="G113" t="s">
        <v>4891</v>
      </c>
      <c r="H113" t="s">
        <v>38</v>
      </c>
      <c r="I113" t="s">
        <v>3123</v>
      </c>
      <c r="J113" t="s">
        <v>60</v>
      </c>
      <c r="K113" t="s">
        <v>3125</v>
      </c>
      <c r="L113" t="s">
        <v>3126</v>
      </c>
      <c r="M113" t="s">
        <v>4892</v>
      </c>
      <c r="N113" t="s">
        <v>4893</v>
      </c>
      <c r="O113" t="s">
        <v>4894</v>
      </c>
      <c r="P113" t="s">
        <v>4895</v>
      </c>
      <c r="Q113" t="s">
        <v>4896</v>
      </c>
      <c r="R113">
        <v>25058</v>
      </c>
      <c r="S113" t="s">
        <v>3132</v>
      </c>
      <c r="T113">
        <v>4485869719506970</v>
      </c>
      <c r="U113">
        <v>114</v>
      </c>
      <c r="V113">
        <v>42370</v>
      </c>
      <c r="W113" t="s">
        <v>4897</v>
      </c>
      <c r="X113" t="s">
        <v>4898</v>
      </c>
      <c r="Y113" t="s">
        <v>3135</v>
      </c>
      <c r="Z113" t="s">
        <v>4899</v>
      </c>
      <c r="AA113" t="s">
        <v>4900</v>
      </c>
      <c r="AB113" t="s">
        <v>4901</v>
      </c>
      <c r="AC113" t="s">
        <v>4902</v>
      </c>
      <c r="AD113" t="s">
        <v>3182</v>
      </c>
      <c r="AE113">
        <v>211.6</v>
      </c>
      <c r="AF113">
        <v>96.2</v>
      </c>
      <c r="AG113" t="s">
        <v>3183</v>
      </c>
      <c r="AH113">
        <v>174</v>
      </c>
      <c r="AI113" t="s">
        <v>4903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3117</v>
      </c>
      <c r="C114" t="s">
        <v>3118</v>
      </c>
      <c r="D114" t="s">
        <v>3794</v>
      </c>
      <c r="E114" t="s">
        <v>3120</v>
      </c>
      <c r="F114" t="s">
        <v>4904</v>
      </c>
      <c r="G114" t="s">
        <v>4905</v>
      </c>
      <c r="H114" t="s">
        <v>4906</v>
      </c>
      <c r="I114" t="s">
        <v>3123</v>
      </c>
      <c r="J114" t="s">
        <v>4907</v>
      </c>
      <c r="K114" t="s">
        <v>3125</v>
      </c>
      <c r="L114" t="s">
        <v>3126</v>
      </c>
      <c r="M114" t="s">
        <v>4908</v>
      </c>
      <c r="N114" t="s">
        <v>4909</v>
      </c>
      <c r="O114" t="s">
        <v>4910</v>
      </c>
      <c r="P114" t="s">
        <v>4911</v>
      </c>
      <c r="Q114" t="s">
        <v>4912</v>
      </c>
      <c r="R114">
        <v>24489</v>
      </c>
      <c r="S114" t="s">
        <v>3132</v>
      </c>
      <c r="T114">
        <v>4556160808899140</v>
      </c>
      <c r="U114">
        <v>170</v>
      </c>
      <c r="V114">
        <v>43405</v>
      </c>
      <c r="W114" t="s">
        <v>4913</v>
      </c>
      <c r="X114" t="s">
        <v>4914</v>
      </c>
      <c r="Y114" t="s">
        <v>3135</v>
      </c>
      <c r="Z114" t="s">
        <v>4915</v>
      </c>
      <c r="AA114" t="s">
        <v>4916</v>
      </c>
      <c r="AB114" t="s">
        <v>4917</v>
      </c>
      <c r="AC114" t="s">
        <v>4918</v>
      </c>
      <c r="AD114" t="s">
        <v>4919</v>
      </c>
      <c r="AE114">
        <v>173.1</v>
      </c>
      <c r="AF114">
        <v>78.7</v>
      </c>
      <c r="AG114" t="s">
        <v>3183</v>
      </c>
      <c r="AH114">
        <v>176</v>
      </c>
      <c r="AI114" t="s">
        <v>4920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3117</v>
      </c>
      <c r="C115" t="s">
        <v>3118</v>
      </c>
      <c r="D115" t="s">
        <v>3568</v>
      </c>
      <c r="E115" t="s">
        <v>417</v>
      </c>
      <c r="F115" t="s">
        <v>4921</v>
      </c>
      <c r="G115" t="s">
        <v>4922</v>
      </c>
      <c r="H115" t="s">
        <v>4923</v>
      </c>
      <c r="I115" t="s">
        <v>3123</v>
      </c>
      <c r="J115" t="s">
        <v>4924</v>
      </c>
      <c r="K115" t="s">
        <v>3125</v>
      </c>
      <c r="L115" t="s">
        <v>3126</v>
      </c>
      <c r="M115" t="s">
        <v>4925</v>
      </c>
      <c r="N115" t="s">
        <v>4926</v>
      </c>
      <c r="O115" t="s">
        <v>4927</v>
      </c>
      <c r="P115" t="s">
        <v>4928</v>
      </c>
      <c r="Q115" t="s">
        <v>3121</v>
      </c>
      <c r="R115">
        <v>30243</v>
      </c>
      <c r="S115" t="s">
        <v>3132</v>
      </c>
      <c r="T115">
        <v>4539833781824280</v>
      </c>
      <c r="U115">
        <v>132</v>
      </c>
      <c r="V115">
        <v>43160</v>
      </c>
      <c r="W115" t="s">
        <v>4929</v>
      </c>
      <c r="X115" t="s">
        <v>4930</v>
      </c>
      <c r="Y115" t="s">
        <v>3135</v>
      </c>
      <c r="Z115" t="s">
        <v>4931</v>
      </c>
      <c r="AA115" t="s">
        <v>4932</v>
      </c>
      <c r="AB115" t="s">
        <v>4933</v>
      </c>
      <c r="AC115" t="s">
        <v>4934</v>
      </c>
      <c r="AD115" t="s">
        <v>3220</v>
      </c>
      <c r="AE115">
        <v>148.30000000000001</v>
      </c>
      <c r="AF115">
        <v>67.400000000000006</v>
      </c>
      <c r="AG115" t="s">
        <v>3381</v>
      </c>
      <c r="AH115">
        <v>178</v>
      </c>
      <c r="AI115" t="s">
        <v>4935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3143</v>
      </c>
      <c r="C116" t="s">
        <v>3185</v>
      </c>
      <c r="D116" t="s">
        <v>4936</v>
      </c>
      <c r="E116" t="s">
        <v>3600</v>
      </c>
      <c r="F116" t="s">
        <v>4937</v>
      </c>
      <c r="G116" t="s">
        <v>4938</v>
      </c>
      <c r="H116" t="s">
        <v>4682</v>
      </c>
      <c r="I116" t="s">
        <v>3123</v>
      </c>
      <c r="J116" t="s">
        <v>4939</v>
      </c>
      <c r="K116" t="s">
        <v>3125</v>
      </c>
      <c r="L116" t="s">
        <v>3126</v>
      </c>
      <c r="M116" t="s">
        <v>4940</v>
      </c>
      <c r="N116" t="s">
        <v>4941</v>
      </c>
      <c r="O116" t="s">
        <v>4942</v>
      </c>
      <c r="P116" t="s">
        <v>4943</v>
      </c>
      <c r="Q116" t="s">
        <v>3121</v>
      </c>
      <c r="R116">
        <v>23302</v>
      </c>
      <c r="S116" t="s">
        <v>3155</v>
      </c>
      <c r="T116">
        <v>5125904128482250</v>
      </c>
      <c r="U116">
        <v>754</v>
      </c>
      <c r="V116">
        <v>42583</v>
      </c>
      <c r="W116" t="s">
        <v>4944</v>
      </c>
      <c r="X116" t="s">
        <v>4945</v>
      </c>
      <c r="Y116" t="s">
        <v>3197</v>
      </c>
      <c r="Z116" t="s">
        <v>3546</v>
      </c>
      <c r="AA116" t="s">
        <v>4946</v>
      </c>
      <c r="AB116" t="s">
        <v>4947</v>
      </c>
      <c r="AC116" t="s">
        <v>4948</v>
      </c>
      <c r="AD116" t="s">
        <v>3256</v>
      </c>
      <c r="AE116">
        <v>214.3</v>
      </c>
      <c r="AF116">
        <v>97.4</v>
      </c>
      <c r="AG116" t="s">
        <v>3294</v>
      </c>
      <c r="AH116">
        <v>172</v>
      </c>
      <c r="AI116" t="s">
        <v>4949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3143</v>
      </c>
      <c r="C117" t="s">
        <v>3144</v>
      </c>
      <c r="D117" t="s">
        <v>4650</v>
      </c>
      <c r="E117" t="s">
        <v>3120</v>
      </c>
      <c r="F117" t="s">
        <v>4950</v>
      </c>
      <c r="G117" t="s">
        <v>4951</v>
      </c>
      <c r="H117" t="s">
        <v>3892</v>
      </c>
      <c r="I117" t="s">
        <v>3123</v>
      </c>
      <c r="J117" t="s">
        <v>3893</v>
      </c>
      <c r="K117" t="s">
        <v>3125</v>
      </c>
      <c r="L117" t="s">
        <v>3126</v>
      </c>
      <c r="M117" t="s">
        <v>4952</v>
      </c>
      <c r="N117" t="s">
        <v>4953</v>
      </c>
      <c r="O117" t="s">
        <v>4954</v>
      </c>
      <c r="P117" t="s">
        <v>4955</v>
      </c>
      <c r="Q117" t="s">
        <v>4956</v>
      </c>
      <c r="R117">
        <v>14202</v>
      </c>
      <c r="S117" t="s">
        <v>3155</v>
      </c>
      <c r="T117">
        <v>5146889531699860</v>
      </c>
      <c r="U117">
        <v>533</v>
      </c>
      <c r="V117">
        <v>42156</v>
      </c>
      <c r="W117" t="s">
        <v>4957</v>
      </c>
      <c r="X117" t="s">
        <v>4958</v>
      </c>
      <c r="Y117" t="s">
        <v>3135</v>
      </c>
      <c r="Z117" t="s">
        <v>4959</v>
      </c>
      <c r="AA117" t="s">
        <v>4960</v>
      </c>
      <c r="AB117" t="s">
        <v>4961</v>
      </c>
      <c r="AC117" t="s">
        <v>4962</v>
      </c>
      <c r="AD117" t="s">
        <v>4919</v>
      </c>
      <c r="AE117">
        <v>113.1</v>
      </c>
      <c r="AF117">
        <v>51.4</v>
      </c>
      <c r="AG117" t="s">
        <v>3164</v>
      </c>
      <c r="AH117">
        <v>154</v>
      </c>
      <c r="AI117" t="s">
        <v>4963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3117</v>
      </c>
      <c r="C118" t="s">
        <v>3118</v>
      </c>
      <c r="D118" t="s">
        <v>3519</v>
      </c>
      <c r="E118" t="s">
        <v>419</v>
      </c>
      <c r="F118" t="s">
        <v>4964</v>
      </c>
      <c r="G118" t="s">
        <v>4965</v>
      </c>
      <c r="H118" t="s">
        <v>69</v>
      </c>
      <c r="I118" t="s">
        <v>3123</v>
      </c>
      <c r="J118" t="s">
        <v>4966</v>
      </c>
      <c r="K118" t="s">
        <v>3125</v>
      </c>
      <c r="L118" t="s">
        <v>3126</v>
      </c>
      <c r="M118" t="s">
        <v>4967</v>
      </c>
      <c r="N118" t="s">
        <v>4968</v>
      </c>
      <c r="O118" t="s">
        <v>4969</v>
      </c>
      <c r="P118" t="s">
        <v>4970</v>
      </c>
      <c r="Q118" t="s">
        <v>4971</v>
      </c>
      <c r="R118">
        <v>13985</v>
      </c>
      <c r="S118" t="s">
        <v>3155</v>
      </c>
      <c r="T118">
        <v>5515738006251740</v>
      </c>
      <c r="U118">
        <v>100</v>
      </c>
      <c r="V118">
        <v>43586</v>
      </c>
      <c r="W118" t="s">
        <v>4972</v>
      </c>
      <c r="X118" t="s">
        <v>4973</v>
      </c>
      <c r="Y118" t="s">
        <v>3135</v>
      </c>
      <c r="Z118" t="s">
        <v>4974</v>
      </c>
      <c r="AA118" t="s">
        <v>4975</v>
      </c>
      <c r="AB118" t="s">
        <v>4976</v>
      </c>
      <c r="AC118" t="s">
        <v>4977</v>
      </c>
      <c r="AD118" t="s">
        <v>3220</v>
      </c>
      <c r="AE118">
        <v>213.2</v>
      </c>
      <c r="AF118">
        <v>96.9</v>
      </c>
      <c r="AG118" t="s">
        <v>3312</v>
      </c>
      <c r="AH118">
        <v>183</v>
      </c>
      <c r="AI118" t="s">
        <v>4978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3117</v>
      </c>
      <c r="C119" t="s">
        <v>3118</v>
      </c>
      <c r="D119" t="s">
        <v>3760</v>
      </c>
      <c r="E119" t="s">
        <v>3120</v>
      </c>
      <c r="F119" t="s">
        <v>3121</v>
      </c>
      <c r="G119" t="s">
        <v>4979</v>
      </c>
      <c r="H119" t="s">
        <v>3472</v>
      </c>
      <c r="I119" t="s">
        <v>3123</v>
      </c>
      <c r="J119" t="s">
        <v>4109</v>
      </c>
      <c r="K119" t="s">
        <v>3125</v>
      </c>
      <c r="L119" t="s">
        <v>3126</v>
      </c>
      <c r="M119" t="s">
        <v>4980</v>
      </c>
      <c r="N119" t="s">
        <v>4981</v>
      </c>
      <c r="O119" t="s">
        <v>4982</v>
      </c>
      <c r="P119" t="s">
        <v>4983</v>
      </c>
      <c r="Q119" t="s">
        <v>3131</v>
      </c>
      <c r="R119">
        <v>33663</v>
      </c>
      <c r="S119" t="s">
        <v>3132</v>
      </c>
      <c r="T119">
        <v>4556682234049730</v>
      </c>
      <c r="U119">
        <v>649</v>
      </c>
      <c r="V119">
        <v>43009</v>
      </c>
      <c r="W119" t="s">
        <v>4984</v>
      </c>
      <c r="X119" t="s">
        <v>4985</v>
      </c>
      <c r="Y119" t="s">
        <v>3446</v>
      </c>
      <c r="Z119" t="s">
        <v>4986</v>
      </c>
      <c r="AA119" t="s">
        <v>4987</v>
      </c>
      <c r="AB119" t="s">
        <v>4988</v>
      </c>
      <c r="AC119" t="s">
        <v>4989</v>
      </c>
      <c r="AD119" t="s">
        <v>3182</v>
      </c>
      <c r="AE119">
        <v>225.9</v>
      </c>
      <c r="AF119">
        <v>102.7</v>
      </c>
      <c r="AG119" t="s">
        <v>4990</v>
      </c>
      <c r="AH119">
        <v>190</v>
      </c>
      <c r="AI119" t="s">
        <v>4991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3117</v>
      </c>
      <c r="C120" t="s">
        <v>3118</v>
      </c>
      <c r="D120" t="s">
        <v>4992</v>
      </c>
      <c r="E120" t="s">
        <v>3260</v>
      </c>
      <c r="F120" t="s">
        <v>4993</v>
      </c>
      <c r="G120" t="s">
        <v>4994</v>
      </c>
      <c r="H120" t="s">
        <v>4995</v>
      </c>
      <c r="I120" t="s">
        <v>3123</v>
      </c>
      <c r="J120" t="s">
        <v>4996</v>
      </c>
      <c r="K120" t="s">
        <v>3125</v>
      </c>
      <c r="L120" t="s">
        <v>3126</v>
      </c>
      <c r="M120" t="s">
        <v>4997</v>
      </c>
      <c r="N120" t="s">
        <v>4998</v>
      </c>
      <c r="O120" t="s">
        <v>4999</v>
      </c>
      <c r="P120" t="s">
        <v>5000</v>
      </c>
      <c r="Q120" t="s">
        <v>3716</v>
      </c>
      <c r="R120">
        <v>18997</v>
      </c>
      <c r="S120" t="s">
        <v>3132</v>
      </c>
      <c r="T120">
        <v>4916275723250530</v>
      </c>
      <c r="U120">
        <v>58</v>
      </c>
      <c r="V120">
        <v>43556</v>
      </c>
      <c r="W120" t="s">
        <v>5001</v>
      </c>
      <c r="X120" t="s">
        <v>5002</v>
      </c>
      <c r="Y120" t="s">
        <v>3446</v>
      </c>
      <c r="Z120" t="s">
        <v>4856</v>
      </c>
      <c r="AA120" t="s">
        <v>5003</v>
      </c>
      <c r="AB120" t="s">
        <v>5004</v>
      </c>
      <c r="AC120" t="s">
        <v>5005</v>
      </c>
      <c r="AD120" t="s">
        <v>3220</v>
      </c>
      <c r="AE120">
        <v>187.9</v>
      </c>
      <c r="AF120">
        <v>85.4</v>
      </c>
      <c r="AG120" t="s">
        <v>3566</v>
      </c>
      <c r="AH120">
        <v>181</v>
      </c>
      <c r="AI120" t="s">
        <v>5006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3117</v>
      </c>
      <c r="C121" t="s">
        <v>3118</v>
      </c>
      <c r="D121" t="s">
        <v>5007</v>
      </c>
      <c r="E121" t="s">
        <v>3279</v>
      </c>
      <c r="F121" t="s">
        <v>3443</v>
      </c>
      <c r="G121" t="s">
        <v>5008</v>
      </c>
      <c r="H121" t="s">
        <v>5009</v>
      </c>
      <c r="I121" t="s">
        <v>3123</v>
      </c>
      <c r="J121" t="s">
        <v>5010</v>
      </c>
      <c r="K121" t="s">
        <v>3125</v>
      </c>
      <c r="L121" t="s">
        <v>3126</v>
      </c>
      <c r="M121" t="s">
        <v>5011</v>
      </c>
      <c r="N121" t="s">
        <v>5012</v>
      </c>
      <c r="O121" t="s">
        <v>5013</v>
      </c>
      <c r="P121" t="s">
        <v>5014</v>
      </c>
      <c r="Q121" t="s">
        <v>5015</v>
      </c>
      <c r="R121">
        <v>25536</v>
      </c>
      <c r="S121" t="s">
        <v>3155</v>
      </c>
      <c r="T121">
        <v>5414290779777070</v>
      </c>
      <c r="U121">
        <v>208</v>
      </c>
      <c r="V121">
        <v>42705</v>
      </c>
      <c r="W121" t="s">
        <v>5016</v>
      </c>
      <c r="X121" t="s">
        <v>5017</v>
      </c>
      <c r="Y121" t="s">
        <v>3446</v>
      </c>
      <c r="Z121" t="s">
        <v>5018</v>
      </c>
      <c r="AA121" t="s">
        <v>5019</v>
      </c>
      <c r="AB121" t="s">
        <v>5020</v>
      </c>
      <c r="AC121" t="s">
        <v>5021</v>
      </c>
      <c r="AD121" t="s">
        <v>3182</v>
      </c>
      <c r="AE121">
        <v>165</v>
      </c>
      <c r="AF121">
        <v>75</v>
      </c>
      <c r="AG121" t="s">
        <v>3141</v>
      </c>
      <c r="AH121">
        <v>185</v>
      </c>
      <c r="AI121" t="s">
        <v>5022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3117</v>
      </c>
      <c r="C122" t="s">
        <v>3118</v>
      </c>
      <c r="D122" t="s">
        <v>3503</v>
      </c>
      <c r="E122" t="s">
        <v>418</v>
      </c>
      <c r="F122" t="s">
        <v>4229</v>
      </c>
      <c r="G122" t="s">
        <v>5023</v>
      </c>
      <c r="H122" t="s">
        <v>3420</v>
      </c>
      <c r="I122" t="s">
        <v>3123</v>
      </c>
      <c r="J122" t="s">
        <v>3421</v>
      </c>
      <c r="K122" t="s">
        <v>3125</v>
      </c>
      <c r="L122" t="s">
        <v>3126</v>
      </c>
      <c r="M122" t="s">
        <v>5024</v>
      </c>
      <c r="N122" t="s">
        <v>5025</v>
      </c>
      <c r="O122" t="s">
        <v>5026</v>
      </c>
      <c r="P122" t="s">
        <v>5027</v>
      </c>
      <c r="Q122" t="s">
        <v>5028</v>
      </c>
      <c r="R122">
        <v>17662</v>
      </c>
      <c r="S122" t="s">
        <v>3155</v>
      </c>
      <c r="T122">
        <v>5422829014022100</v>
      </c>
      <c r="U122">
        <v>521</v>
      </c>
      <c r="V122">
        <v>42461</v>
      </c>
      <c r="W122" t="s">
        <v>5029</v>
      </c>
      <c r="X122" t="s">
        <v>5030</v>
      </c>
      <c r="Y122" t="s">
        <v>3135</v>
      </c>
      <c r="Z122" t="s">
        <v>5031</v>
      </c>
      <c r="AA122" t="s">
        <v>5032</v>
      </c>
      <c r="AB122" t="s">
        <v>5033</v>
      </c>
      <c r="AC122" t="s">
        <v>5034</v>
      </c>
      <c r="AD122" t="s">
        <v>3182</v>
      </c>
      <c r="AE122">
        <v>183.7</v>
      </c>
      <c r="AF122">
        <v>83.5</v>
      </c>
      <c r="AG122" t="s">
        <v>3330</v>
      </c>
      <c r="AH122">
        <v>171</v>
      </c>
      <c r="AI122" t="s">
        <v>5035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3117</v>
      </c>
      <c r="C123" t="s">
        <v>3118</v>
      </c>
      <c r="D123" t="s">
        <v>5036</v>
      </c>
      <c r="E123" t="s">
        <v>3279</v>
      </c>
      <c r="F123" t="s">
        <v>4964</v>
      </c>
      <c r="G123" t="s">
        <v>5037</v>
      </c>
      <c r="H123" t="s">
        <v>4257</v>
      </c>
      <c r="I123" t="s">
        <v>3123</v>
      </c>
      <c r="J123" t="s">
        <v>4258</v>
      </c>
      <c r="K123" t="s">
        <v>3125</v>
      </c>
      <c r="L123" t="s">
        <v>3126</v>
      </c>
      <c r="M123" t="s">
        <v>5038</v>
      </c>
      <c r="N123" t="s">
        <v>5039</v>
      </c>
      <c r="O123" t="s">
        <v>5040</v>
      </c>
      <c r="P123" t="s">
        <v>5041</v>
      </c>
      <c r="Q123" t="s">
        <v>5042</v>
      </c>
      <c r="R123">
        <v>27160</v>
      </c>
      <c r="S123" t="s">
        <v>3132</v>
      </c>
      <c r="T123">
        <v>4916342115243980</v>
      </c>
      <c r="U123">
        <v>883</v>
      </c>
      <c r="V123">
        <v>43647</v>
      </c>
      <c r="W123" t="s">
        <v>5043</v>
      </c>
      <c r="X123" t="s">
        <v>5044</v>
      </c>
      <c r="Y123" t="s">
        <v>3135</v>
      </c>
      <c r="Z123" t="s">
        <v>5045</v>
      </c>
      <c r="AA123" t="s">
        <v>5046</v>
      </c>
      <c r="AB123" t="s">
        <v>5047</v>
      </c>
      <c r="AC123" t="s">
        <v>5048</v>
      </c>
      <c r="AD123" t="s">
        <v>3220</v>
      </c>
      <c r="AE123">
        <v>240.5</v>
      </c>
      <c r="AF123">
        <v>109.3</v>
      </c>
      <c r="AG123" t="s">
        <v>3141</v>
      </c>
      <c r="AH123">
        <v>186</v>
      </c>
      <c r="AI123" t="s">
        <v>5049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3117</v>
      </c>
      <c r="C124" t="s">
        <v>3118</v>
      </c>
      <c r="D124" t="s">
        <v>4679</v>
      </c>
      <c r="E124" t="s">
        <v>421</v>
      </c>
      <c r="F124" t="s">
        <v>5050</v>
      </c>
      <c r="G124" t="s">
        <v>5051</v>
      </c>
      <c r="H124" t="s">
        <v>5052</v>
      </c>
      <c r="I124" t="s">
        <v>3123</v>
      </c>
      <c r="J124" t="s">
        <v>5053</v>
      </c>
      <c r="K124" t="s">
        <v>3125</v>
      </c>
      <c r="L124" t="s">
        <v>3126</v>
      </c>
      <c r="M124" t="s">
        <v>5054</v>
      </c>
      <c r="N124" t="s">
        <v>5055</v>
      </c>
      <c r="O124" t="s">
        <v>5056</v>
      </c>
      <c r="P124" t="s">
        <v>5057</v>
      </c>
      <c r="Q124" t="s">
        <v>4388</v>
      </c>
      <c r="R124">
        <v>30456</v>
      </c>
      <c r="S124" t="s">
        <v>3155</v>
      </c>
      <c r="T124">
        <v>5261365140959160</v>
      </c>
      <c r="U124">
        <v>323</v>
      </c>
      <c r="V124">
        <v>43132</v>
      </c>
      <c r="W124" t="s">
        <v>5058</v>
      </c>
      <c r="X124" t="s">
        <v>5059</v>
      </c>
      <c r="Y124" t="s">
        <v>3135</v>
      </c>
      <c r="Z124" t="s">
        <v>5060</v>
      </c>
      <c r="AA124" t="s">
        <v>5032</v>
      </c>
      <c r="AB124" t="s">
        <v>5061</v>
      </c>
      <c r="AC124" t="s">
        <v>5062</v>
      </c>
      <c r="AD124" t="s">
        <v>3276</v>
      </c>
      <c r="AE124">
        <v>177.3</v>
      </c>
      <c r="AF124">
        <v>80.599999999999994</v>
      </c>
      <c r="AG124" t="s">
        <v>3312</v>
      </c>
      <c r="AH124">
        <v>182</v>
      </c>
      <c r="AI124" t="s">
        <v>5063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3143</v>
      </c>
      <c r="C125" t="s">
        <v>4166</v>
      </c>
      <c r="D125" t="s">
        <v>5064</v>
      </c>
      <c r="E125" t="s">
        <v>3487</v>
      </c>
      <c r="F125" t="s">
        <v>3323</v>
      </c>
      <c r="G125" t="s">
        <v>5065</v>
      </c>
      <c r="H125" t="s">
        <v>5066</v>
      </c>
      <c r="I125" t="s">
        <v>3123</v>
      </c>
      <c r="J125" t="s">
        <v>5067</v>
      </c>
      <c r="K125" t="s">
        <v>3125</v>
      </c>
      <c r="L125" t="s">
        <v>3126</v>
      </c>
      <c r="M125" t="s">
        <v>5068</v>
      </c>
      <c r="N125" t="s">
        <v>5069</v>
      </c>
      <c r="O125" t="s">
        <v>5070</v>
      </c>
      <c r="P125" t="s">
        <v>5071</v>
      </c>
      <c r="Q125" t="s">
        <v>3691</v>
      </c>
      <c r="R125">
        <v>30263</v>
      </c>
      <c r="S125" t="s">
        <v>3132</v>
      </c>
      <c r="T125">
        <v>4539312199529070</v>
      </c>
      <c r="U125">
        <v>449</v>
      </c>
      <c r="V125">
        <v>42705</v>
      </c>
      <c r="W125" t="s">
        <v>5072</v>
      </c>
      <c r="X125" t="s">
        <v>5073</v>
      </c>
      <c r="Y125" t="s">
        <v>3289</v>
      </c>
      <c r="Z125" t="s">
        <v>5074</v>
      </c>
      <c r="AA125" t="s">
        <v>5075</v>
      </c>
      <c r="AB125" t="s">
        <v>5076</v>
      </c>
      <c r="AC125" t="s">
        <v>5077</v>
      </c>
      <c r="AD125" t="s">
        <v>3220</v>
      </c>
      <c r="AE125">
        <v>218.5</v>
      </c>
      <c r="AF125">
        <v>99.3</v>
      </c>
      <c r="AG125" t="s">
        <v>3631</v>
      </c>
      <c r="AH125">
        <v>159</v>
      </c>
      <c r="AI125" t="s">
        <v>5078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3117</v>
      </c>
      <c r="C126" t="s">
        <v>3118</v>
      </c>
      <c r="D126" t="s">
        <v>5079</v>
      </c>
      <c r="E126" t="s">
        <v>417</v>
      </c>
      <c r="F126" t="s">
        <v>5080</v>
      </c>
      <c r="G126" t="s">
        <v>5081</v>
      </c>
      <c r="H126" t="s">
        <v>4405</v>
      </c>
      <c r="I126" t="s">
        <v>3123</v>
      </c>
      <c r="J126" t="s">
        <v>4406</v>
      </c>
      <c r="K126" t="s">
        <v>3125</v>
      </c>
      <c r="L126" t="s">
        <v>3126</v>
      </c>
      <c r="M126" t="s">
        <v>5082</v>
      </c>
      <c r="N126" t="s">
        <v>5083</v>
      </c>
      <c r="O126" t="s">
        <v>5084</v>
      </c>
      <c r="P126" t="s">
        <v>5085</v>
      </c>
      <c r="Q126" t="s">
        <v>5086</v>
      </c>
      <c r="R126">
        <v>20634</v>
      </c>
      <c r="S126" t="s">
        <v>3155</v>
      </c>
      <c r="T126">
        <v>5378200957082370</v>
      </c>
      <c r="U126">
        <v>142</v>
      </c>
      <c r="V126">
        <v>43101</v>
      </c>
      <c r="W126" t="s">
        <v>5087</v>
      </c>
      <c r="X126" t="s">
        <v>5088</v>
      </c>
      <c r="Y126" t="s">
        <v>3135</v>
      </c>
      <c r="Z126" t="s">
        <v>5089</v>
      </c>
      <c r="AA126" t="s">
        <v>3137</v>
      </c>
      <c r="AB126" t="s">
        <v>5090</v>
      </c>
      <c r="AC126" t="s">
        <v>5091</v>
      </c>
      <c r="AD126" t="s">
        <v>3276</v>
      </c>
      <c r="AE126">
        <v>210.5</v>
      </c>
      <c r="AF126">
        <v>95.7</v>
      </c>
      <c r="AG126" t="s">
        <v>3141</v>
      </c>
      <c r="AH126">
        <v>186</v>
      </c>
      <c r="AI126" t="s">
        <v>5092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3117</v>
      </c>
      <c r="C127" t="s">
        <v>3118</v>
      </c>
      <c r="D127" t="s">
        <v>5093</v>
      </c>
      <c r="E127" t="s">
        <v>3120</v>
      </c>
      <c r="F127" t="s">
        <v>5094</v>
      </c>
      <c r="G127" t="s">
        <v>5095</v>
      </c>
      <c r="H127" t="s">
        <v>2</v>
      </c>
      <c r="I127" t="s">
        <v>3123</v>
      </c>
      <c r="J127" t="s">
        <v>4031</v>
      </c>
      <c r="K127" t="s">
        <v>3125</v>
      </c>
      <c r="L127" t="s">
        <v>3126</v>
      </c>
      <c r="M127" t="s">
        <v>5096</v>
      </c>
      <c r="N127" t="s">
        <v>5097</v>
      </c>
      <c r="O127" t="s">
        <v>5098</v>
      </c>
      <c r="P127" t="s">
        <v>5099</v>
      </c>
      <c r="Q127" t="s">
        <v>4599</v>
      </c>
      <c r="R127">
        <v>25258</v>
      </c>
      <c r="S127" t="s">
        <v>3155</v>
      </c>
      <c r="T127">
        <v>5452790814384290</v>
      </c>
      <c r="U127">
        <v>875</v>
      </c>
      <c r="V127">
        <v>42795</v>
      </c>
      <c r="W127" t="s">
        <v>5100</v>
      </c>
      <c r="X127" t="s">
        <v>5101</v>
      </c>
      <c r="Y127" t="s">
        <v>3135</v>
      </c>
      <c r="Z127" t="s">
        <v>5102</v>
      </c>
      <c r="AA127" t="s">
        <v>5103</v>
      </c>
      <c r="AB127" t="s">
        <v>5104</v>
      </c>
      <c r="AC127" t="s">
        <v>5105</v>
      </c>
      <c r="AD127" t="s">
        <v>3140</v>
      </c>
      <c r="AE127">
        <v>163.19999999999999</v>
      </c>
      <c r="AF127">
        <v>74.2</v>
      </c>
      <c r="AG127" t="s">
        <v>3312</v>
      </c>
      <c r="AH127">
        <v>182</v>
      </c>
      <c r="AI127" t="s">
        <v>5106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3117</v>
      </c>
      <c r="C128" t="s">
        <v>3118</v>
      </c>
      <c r="D128" t="s">
        <v>5107</v>
      </c>
      <c r="E128" t="s">
        <v>420</v>
      </c>
      <c r="F128" t="s">
        <v>4730</v>
      </c>
      <c r="G128" t="s">
        <v>5108</v>
      </c>
      <c r="H128" t="s">
        <v>4405</v>
      </c>
      <c r="I128" t="s">
        <v>3123</v>
      </c>
      <c r="J128" t="s">
        <v>4406</v>
      </c>
      <c r="K128" t="s">
        <v>3125</v>
      </c>
      <c r="L128" t="s">
        <v>3126</v>
      </c>
      <c r="M128" t="s">
        <v>5109</v>
      </c>
      <c r="N128" t="s">
        <v>5110</v>
      </c>
      <c r="O128" t="s">
        <v>5111</v>
      </c>
      <c r="P128" t="s">
        <v>5112</v>
      </c>
      <c r="Q128" t="s">
        <v>5113</v>
      </c>
      <c r="R128">
        <v>15301</v>
      </c>
      <c r="S128" t="s">
        <v>3132</v>
      </c>
      <c r="T128">
        <v>4916696288513080</v>
      </c>
      <c r="U128">
        <v>66</v>
      </c>
      <c r="V128">
        <v>42795</v>
      </c>
      <c r="W128" t="s">
        <v>5114</v>
      </c>
      <c r="X128" t="s">
        <v>5115</v>
      </c>
      <c r="Y128" t="s">
        <v>3135</v>
      </c>
      <c r="Z128" t="s">
        <v>5116</v>
      </c>
      <c r="AA128" t="s">
        <v>5117</v>
      </c>
      <c r="AB128" t="s">
        <v>5118</v>
      </c>
      <c r="AC128" t="s">
        <v>5119</v>
      </c>
      <c r="AD128" t="s">
        <v>3256</v>
      </c>
      <c r="AE128">
        <v>232.8</v>
      </c>
      <c r="AF128">
        <v>105.8</v>
      </c>
      <c r="AG128" t="s">
        <v>3381</v>
      </c>
      <c r="AH128">
        <v>178</v>
      </c>
      <c r="AI128" t="s">
        <v>5120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3143</v>
      </c>
      <c r="C129" t="s">
        <v>3144</v>
      </c>
      <c r="D129" t="s">
        <v>5121</v>
      </c>
      <c r="E129" t="s">
        <v>414</v>
      </c>
      <c r="F129" t="s">
        <v>5122</v>
      </c>
      <c r="G129" t="s">
        <v>5123</v>
      </c>
      <c r="H129" t="s">
        <v>38</v>
      </c>
      <c r="I129" t="s">
        <v>3123</v>
      </c>
      <c r="J129" t="s">
        <v>3244</v>
      </c>
      <c r="K129" t="s">
        <v>3125</v>
      </c>
      <c r="L129" t="s">
        <v>3126</v>
      </c>
      <c r="M129" t="s">
        <v>5124</v>
      </c>
      <c r="N129" t="s">
        <v>5125</v>
      </c>
      <c r="O129" t="s">
        <v>5126</v>
      </c>
      <c r="P129" t="s">
        <v>5127</v>
      </c>
      <c r="Q129" t="s">
        <v>5128</v>
      </c>
      <c r="R129">
        <v>25229</v>
      </c>
      <c r="S129" t="s">
        <v>3155</v>
      </c>
      <c r="T129">
        <v>5327462357326370</v>
      </c>
      <c r="U129">
        <v>808</v>
      </c>
      <c r="V129">
        <v>42186</v>
      </c>
      <c r="W129" t="s">
        <v>5129</v>
      </c>
      <c r="X129" t="s">
        <v>5130</v>
      </c>
      <c r="Y129" t="s">
        <v>3197</v>
      </c>
      <c r="Z129" t="s">
        <v>5131</v>
      </c>
      <c r="AA129" t="s">
        <v>5132</v>
      </c>
      <c r="AB129" t="s">
        <v>5133</v>
      </c>
      <c r="AC129" t="s">
        <v>5134</v>
      </c>
      <c r="AD129" t="s">
        <v>3220</v>
      </c>
      <c r="AE129">
        <v>118.1</v>
      </c>
      <c r="AF129">
        <v>53.7</v>
      </c>
      <c r="AG129" t="s">
        <v>3164</v>
      </c>
      <c r="AH129">
        <v>155</v>
      </c>
      <c r="AI129" t="s">
        <v>5135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3117</v>
      </c>
      <c r="C130" t="s">
        <v>3118</v>
      </c>
      <c r="D130" t="s">
        <v>3519</v>
      </c>
      <c r="E130" t="s">
        <v>414</v>
      </c>
      <c r="F130" t="s">
        <v>5136</v>
      </c>
      <c r="G130" t="s">
        <v>5137</v>
      </c>
      <c r="H130" t="s">
        <v>5138</v>
      </c>
      <c r="I130" t="s">
        <v>3123</v>
      </c>
      <c r="J130" t="s">
        <v>5139</v>
      </c>
      <c r="K130" t="s">
        <v>3125</v>
      </c>
      <c r="L130" t="s">
        <v>3126</v>
      </c>
      <c r="M130" t="s">
        <v>5140</v>
      </c>
      <c r="N130" t="s">
        <v>5141</v>
      </c>
      <c r="O130" t="s">
        <v>5142</v>
      </c>
      <c r="P130" t="s">
        <v>5143</v>
      </c>
      <c r="Q130" t="s">
        <v>3802</v>
      </c>
      <c r="R130">
        <v>23331</v>
      </c>
      <c r="S130" t="s">
        <v>3132</v>
      </c>
      <c r="T130">
        <v>4485502697281220</v>
      </c>
      <c r="U130">
        <v>851</v>
      </c>
      <c r="V130">
        <v>43070</v>
      </c>
      <c r="W130" t="s">
        <v>5144</v>
      </c>
      <c r="X130" t="s">
        <v>5145</v>
      </c>
      <c r="Y130" t="s">
        <v>3344</v>
      </c>
      <c r="Z130" t="s">
        <v>5146</v>
      </c>
      <c r="AA130" t="s">
        <v>5147</v>
      </c>
      <c r="AB130" t="s">
        <v>5148</v>
      </c>
      <c r="AC130" t="s">
        <v>5149</v>
      </c>
      <c r="AD130" t="s">
        <v>3220</v>
      </c>
      <c r="AE130">
        <v>187.7</v>
      </c>
      <c r="AF130">
        <v>85.3</v>
      </c>
      <c r="AG130" t="s">
        <v>3141</v>
      </c>
      <c r="AH130">
        <v>186</v>
      </c>
      <c r="AI130" t="s">
        <v>5150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3143</v>
      </c>
      <c r="C131" t="s">
        <v>3144</v>
      </c>
      <c r="D131" t="s">
        <v>5151</v>
      </c>
      <c r="E131" t="s">
        <v>417</v>
      </c>
      <c r="F131" t="s">
        <v>5152</v>
      </c>
      <c r="G131" t="s">
        <v>5153</v>
      </c>
      <c r="H131" t="s">
        <v>2</v>
      </c>
      <c r="I131" t="s">
        <v>3123</v>
      </c>
      <c r="J131" t="s">
        <v>3490</v>
      </c>
      <c r="K131" t="s">
        <v>3125</v>
      </c>
      <c r="L131" t="s">
        <v>3126</v>
      </c>
      <c r="M131" t="s">
        <v>5154</v>
      </c>
      <c r="N131" t="s">
        <v>5155</v>
      </c>
      <c r="O131" t="s">
        <v>5156</v>
      </c>
      <c r="P131" t="s">
        <v>5157</v>
      </c>
      <c r="Q131" t="s">
        <v>5158</v>
      </c>
      <c r="R131">
        <v>14783</v>
      </c>
      <c r="S131" t="s">
        <v>3155</v>
      </c>
      <c r="T131">
        <v>5290102379576160</v>
      </c>
      <c r="U131">
        <v>57</v>
      </c>
      <c r="V131">
        <v>42736</v>
      </c>
      <c r="W131" t="s">
        <v>5159</v>
      </c>
      <c r="X131" t="s">
        <v>5160</v>
      </c>
      <c r="Y131" t="s">
        <v>3135</v>
      </c>
      <c r="Z131" t="s">
        <v>5161</v>
      </c>
      <c r="AA131" t="s">
        <v>5162</v>
      </c>
      <c r="AB131" t="s">
        <v>5163</v>
      </c>
      <c r="AC131" t="s">
        <v>5164</v>
      </c>
      <c r="AD131" t="s">
        <v>3276</v>
      </c>
      <c r="AE131">
        <v>208.1</v>
      </c>
      <c r="AF131">
        <v>94.6</v>
      </c>
      <c r="AG131" t="s">
        <v>3221</v>
      </c>
      <c r="AH131">
        <v>167</v>
      </c>
      <c r="AI131" t="s">
        <v>5165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3117</v>
      </c>
      <c r="C132" t="s">
        <v>3118</v>
      </c>
      <c r="D132" t="s">
        <v>3568</v>
      </c>
      <c r="E132" t="s">
        <v>417</v>
      </c>
      <c r="F132" t="s">
        <v>5166</v>
      </c>
      <c r="G132" t="s">
        <v>5167</v>
      </c>
      <c r="H132" t="s">
        <v>3368</v>
      </c>
      <c r="I132" t="s">
        <v>3123</v>
      </c>
      <c r="J132" t="s">
        <v>3924</v>
      </c>
      <c r="K132" t="s">
        <v>3125</v>
      </c>
      <c r="L132" t="s">
        <v>3126</v>
      </c>
      <c r="M132" t="s">
        <v>5168</v>
      </c>
      <c r="N132" t="s">
        <v>5169</v>
      </c>
      <c r="O132" t="s">
        <v>5170</v>
      </c>
      <c r="P132" t="s">
        <v>5171</v>
      </c>
      <c r="Q132" t="s">
        <v>5172</v>
      </c>
      <c r="R132">
        <v>30190</v>
      </c>
      <c r="S132" t="s">
        <v>3155</v>
      </c>
      <c r="T132">
        <v>5404961433105030</v>
      </c>
      <c r="U132">
        <v>413</v>
      </c>
      <c r="V132">
        <v>42583</v>
      </c>
      <c r="W132" t="s">
        <v>5173</v>
      </c>
      <c r="X132" t="s">
        <v>5174</v>
      </c>
      <c r="Y132" t="s">
        <v>3135</v>
      </c>
      <c r="Z132" t="s">
        <v>5175</v>
      </c>
      <c r="AA132" t="s">
        <v>5176</v>
      </c>
      <c r="AB132" t="s">
        <v>5177</v>
      </c>
      <c r="AC132" t="s">
        <v>5178</v>
      </c>
      <c r="AD132" t="s">
        <v>3182</v>
      </c>
      <c r="AE132">
        <v>169.6</v>
      </c>
      <c r="AF132">
        <v>77.099999999999994</v>
      </c>
      <c r="AG132" t="s">
        <v>3330</v>
      </c>
      <c r="AH132">
        <v>169</v>
      </c>
      <c r="AI132" t="s">
        <v>5179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3117</v>
      </c>
      <c r="C133" t="s">
        <v>3118</v>
      </c>
      <c r="D133" t="s">
        <v>3296</v>
      </c>
      <c r="E133" t="s">
        <v>420</v>
      </c>
      <c r="F133" t="s">
        <v>5180</v>
      </c>
      <c r="G133" t="s">
        <v>5181</v>
      </c>
      <c r="H133" t="s">
        <v>38</v>
      </c>
      <c r="I133" t="s">
        <v>3123</v>
      </c>
      <c r="J133" t="s">
        <v>3244</v>
      </c>
      <c r="K133" t="s">
        <v>3125</v>
      </c>
      <c r="L133" t="s">
        <v>3126</v>
      </c>
      <c r="M133" t="s">
        <v>5182</v>
      </c>
      <c r="N133" t="s">
        <v>5183</v>
      </c>
      <c r="O133" t="s">
        <v>5184</v>
      </c>
      <c r="P133" t="s">
        <v>5185</v>
      </c>
      <c r="Q133" t="s">
        <v>3842</v>
      </c>
      <c r="R133">
        <v>27318</v>
      </c>
      <c r="S133" t="s">
        <v>3132</v>
      </c>
      <c r="T133">
        <v>4532173823350320</v>
      </c>
      <c r="U133">
        <v>608</v>
      </c>
      <c r="V133">
        <v>43282</v>
      </c>
      <c r="W133" t="s">
        <v>5186</v>
      </c>
      <c r="X133" t="s">
        <v>5187</v>
      </c>
      <c r="Y133" t="s">
        <v>3135</v>
      </c>
      <c r="Z133" t="s">
        <v>5188</v>
      </c>
      <c r="AA133" t="s">
        <v>5189</v>
      </c>
      <c r="AB133" t="s">
        <v>5190</v>
      </c>
      <c r="AC133" t="s">
        <v>5191</v>
      </c>
      <c r="AD133" t="s">
        <v>3182</v>
      </c>
      <c r="AE133">
        <v>223.3</v>
      </c>
      <c r="AF133">
        <v>101.5</v>
      </c>
      <c r="AG133" t="s">
        <v>3312</v>
      </c>
      <c r="AH133">
        <v>184</v>
      </c>
      <c r="AI133" t="s">
        <v>5192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3117</v>
      </c>
      <c r="C134" t="s">
        <v>3118</v>
      </c>
      <c r="D134" t="s">
        <v>3519</v>
      </c>
      <c r="E134" t="s">
        <v>4372</v>
      </c>
      <c r="F134" t="s">
        <v>5193</v>
      </c>
      <c r="G134" t="s">
        <v>5194</v>
      </c>
      <c r="H134" t="s">
        <v>30</v>
      </c>
      <c r="I134" t="s">
        <v>3123</v>
      </c>
      <c r="J134" t="s">
        <v>5195</v>
      </c>
      <c r="K134" t="s">
        <v>3125</v>
      </c>
      <c r="L134" t="s">
        <v>3126</v>
      </c>
      <c r="M134" t="s">
        <v>5196</v>
      </c>
      <c r="N134" t="s">
        <v>5197</v>
      </c>
      <c r="O134" t="s">
        <v>5198</v>
      </c>
      <c r="P134" t="s">
        <v>5199</v>
      </c>
      <c r="Q134" t="s">
        <v>5200</v>
      </c>
      <c r="R134">
        <v>23811</v>
      </c>
      <c r="S134" t="s">
        <v>3132</v>
      </c>
      <c r="T134">
        <v>4716954576901950</v>
      </c>
      <c r="U134">
        <v>206</v>
      </c>
      <c r="V134">
        <v>42217</v>
      </c>
      <c r="W134" t="s">
        <v>5201</v>
      </c>
      <c r="X134" t="s">
        <v>5202</v>
      </c>
      <c r="Y134" t="s">
        <v>3344</v>
      </c>
      <c r="Z134" t="s">
        <v>5203</v>
      </c>
      <c r="AA134" t="s">
        <v>5204</v>
      </c>
      <c r="AB134" t="s">
        <v>5205</v>
      </c>
      <c r="AC134" t="s">
        <v>5206</v>
      </c>
      <c r="AD134" t="s">
        <v>3220</v>
      </c>
      <c r="AE134">
        <v>194.5</v>
      </c>
      <c r="AF134">
        <v>88.4</v>
      </c>
      <c r="AG134" t="s">
        <v>3381</v>
      </c>
      <c r="AH134">
        <v>179</v>
      </c>
      <c r="AI134" t="s">
        <v>5207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3117</v>
      </c>
      <c r="C135" t="s">
        <v>3118</v>
      </c>
      <c r="D135" t="s">
        <v>5208</v>
      </c>
      <c r="E135" t="s">
        <v>414</v>
      </c>
      <c r="F135" t="s">
        <v>3121</v>
      </c>
      <c r="G135" t="s">
        <v>5209</v>
      </c>
      <c r="H135" t="s">
        <v>2</v>
      </c>
      <c r="I135" t="s">
        <v>3123</v>
      </c>
      <c r="J135" t="s">
        <v>3490</v>
      </c>
      <c r="K135" t="s">
        <v>3125</v>
      </c>
      <c r="L135" t="s">
        <v>3126</v>
      </c>
      <c r="M135" t="s">
        <v>5210</v>
      </c>
      <c r="N135" t="s">
        <v>5211</v>
      </c>
      <c r="O135" t="s">
        <v>5212</v>
      </c>
      <c r="P135" t="s">
        <v>5213</v>
      </c>
      <c r="Q135" t="s">
        <v>5214</v>
      </c>
      <c r="R135">
        <v>33962</v>
      </c>
      <c r="S135" t="s">
        <v>3132</v>
      </c>
      <c r="T135">
        <v>4916913029124010</v>
      </c>
      <c r="U135">
        <v>861</v>
      </c>
      <c r="V135">
        <v>42125</v>
      </c>
      <c r="W135" t="s">
        <v>5215</v>
      </c>
      <c r="X135" t="s">
        <v>5216</v>
      </c>
      <c r="Y135" t="s">
        <v>3135</v>
      </c>
      <c r="Z135" t="s">
        <v>5217</v>
      </c>
      <c r="AA135" t="s">
        <v>5218</v>
      </c>
      <c r="AB135" t="s">
        <v>5219</v>
      </c>
      <c r="AC135" t="s">
        <v>5220</v>
      </c>
      <c r="AD135" t="s">
        <v>3220</v>
      </c>
      <c r="AE135">
        <v>159.9</v>
      </c>
      <c r="AF135">
        <v>72.7</v>
      </c>
      <c r="AG135" t="s">
        <v>3566</v>
      </c>
      <c r="AH135">
        <v>180</v>
      </c>
      <c r="AI135" t="s">
        <v>5221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3143</v>
      </c>
      <c r="C136" t="s">
        <v>3185</v>
      </c>
      <c r="D136" t="s">
        <v>5222</v>
      </c>
      <c r="E136" t="s">
        <v>419</v>
      </c>
      <c r="F136" t="s">
        <v>5223</v>
      </c>
      <c r="G136" t="s">
        <v>5224</v>
      </c>
      <c r="H136" t="s">
        <v>38</v>
      </c>
      <c r="I136" t="s">
        <v>3123</v>
      </c>
      <c r="J136" t="s">
        <v>4577</v>
      </c>
      <c r="K136" t="s">
        <v>3125</v>
      </c>
      <c r="L136" t="s">
        <v>3126</v>
      </c>
      <c r="M136" t="s">
        <v>5225</v>
      </c>
      <c r="N136" t="s">
        <v>5226</v>
      </c>
      <c r="O136" t="s">
        <v>5227</v>
      </c>
      <c r="P136" t="s">
        <v>5228</v>
      </c>
      <c r="Q136" t="s">
        <v>5229</v>
      </c>
      <c r="R136">
        <v>23023</v>
      </c>
      <c r="S136" t="s">
        <v>3132</v>
      </c>
      <c r="T136">
        <v>4916377501522100</v>
      </c>
      <c r="U136">
        <v>391</v>
      </c>
      <c r="V136">
        <v>42887</v>
      </c>
      <c r="W136" t="s">
        <v>5230</v>
      </c>
      <c r="X136" t="s">
        <v>5231</v>
      </c>
      <c r="Y136" t="s">
        <v>3446</v>
      </c>
      <c r="Z136" t="s">
        <v>5232</v>
      </c>
      <c r="AA136" t="s">
        <v>5233</v>
      </c>
      <c r="AB136" t="s">
        <v>5234</v>
      </c>
      <c r="AC136" t="s">
        <v>5235</v>
      </c>
      <c r="AD136" t="s">
        <v>3182</v>
      </c>
      <c r="AE136">
        <v>220.7</v>
      </c>
      <c r="AF136">
        <v>100.3</v>
      </c>
      <c r="AG136" t="s">
        <v>4180</v>
      </c>
      <c r="AH136">
        <v>163</v>
      </c>
      <c r="AI136" t="s">
        <v>5236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3117</v>
      </c>
      <c r="C137" t="s">
        <v>3118</v>
      </c>
      <c r="D137" t="s">
        <v>5237</v>
      </c>
      <c r="E137" t="s">
        <v>414</v>
      </c>
      <c r="F137" t="s">
        <v>3121</v>
      </c>
      <c r="G137" t="s">
        <v>5238</v>
      </c>
      <c r="H137" t="s">
        <v>5239</v>
      </c>
      <c r="I137" t="s">
        <v>3123</v>
      </c>
      <c r="J137" t="s">
        <v>5240</v>
      </c>
      <c r="K137" t="s">
        <v>3125</v>
      </c>
      <c r="L137" t="s">
        <v>3126</v>
      </c>
      <c r="M137" t="s">
        <v>5241</v>
      </c>
      <c r="N137" t="s">
        <v>5242</v>
      </c>
      <c r="O137" t="s">
        <v>5243</v>
      </c>
      <c r="P137" t="s">
        <v>5244</v>
      </c>
      <c r="Q137" t="s">
        <v>3584</v>
      </c>
      <c r="R137">
        <v>23771</v>
      </c>
      <c r="S137" t="s">
        <v>3155</v>
      </c>
      <c r="T137">
        <v>5517432741592750</v>
      </c>
      <c r="U137">
        <v>954</v>
      </c>
      <c r="V137">
        <v>43191</v>
      </c>
      <c r="W137" t="s">
        <v>5245</v>
      </c>
      <c r="X137" t="s">
        <v>5246</v>
      </c>
      <c r="Y137" t="s">
        <v>3135</v>
      </c>
      <c r="Z137" t="s">
        <v>5247</v>
      </c>
      <c r="AA137" t="s">
        <v>5248</v>
      </c>
      <c r="AB137" t="s">
        <v>5249</v>
      </c>
      <c r="AC137" t="s">
        <v>5250</v>
      </c>
      <c r="AD137" t="s">
        <v>3220</v>
      </c>
      <c r="AE137">
        <v>222</v>
      </c>
      <c r="AF137">
        <v>100.9</v>
      </c>
      <c r="AG137" t="s">
        <v>3141</v>
      </c>
      <c r="AH137">
        <v>186</v>
      </c>
      <c r="AI137" t="s">
        <v>5251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3143</v>
      </c>
      <c r="C138" t="s">
        <v>3144</v>
      </c>
      <c r="D138" t="s">
        <v>3278</v>
      </c>
      <c r="E138" t="s">
        <v>3120</v>
      </c>
      <c r="F138" t="s">
        <v>5252</v>
      </c>
      <c r="G138" t="s">
        <v>5253</v>
      </c>
      <c r="H138" t="s">
        <v>5254</v>
      </c>
      <c r="I138" t="s">
        <v>3123</v>
      </c>
      <c r="J138" t="s">
        <v>5255</v>
      </c>
      <c r="K138" t="s">
        <v>3125</v>
      </c>
      <c r="L138" t="s">
        <v>3126</v>
      </c>
      <c r="M138" t="s">
        <v>5256</v>
      </c>
      <c r="N138" t="s">
        <v>5257</v>
      </c>
      <c r="O138" t="s">
        <v>5258</v>
      </c>
      <c r="P138" t="s">
        <v>5259</v>
      </c>
      <c r="Q138" t="s">
        <v>5260</v>
      </c>
      <c r="R138">
        <v>22822</v>
      </c>
      <c r="S138" t="s">
        <v>3155</v>
      </c>
      <c r="T138">
        <v>5537918479384510</v>
      </c>
      <c r="U138">
        <v>899</v>
      </c>
      <c r="V138">
        <v>43770</v>
      </c>
      <c r="W138" t="s">
        <v>5261</v>
      </c>
      <c r="X138" t="s">
        <v>5262</v>
      </c>
      <c r="Y138" t="s">
        <v>3197</v>
      </c>
      <c r="Z138" t="s">
        <v>5263</v>
      </c>
      <c r="AA138" t="s">
        <v>4633</v>
      </c>
      <c r="AB138" t="s">
        <v>5264</v>
      </c>
      <c r="AC138" t="s">
        <v>5265</v>
      </c>
      <c r="AD138" t="s">
        <v>3276</v>
      </c>
      <c r="AE138">
        <v>196.7</v>
      </c>
      <c r="AF138">
        <v>89.4</v>
      </c>
      <c r="AG138" t="s">
        <v>3257</v>
      </c>
      <c r="AH138">
        <v>165</v>
      </c>
      <c r="AI138" t="s">
        <v>5266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3143</v>
      </c>
      <c r="C139" t="s">
        <v>3185</v>
      </c>
      <c r="D139" t="s">
        <v>3278</v>
      </c>
      <c r="E139" t="s">
        <v>221</v>
      </c>
      <c r="F139" t="s">
        <v>3121</v>
      </c>
      <c r="G139" t="s">
        <v>5267</v>
      </c>
      <c r="H139" t="s">
        <v>5268</v>
      </c>
      <c r="I139" t="s">
        <v>3123</v>
      </c>
      <c r="J139" t="s">
        <v>5269</v>
      </c>
      <c r="K139" t="s">
        <v>3125</v>
      </c>
      <c r="L139" t="s">
        <v>3126</v>
      </c>
      <c r="M139" t="s">
        <v>5270</v>
      </c>
      <c r="N139" t="s">
        <v>5271</v>
      </c>
      <c r="O139" t="s">
        <v>5272</v>
      </c>
      <c r="P139" t="s">
        <v>5273</v>
      </c>
      <c r="Q139" t="s">
        <v>5274</v>
      </c>
      <c r="R139">
        <v>25280</v>
      </c>
      <c r="S139" t="s">
        <v>3155</v>
      </c>
      <c r="T139">
        <v>5555944900313870</v>
      </c>
      <c r="U139">
        <v>550</v>
      </c>
      <c r="V139">
        <v>42036</v>
      </c>
      <c r="W139" t="s">
        <v>5275</v>
      </c>
      <c r="X139" t="s">
        <v>5276</v>
      </c>
      <c r="Y139" t="s">
        <v>3344</v>
      </c>
      <c r="Z139" t="s">
        <v>5277</v>
      </c>
      <c r="AA139" t="s">
        <v>5278</v>
      </c>
      <c r="AB139" t="s">
        <v>5279</v>
      </c>
      <c r="AC139" t="s">
        <v>5280</v>
      </c>
      <c r="AD139" t="s">
        <v>3220</v>
      </c>
      <c r="AE139">
        <v>117</v>
      </c>
      <c r="AF139">
        <v>53.2</v>
      </c>
      <c r="AG139" t="s">
        <v>3631</v>
      </c>
      <c r="AH139">
        <v>161</v>
      </c>
      <c r="AI139" t="s">
        <v>5281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3117</v>
      </c>
      <c r="C140" t="s">
        <v>3118</v>
      </c>
      <c r="D140" t="s">
        <v>5282</v>
      </c>
      <c r="E140" t="s">
        <v>221</v>
      </c>
      <c r="F140" t="s">
        <v>3738</v>
      </c>
      <c r="G140" t="s">
        <v>5283</v>
      </c>
      <c r="H140" t="s">
        <v>5284</v>
      </c>
      <c r="I140" t="s">
        <v>3123</v>
      </c>
      <c r="J140" t="s">
        <v>5285</v>
      </c>
      <c r="K140" t="s">
        <v>3125</v>
      </c>
      <c r="L140" t="s">
        <v>3126</v>
      </c>
      <c r="M140" t="s">
        <v>5286</v>
      </c>
      <c r="N140" t="s">
        <v>5287</v>
      </c>
      <c r="O140" t="s">
        <v>5288</v>
      </c>
      <c r="P140" t="s">
        <v>5289</v>
      </c>
      <c r="Q140" t="s">
        <v>5290</v>
      </c>
      <c r="R140">
        <v>28714</v>
      </c>
      <c r="S140" t="s">
        <v>3132</v>
      </c>
      <c r="T140">
        <v>4929534822593410</v>
      </c>
      <c r="U140">
        <v>451</v>
      </c>
      <c r="V140">
        <v>43617</v>
      </c>
      <c r="W140" t="s">
        <v>5291</v>
      </c>
      <c r="X140" t="s">
        <v>5292</v>
      </c>
      <c r="Y140" t="s">
        <v>3411</v>
      </c>
      <c r="Z140" t="s">
        <v>5293</v>
      </c>
      <c r="AA140" t="s">
        <v>5294</v>
      </c>
      <c r="AB140" t="s">
        <v>5295</v>
      </c>
      <c r="AC140" t="s">
        <v>5296</v>
      </c>
      <c r="AD140" t="s">
        <v>3256</v>
      </c>
      <c r="AE140">
        <v>216.7</v>
      </c>
      <c r="AF140">
        <v>98.5</v>
      </c>
      <c r="AG140" t="s">
        <v>3141</v>
      </c>
      <c r="AH140">
        <v>186</v>
      </c>
      <c r="AI140" t="s">
        <v>5297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3117</v>
      </c>
      <c r="C141" t="s">
        <v>4166</v>
      </c>
      <c r="D141" t="s">
        <v>5298</v>
      </c>
      <c r="E141" t="s">
        <v>3224</v>
      </c>
      <c r="F141" t="s">
        <v>4012</v>
      </c>
      <c r="G141" t="s">
        <v>5299</v>
      </c>
      <c r="H141" t="s">
        <v>4405</v>
      </c>
      <c r="I141" t="s">
        <v>3123</v>
      </c>
      <c r="J141" t="s">
        <v>4406</v>
      </c>
      <c r="K141" t="s">
        <v>3125</v>
      </c>
      <c r="L141" t="s">
        <v>3126</v>
      </c>
      <c r="M141" t="s">
        <v>5300</v>
      </c>
      <c r="N141" t="s">
        <v>5301</v>
      </c>
      <c r="O141" t="s">
        <v>5302</v>
      </c>
      <c r="P141" t="s">
        <v>5303</v>
      </c>
      <c r="Q141" t="s">
        <v>4896</v>
      </c>
      <c r="R141">
        <v>34757</v>
      </c>
      <c r="S141" t="s">
        <v>3132</v>
      </c>
      <c r="T141">
        <v>4716658042218260</v>
      </c>
      <c r="U141">
        <v>575</v>
      </c>
      <c r="V141">
        <v>42064</v>
      </c>
      <c r="W141" t="s">
        <v>5304</v>
      </c>
      <c r="X141" t="s">
        <v>5305</v>
      </c>
      <c r="Y141" t="s">
        <v>3135</v>
      </c>
      <c r="Z141" t="s">
        <v>5247</v>
      </c>
      <c r="AA141" t="s">
        <v>5306</v>
      </c>
      <c r="AB141" t="s">
        <v>5307</v>
      </c>
      <c r="AC141" t="s">
        <v>5308</v>
      </c>
      <c r="AD141" t="s">
        <v>3182</v>
      </c>
      <c r="AE141">
        <v>122.3</v>
      </c>
      <c r="AF141">
        <v>55.6</v>
      </c>
      <c r="AG141" t="s">
        <v>3312</v>
      </c>
      <c r="AH141">
        <v>182</v>
      </c>
      <c r="AI141" t="s">
        <v>5309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3143</v>
      </c>
      <c r="C142" t="s">
        <v>3144</v>
      </c>
      <c r="D142" t="s">
        <v>3681</v>
      </c>
      <c r="E142" t="s">
        <v>414</v>
      </c>
      <c r="F142" t="s">
        <v>5310</v>
      </c>
      <c r="G142" t="s">
        <v>5311</v>
      </c>
      <c r="H142" t="s">
        <v>37</v>
      </c>
      <c r="I142" t="s">
        <v>3123</v>
      </c>
      <c r="J142" t="s">
        <v>3506</v>
      </c>
      <c r="K142" t="s">
        <v>3125</v>
      </c>
      <c r="L142" t="s">
        <v>3126</v>
      </c>
      <c r="M142" t="s">
        <v>5312</v>
      </c>
      <c r="N142" t="s">
        <v>5313</v>
      </c>
      <c r="O142" t="s">
        <v>5314</v>
      </c>
      <c r="P142" t="s">
        <v>5315</v>
      </c>
      <c r="Q142" t="s">
        <v>5316</v>
      </c>
      <c r="R142">
        <v>19562</v>
      </c>
      <c r="S142" t="s">
        <v>3155</v>
      </c>
      <c r="T142">
        <v>5249550133578060</v>
      </c>
      <c r="U142">
        <v>905</v>
      </c>
      <c r="V142">
        <v>42370</v>
      </c>
      <c r="W142" t="s">
        <v>5317</v>
      </c>
      <c r="X142" t="s">
        <v>5318</v>
      </c>
      <c r="Y142" t="s">
        <v>3135</v>
      </c>
      <c r="Z142" t="s">
        <v>5319</v>
      </c>
      <c r="AA142" t="s">
        <v>3902</v>
      </c>
      <c r="AB142" t="s">
        <v>5320</v>
      </c>
      <c r="AC142" t="s">
        <v>5321</v>
      </c>
      <c r="AD142" t="s">
        <v>3220</v>
      </c>
      <c r="AE142">
        <v>218.7</v>
      </c>
      <c r="AF142">
        <v>99.4</v>
      </c>
      <c r="AG142" t="s">
        <v>3221</v>
      </c>
      <c r="AH142">
        <v>168</v>
      </c>
      <c r="AI142" t="s">
        <v>5322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3117</v>
      </c>
      <c r="C143" t="s">
        <v>3118</v>
      </c>
      <c r="D143" t="s">
        <v>4011</v>
      </c>
      <c r="E143" t="s">
        <v>3260</v>
      </c>
      <c r="F143" t="s">
        <v>5323</v>
      </c>
      <c r="G143" t="s">
        <v>5324</v>
      </c>
      <c r="H143" t="s">
        <v>3148</v>
      </c>
      <c r="I143" t="s">
        <v>3123</v>
      </c>
      <c r="J143" t="s">
        <v>3149</v>
      </c>
      <c r="K143" t="s">
        <v>3125</v>
      </c>
      <c r="L143" t="s">
        <v>3126</v>
      </c>
      <c r="M143" t="s">
        <v>5325</v>
      </c>
      <c r="N143" t="s">
        <v>5326</v>
      </c>
      <c r="O143" t="s">
        <v>5327</v>
      </c>
      <c r="P143" t="s">
        <v>5328</v>
      </c>
      <c r="Q143" t="s">
        <v>5329</v>
      </c>
      <c r="R143">
        <v>31444</v>
      </c>
      <c r="S143" t="s">
        <v>3155</v>
      </c>
      <c r="T143">
        <v>5365466744458130</v>
      </c>
      <c r="U143">
        <v>270</v>
      </c>
      <c r="V143">
        <v>42948</v>
      </c>
      <c r="W143" t="s">
        <v>5330</v>
      </c>
      <c r="X143" t="s">
        <v>5331</v>
      </c>
      <c r="Y143" t="s">
        <v>3158</v>
      </c>
      <c r="Z143" t="s">
        <v>5332</v>
      </c>
      <c r="AA143" t="s">
        <v>5333</v>
      </c>
      <c r="AB143" t="s">
        <v>5334</v>
      </c>
      <c r="AC143" t="s">
        <v>5335</v>
      </c>
      <c r="AD143" t="s">
        <v>3220</v>
      </c>
      <c r="AE143">
        <v>166.1</v>
      </c>
      <c r="AF143">
        <v>75.5</v>
      </c>
      <c r="AG143" t="s">
        <v>3183</v>
      </c>
      <c r="AH143">
        <v>175</v>
      </c>
      <c r="AI143" t="s">
        <v>5336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3143</v>
      </c>
      <c r="C144" t="s">
        <v>3185</v>
      </c>
      <c r="D144" t="s">
        <v>5337</v>
      </c>
      <c r="E144" t="s">
        <v>420</v>
      </c>
      <c r="F144" t="s">
        <v>5338</v>
      </c>
      <c r="G144" t="s">
        <v>5339</v>
      </c>
      <c r="H144" t="s">
        <v>2</v>
      </c>
      <c r="I144" t="s">
        <v>3123</v>
      </c>
      <c r="J144" t="s">
        <v>4031</v>
      </c>
      <c r="K144" t="s">
        <v>3125</v>
      </c>
      <c r="L144" t="s">
        <v>3126</v>
      </c>
      <c r="M144" t="s">
        <v>5340</v>
      </c>
      <c r="N144" t="s">
        <v>5341</v>
      </c>
      <c r="O144" t="s">
        <v>5342</v>
      </c>
      <c r="P144" t="s">
        <v>5343</v>
      </c>
      <c r="Q144" t="s">
        <v>5344</v>
      </c>
      <c r="R144">
        <v>26208</v>
      </c>
      <c r="S144" t="s">
        <v>3132</v>
      </c>
      <c r="T144">
        <v>4556631467912120</v>
      </c>
      <c r="U144">
        <v>744</v>
      </c>
      <c r="V144">
        <v>42005</v>
      </c>
      <c r="W144" t="s">
        <v>5345</v>
      </c>
      <c r="X144" t="s">
        <v>5346</v>
      </c>
      <c r="Y144" t="s">
        <v>3135</v>
      </c>
      <c r="Z144" t="s">
        <v>5347</v>
      </c>
      <c r="AA144" t="s">
        <v>5348</v>
      </c>
      <c r="AB144" t="s">
        <v>5349</v>
      </c>
      <c r="AC144" t="s">
        <v>5350</v>
      </c>
      <c r="AD144" t="s">
        <v>3220</v>
      </c>
      <c r="AE144">
        <v>119</v>
      </c>
      <c r="AF144">
        <v>54.1</v>
      </c>
      <c r="AG144" t="s">
        <v>3202</v>
      </c>
      <c r="AH144">
        <v>158</v>
      </c>
      <c r="AI144" t="s">
        <v>5351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3143</v>
      </c>
      <c r="C145" t="s">
        <v>3144</v>
      </c>
      <c r="D145" t="s">
        <v>4768</v>
      </c>
      <c r="E145" t="s">
        <v>3120</v>
      </c>
      <c r="F145" t="s">
        <v>5352</v>
      </c>
      <c r="G145" t="s">
        <v>5353</v>
      </c>
      <c r="H145" t="s">
        <v>5354</v>
      </c>
      <c r="I145" t="s">
        <v>3123</v>
      </c>
      <c r="J145" t="s">
        <v>5355</v>
      </c>
      <c r="K145" t="s">
        <v>3125</v>
      </c>
      <c r="L145" t="s">
        <v>3126</v>
      </c>
      <c r="M145" t="s">
        <v>5356</v>
      </c>
      <c r="N145" t="s">
        <v>5357</v>
      </c>
      <c r="O145" t="s">
        <v>5358</v>
      </c>
      <c r="P145" t="s">
        <v>5359</v>
      </c>
      <c r="Q145" t="s">
        <v>5360</v>
      </c>
      <c r="R145">
        <v>28390</v>
      </c>
      <c r="S145" t="s">
        <v>3132</v>
      </c>
      <c r="T145">
        <v>4485868173088770</v>
      </c>
      <c r="U145">
        <v>601</v>
      </c>
      <c r="V145">
        <v>43647</v>
      </c>
      <c r="W145" t="s">
        <v>5361</v>
      </c>
      <c r="X145" t="s">
        <v>5362</v>
      </c>
      <c r="Y145" t="s">
        <v>3197</v>
      </c>
      <c r="Z145" t="s">
        <v>5363</v>
      </c>
      <c r="AA145" t="s">
        <v>5364</v>
      </c>
      <c r="AB145" t="s">
        <v>5365</v>
      </c>
      <c r="AC145" t="s">
        <v>5366</v>
      </c>
      <c r="AD145" t="s">
        <v>3163</v>
      </c>
      <c r="AE145">
        <v>225.9</v>
      </c>
      <c r="AF145">
        <v>102.7</v>
      </c>
      <c r="AG145" t="s">
        <v>3330</v>
      </c>
      <c r="AH145">
        <v>170</v>
      </c>
      <c r="AI145" t="s">
        <v>5367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3117</v>
      </c>
      <c r="C146" t="s">
        <v>3118</v>
      </c>
      <c r="D146" t="s">
        <v>5368</v>
      </c>
      <c r="E146" t="s">
        <v>417</v>
      </c>
      <c r="F146" t="s">
        <v>5369</v>
      </c>
      <c r="G146" t="s">
        <v>5370</v>
      </c>
      <c r="H146" t="s">
        <v>38</v>
      </c>
      <c r="I146" t="s">
        <v>3123</v>
      </c>
      <c r="J146" t="s">
        <v>3968</v>
      </c>
      <c r="K146" t="s">
        <v>3125</v>
      </c>
      <c r="L146" t="s">
        <v>3126</v>
      </c>
      <c r="M146" t="s">
        <v>5371</v>
      </c>
      <c r="N146" t="s">
        <v>5372</v>
      </c>
      <c r="O146" t="s">
        <v>5373</v>
      </c>
      <c r="P146" t="s">
        <v>5374</v>
      </c>
      <c r="Q146" t="s">
        <v>5375</v>
      </c>
      <c r="R146">
        <v>33859</v>
      </c>
      <c r="S146" t="s">
        <v>3155</v>
      </c>
      <c r="T146">
        <v>5424272977425470</v>
      </c>
      <c r="U146">
        <v>10</v>
      </c>
      <c r="V146">
        <v>42064</v>
      </c>
      <c r="W146" t="s">
        <v>5376</v>
      </c>
      <c r="X146" t="s">
        <v>5377</v>
      </c>
      <c r="Y146" t="s">
        <v>3135</v>
      </c>
      <c r="Z146" t="s">
        <v>5378</v>
      </c>
      <c r="AA146" t="s">
        <v>5379</v>
      </c>
      <c r="AB146" t="s">
        <v>5380</v>
      </c>
      <c r="AC146" t="s">
        <v>5381</v>
      </c>
      <c r="AD146" t="s">
        <v>3182</v>
      </c>
      <c r="AE146">
        <v>126.1</v>
      </c>
      <c r="AF146">
        <v>57.3</v>
      </c>
      <c r="AG146" t="s">
        <v>3141</v>
      </c>
      <c r="AH146">
        <v>185</v>
      </c>
      <c r="AI146" t="s">
        <v>5382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3143</v>
      </c>
      <c r="C147" t="s">
        <v>3185</v>
      </c>
      <c r="D147" t="s">
        <v>5383</v>
      </c>
      <c r="E147" t="s">
        <v>417</v>
      </c>
      <c r="F147" t="s">
        <v>5384</v>
      </c>
      <c r="G147" t="s">
        <v>5385</v>
      </c>
      <c r="H147" t="s">
        <v>5386</v>
      </c>
      <c r="I147" t="s">
        <v>3123</v>
      </c>
      <c r="J147" t="s">
        <v>5387</v>
      </c>
      <c r="K147" t="s">
        <v>3125</v>
      </c>
      <c r="L147" t="s">
        <v>3126</v>
      </c>
      <c r="M147" t="s">
        <v>5388</v>
      </c>
      <c r="N147" t="s">
        <v>5389</v>
      </c>
      <c r="O147" t="s">
        <v>5390</v>
      </c>
      <c r="P147" t="s">
        <v>5391</v>
      </c>
      <c r="Q147" t="s">
        <v>3641</v>
      </c>
      <c r="R147">
        <v>22061</v>
      </c>
      <c r="S147" t="s">
        <v>3155</v>
      </c>
      <c r="T147">
        <v>5557162397151160</v>
      </c>
      <c r="U147">
        <v>584</v>
      </c>
      <c r="V147">
        <v>43525</v>
      </c>
      <c r="W147" t="s">
        <v>5392</v>
      </c>
      <c r="X147" t="s">
        <v>5393</v>
      </c>
      <c r="Y147" t="s">
        <v>3197</v>
      </c>
      <c r="Z147" t="s">
        <v>5394</v>
      </c>
      <c r="AA147" t="s">
        <v>5395</v>
      </c>
      <c r="AB147" t="s">
        <v>5396</v>
      </c>
      <c r="AC147" t="s">
        <v>5397</v>
      </c>
      <c r="AD147" t="s">
        <v>3220</v>
      </c>
      <c r="AE147">
        <v>138.4</v>
      </c>
      <c r="AF147">
        <v>62.9</v>
      </c>
      <c r="AG147" t="s">
        <v>3164</v>
      </c>
      <c r="AH147">
        <v>155</v>
      </c>
      <c r="AI147" t="s">
        <v>5398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3143</v>
      </c>
      <c r="C148" t="s">
        <v>3185</v>
      </c>
      <c r="D148" t="s">
        <v>5399</v>
      </c>
      <c r="E148" t="s">
        <v>3778</v>
      </c>
      <c r="F148" t="s">
        <v>5400</v>
      </c>
      <c r="G148" t="s">
        <v>5401</v>
      </c>
      <c r="H148" t="s">
        <v>3522</v>
      </c>
      <c r="I148" t="s">
        <v>3123</v>
      </c>
      <c r="J148" t="s">
        <v>3523</v>
      </c>
      <c r="K148" t="s">
        <v>3125</v>
      </c>
      <c r="L148" t="s">
        <v>3126</v>
      </c>
      <c r="M148" t="s">
        <v>5402</v>
      </c>
      <c r="N148" t="s">
        <v>5403</v>
      </c>
      <c r="O148" t="s">
        <v>5404</v>
      </c>
      <c r="P148" t="s">
        <v>5405</v>
      </c>
      <c r="Q148" t="s">
        <v>5406</v>
      </c>
      <c r="R148">
        <v>19388</v>
      </c>
      <c r="S148" t="s">
        <v>3132</v>
      </c>
      <c r="T148">
        <v>4716309878378280</v>
      </c>
      <c r="U148">
        <v>357</v>
      </c>
      <c r="V148">
        <v>43617</v>
      </c>
      <c r="W148" t="s">
        <v>5407</v>
      </c>
      <c r="X148" t="s">
        <v>5408</v>
      </c>
      <c r="Y148" t="s">
        <v>3289</v>
      </c>
      <c r="Z148" t="s">
        <v>5409</v>
      </c>
      <c r="AA148" t="s">
        <v>5410</v>
      </c>
      <c r="AB148" t="s">
        <v>5411</v>
      </c>
      <c r="AC148" t="s">
        <v>5412</v>
      </c>
      <c r="AD148" t="s">
        <v>3276</v>
      </c>
      <c r="AE148">
        <v>189.6</v>
      </c>
      <c r="AF148">
        <v>86.2</v>
      </c>
      <c r="AG148" t="s">
        <v>3164</v>
      </c>
      <c r="AH148">
        <v>155</v>
      </c>
      <c r="AI148" t="s">
        <v>5413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3117</v>
      </c>
      <c r="C149" t="s">
        <v>3118</v>
      </c>
      <c r="D149" t="s">
        <v>5414</v>
      </c>
      <c r="E149" t="s">
        <v>3120</v>
      </c>
      <c r="F149" t="s">
        <v>5415</v>
      </c>
      <c r="G149" t="s">
        <v>5416</v>
      </c>
      <c r="H149" t="s">
        <v>67</v>
      </c>
      <c r="I149" t="s">
        <v>3123</v>
      </c>
      <c r="J149" t="s">
        <v>3909</v>
      </c>
      <c r="K149" t="s">
        <v>3125</v>
      </c>
      <c r="L149" t="s">
        <v>3126</v>
      </c>
      <c r="M149" t="s">
        <v>5417</v>
      </c>
      <c r="N149" t="s">
        <v>5418</v>
      </c>
      <c r="O149" t="s">
        <v>5419</v>
      </c>
      <c r="P149" t="s">
        <v>5420</v>
      </c>
      <c r="Q149" t="s">
        <v>5421</v>
      </c>
      <c r="R149">
        <v>13786</v>
      </c>
      <c r="S149" t="s">
        <v>3155</v>
      </c>
      <c r="T149">
        <v>5376053846537080</v>
      </c>
      <c r="U149">
        <v>604</v>
      </c>
      <c r="V149">
        <v>42064</v>
      </c>
      <c r="W149" t="s">
        <v>5422</v>
      </c>
      <c r="X149" t="s">
        <v>5423</v>
      </c>
      <c r="Y149" t="s">
        <v>3135</v>
      </c>
      <c r="Z149" t="s">
        <v>5424</v>
      </c>
      <c r="AA149" t="s">
        <v>5425</v>
      </c>
      <c r="AB149" t="s">
        <v>5426</v>
      </c>
      <c r="AC149" t="s">
        <v>5427</v>
      </c>
      <c r="AD149" t="s">
        <v>3220</v>
      </c>
      <c r="AE149">
        <v>131.1</v>
      </c>
      <c r="AF149">
        <v>59.6</v>
      </c>
      <c r="AG149" t="s">
        <v>3312</v>
      </c>
      <c r="AH149">
        <v>183</v>
      </c>
      <c r="AI149" t="s">
        <v>5428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3117</v>
      </c>
      <c r="C150" t="s">
        <v>3118</v>
      </c>
      <c r="D150" t="s">
        <v>5429</v>
      </c>
      <c r="E150" t="s">
        <v>422</v>
      </c>
      <c r="F150" t="s">
        <v>5430</v>
      </c>
      <c r="G150" t="s">
        <v>5431</v>
      </c>
      <c r="H150" t="s">
        <v>33</v>
      </c>
      <c r="I150" t="s">
        <v>3123</v>
      </c>
      <c r="J150" t="s">
        <v>5432</v>
      </c>
      <c r="K150" t="s">
        <v>3125</v>
      </c>
      <c r="L150" t="s">
        <v>3126</v>
      </c>
      <c r="M150" t="s">
        <v>5433</v>
      </c>
      <c r="N150" t="s">
        <v>5434</v>
      </c>
      <c r="O150" t="s">
        <v>5435</v>
      </c>
      <c r="P150" t="s">
        <v>5436</v>
      </c>
      <c r="Q150" t="s">
        <v>5437</v>
      </c>
      <c r="R150">
        <v>14546</v>
      </c>
      <c r="S150" t="s">
        <v>3132</v>
      </c>
      <c r="T150">
        <v>4539450755008020</v>
      </c>
      <c r="U150">
        <v>521</v>
      </c>
      <c r="V150">
        <v>43497</v>
      </c>
      <c r="W150" t="s">
        <v>5438</v>
      </c>
      <c r="X150" t="s">
        <v>5439</v>
      </c>
      <c r="Y150" t="s">
        <v>3135</v>
      </c>
      <c r="Z150" t="s">
        <v>5440</v>
      </c>
      <c r="AA150" t="s">
        <v>5441</v>
      </c>
      <c r="AB150" t="s">
        <v>5442</v>
      </c>
      <c r="AC150" t="s">
        <v>5443</v>
      </c>
      <c r="AD150" t="s">
        <v>3220</v>
      </c>
      <c r="AE150">
        <v>180</v>
      </c>
      <c r="AF150">
        <v>81.8</v>
      </c>
      <c r="AG150" t="s">
        <v>3294</v>
      </c>
      <c r="AH150">
        <v>173</v>
      </c>
      <c r="AI150" t="s">
        <v>5444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95</v>
      </c>
      <c r="C1" t="s">
        <v>27</v>
      </c>
      <c r="D1" t="s">
        <v>103</v>
      </c>
      <c r="E1" t="s">
        <v>104</v>
      </c>
      <c r="H1" t="str">
        <f ca="1">CONCATR(B1:E1,",")</f>
        <v>Read,Type,Message,Date</v>
      </c>
    </row>
    <row r="2" spans="1:8" x14ac:dyDescent="0.3">
      <c r="A2">
        <v>1</v>
      </c>
      <c r="B2" s="2" t="s">
        <v>96</v>
      </c>
      <c r="C2" t="s">
        <v>113</v>
      </c>
      <c r="D2" t="s">
        <v>114</v>
      </c>
      <c r="E2" t="s">
        <v>105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96</v>
      </c>
      <c r="C3" t="s">
        <v>98</v>
      </c>
      <c r="D3" t="s">
        <v>108</v>
      </c>
      <c r="E3" t="s">
        <v>106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96</v>
      </c>
      <c r="C4" t="s">
        <v>101</v>
      </c>
      <c r="D4" t="s">
        <v>109</v>
      </c>
      <c r="E4" t="s">
        <v>107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97</v>
      </c>
      <c r="C5" t="s">
        <v>99</v>
      </c>
      <c r="D5" t="s">
        <v>110</v>
      </c>
      <c r="E5" t="str">
        <f ca="1">TEXT(TODAY()-3,"YYYY-MMM-DD")</f>
        <v>2017-Jan-04</v>
      </c>
      <c r="G5" s="1"/>
      <c r="H5" t="str">
        <f t="shared" ca="1" si="0"/>
        <v>[*],New Owner for Bus,The owner of a [School Bus](School Bus School Bus View) was changed to [Wilson's School Buses](School Bus Owner Edit) by Greg Neal.,2017-Jan-04</v>
      </c>
    </row>
    <row r="6" spans="1:8" x14ac:dyDescent="0.3">
      <c r="A6">
        <v>5</v>
      </c>
      <c r="B6" s="2" t="s">
        <v>97</v>
      </c>
      <c r="C6" t="s">
        <v>102</v>
      </c>
      <c r="D6" t="s">
        <v>111</v>
      </c>
      <c r="E6" t="str">
        <f ca="1">TEXT(TODAY()-A6,"YYYY-MMM-DD")</f>
        <v>2017-Jan-02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,2017-Jan-02</v>
      </c>
    </row>
    <row r="7" spans="1:8" x14ac:dyDescent="0.3">
      <c r="A7">
        <v>6</v>
      </c>
      <c r="B7" s="2" t="s">
        <v>97</v>
      </c>
      <c r="C7" t="s">
        <v>100</v>
      </c>
      <c r="D7" t="s">
        <v>112</v>
      </c>
      <c r="E7" t="str">
        <f ca="1">TEXT(TODAY()-A7,"YYYY-MMM-DD")</f>
        <v>2017-Jan-01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Neal.,2017-Jan-01</v>
      </c>
    </row>
    <row r="8" spans="1:8" x14ac:dyDescent="0.3">
      <c r="B8" s="2" t="s">
        <v>93</v>
      </c>
      <c r="C8">
        <v>0</v>
      </c>
      <c r="D8">
        <v>0</v>
      </c>
      <c r="E8" t="s">
        <v>92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903"/>
  <sheetViews>
    <sheetView tabSelected="1" workbookViewId="0">
      <selection activeCell="B2" sqref="B2"/>
    </sheetView>
  </sheetViews>
  <sheetFormatPr defaultRowHeight="14.4" x14ac:dyDescent="0.3"/>
  <cols>
    <col min="1" max="1" width="4" bestFit="1" customWidth="1"/>
    <col min="2" max="2" width="15.21875" bestFit="1" customWidth="1"/>
    <col min="3" max="3" width="15.21875" customWidth="1"/>
    <col min="4" max="4" width="23.6640625" bestFit="1" customWidth="1"/>
    <col min="5" max="5" width="29.21875" bestFit="1" customWidth="1"/>
    <col min="7" max="7" width="10.21875" bestFit="1" customWidth="1"/>
    <col min="10" max="10" width="12.109375" bestFit="1" customWidth="1"/>
  </cols>
  <sheetData>
    <row r="1" spans="1:20" x14ac:dyDescent="0.3">
      <c r="A1" t="s">
        <v>3</v>
      </c>
      <c r="B1" t="s">
        <v>14</v>
      </c>
      <c r="C1" t="s">
        <v>16</v>
      </c>
      <c r="D1" t="s">
        <v>17</v>
      </c>
      <c r="E1" t="s">
        <v>0</v>
      </c>
      <c r="F1" t="s">
        <v>25</v>
      </c>
      <c r="G1" t="s">
        <v>91</v>
      </c>
      <c r="H1" t="s">
        <v>0</v>
      </c>
      <c r="I1" t="s">
        <v>45</v>
      </c>
      <c r="J1" t="s">
        <v>77</v>
      </c>
      <c r="K1" t="s">
        <v>167</v>
      </c>
      <c r="L1" t="s">
        <v>373</v>
      </c>
      <c r="M1" t="s">
        <v>409</v>
      </c>
      <c r="N1" t="s">
        <v>413</v>
      </c>
      <c r="O1" t="s">
        <v>423</v>
      </c>
      <c r="P1" t="s">
        <v>428</v>
      </c>
      <c r="Q1" t="s">
        <v>2946</v>
      </c>
      <c r="R1" t="s">
        <v>2999</v>
      </c>
      <c r="S1" t="s">
        <v>3031</v>
      </c>
      <c r="T1" t="s">
        <v>3036</v>
      </c>
    </row>
    <row r="2" spans="1:20" x14ac:dyDescent="0.3">
      <c r="A2">
        <v>1</v>
      </c>
      <c r="B2" t="s">
        <v>28</v>
      </c>
      <c r="C2" t="s">
        <v>4</v>
      </c>
      <c r="D2" t="s">
        <v>1</v>
      </c>
      <c r="E2" t="s">
        <v>46</v>
      </c>
      <c r="F2">
        <f ca="1">RANDBETWEEN(10000000,50000000)</f>
        <v>23699832</v>
      </c>
      <c r="G2">
        <f ca="1">RANDBETWEEN(100,1000)</f>
        <v>897</v>
      </c>
      <c r="H2" t="s">
        <v>66</v>
      </c>
      <c r="I2" t="s">
        <v>56</v>
      </c>
      <c r="J2" t="s">
        <v>78</v>
      </c>
      <c r="K2" t="s">
        <v>168</v>
      </c>
      <c r="L2" t="s">
        <v>374</v>
      </c>
      <c r="M2" t="s">
        <v>410</v>
      </c>
      <c r="N2" t="s">
        <v>414</v>
      </c>
      <c r="O2">
        <v>1</v>
      </c>
      <c r="P2" t="s">
        <v>442</v>
      </c>
      <c r="Q2" t="s">
        <v>2947</v>
      </c>
      <c r="R2" t="s">
        <v>3000</v>
      </c>
      <c r="S2" t="s">
        <v>3032</v>
      </c>
    </row>
    <row r="3" spans="1:20" x14ac:dyDescent="0.3">
      <c r="A3">
        <f>A2+1</f>
        <v>2</v>
      </c>
      <c r="B3" t="s">
        <v>29</v>
      </c>
      <c r="C3" t="s">
        <v>5</v>
      </c>
      <c r="D3" t="s">
        <v>424</v>
      </c>
      <c r="E3" t="s">
        <v>47</v>
      </c>
      <c r="F3">
        <f t="shared" ref="F3:F11" ca="1" si="0">RANDBETWEEN(10000000,50000000)</f>
        <v>38370803</v>
      </c>
      <c r="G3">
        <f t="shared" ref="G3:G11" ca="1" si="1">RANDBETWEEN(100,1000)</f>
        <v>106</v>
      </c>
      <c r="H3" t="s">
        <v>67</v>
      </c>
      <c r="I3" t="s">
        <v>57</v>
      </c>
      <c r="J3" t="s">
        <v>79</v>
      </c>
      <c r="K3" t="s">
        <v>169</v>
      </c>
      <c r="L3" t="s">
        <v>375</v>
      </c>
      <c r="M3" t="s">
        <v>411</v>
      </c>
      <c r="N3" t="s">
        <v>415</v>
      </c>
      <c r="O3">
        <v>10</v>
      </c>
      <c r="P3" t="s">
        <v>443</v>
      </c>
      <c r="Q3" t="s">
        <v>2948</v>
      </c>
      <c r="R3" t="s">
        <v>3001</v>
      </c>
      <c r="S3" t="s">
        <v>3033</v>
      </c>
    </row>
    <row r="4" spans="1:20" x14ac:dyDescent="0.3">
      <c r="A4">
        <f t="shared" ref="A4:A67" si="2">A3+1</f>
        <v>3</v>
      </c>
      <c r="B4" t="s">
        <v>30</v>
      </c>
      <c r="C4" t="s">
        <v>6</v>
      </c>
      <c r="D4" t="s">
        <v>18</v>
      </c>
      <c r="E4" t="s">
        <v>48</v>
      </c>
      <c r="F4">
        <f t="shared" ca="1" si="0"/>
        <v>18503435</v>
      </c>
      <c r="G4">
        <f t="shared" ca="1" si="1"/>
        <v>178</v>
      </c>
      <c r="H4" t="s">
        <v>68</v>
      </c>
      <c r="I4" t="s">
        <v>58</v>
      </c>
      <c r="J4" t="s">
        <v>80</v>
      </c>
      <c r="K4" t="s">
        <v>170</v>
      </c>
      <c r="L4" t="s">
        <v>376</v>
      </c>
      <c r="M4" t="s">
        <v>340</v>
      </c>
      <c r="N4" t="s">
        <v>416</v>
      </c>
      <c r="O4">
        <v>11</v>
      </c>
      <c r="P4" t="s">
        <v>444</v>
      </c>
      <c r="Q4" t="s">
        <v>2949</v>
      </c>
      <c r="R4" t="s">
        <v>3002</v>
      </c>
      <c r="S4" t="s">
        <v>3034</v>
      </c>
    </row>
    <row r="5" spans="1:20" x14ac:dyDescent="0.3">
      <c r="A5">
        <f t="shared" si="2"/>
        <v>4</v>
      </c>
      <c r="B5" t="s">
        <v>31</v>
      </c>
      <c r="C5" t="s">
        <v>7</v>
      </c>
      <c r="D5" t="s">
        <v>19</v>
      </c>
      <c r="E5" t="s">
        <v>49</v>
      </c>
      <c r="F5">
        <f t="shared" ca="1" si="0"/>
        <v>25586764</v>
      </c>
      <c r="G5">
        <f t="shared" ca="1" si="1"/>
        <v>457</v>
      </c>
      <c r="H5" t="s">
        <v>69</v>
      </c>
      <c r="I5" t="s">
        <v>59</v>
      </c>
      <c r="J5" t="s">
        <v>81</v>
      </c>
      <c r="K5" t="s">
        <v>171</v>
      </c>
      <c r="L5" t="s">
        <v>377</v>
      </c>
      <c r="M5" t="s">
        <v>412</v>
      </c>
      <c r="N5" t="s">
        <v>417</v>
      </c>
      <c r="O5">
        <v>12</v>
      </c>
      <c r="P5" t="s">
        <v>445</v>
      </c>
      <c r="Q5" t="s">
        <v>2950</v>
      </c>
      <c r="R5" t="s">
        <v>3003</v>
      </c>
      <c r="S5" t="s">
        <v>3035</v>
      </c>
    </row>
    <row r="6" spans="1:20" x14ac:dyDescent="0.3">
      <c r="A6">
        <f t="shared" si="2"/>
        <v>5</v>
      </c>
      <c r="B6" t="s">
        <v>32</v>
      </c>
      <c r="C6" t="s">
        <v>8</v>
      </c>
      <c r="D6" t="s">
        <v>20</v>
      </c>
      <c r="E6" t="s">
        <v>50</v>
      </c>
      <c r="F6">
        <f t="shared" ca="1" si="0"/>
        <v>48276038</v>
      </c>
      <c r="G6">
        <f t="shared" ca="1" si="1"/>
        <v>845</v>
      </c>
      <c r="H6" t="s">
        <v>38</v>
      </c>
      <c r="I6" t="s">
        <v>60</v>
      </c>
      <c r="J6" t="s">
        <v>82</v>
      </c>
      <c r="K6">
        <v>121</v>
      </c>
      <c r="L6" t="s">
        <v>188</v>
      </c>
      <c r="M6" t="s">
        <v>363</v>
      </c>
      <c r="N6" t="s">
        <v>418</v>
      </c>
      <c r="O6">
        <v>13</v>
      </c>
      <c r="P6" t="s">
        <v>446</v>
      </c>
      <c r="Q6" t="s">
        <v>2951</v>
      </c>
      <c r="R6" t="s">
        <v>3004</v>
      </c>
    </row>
    <row r="7" spans="1:20" x14ac:dyDescent="0.3">
      <c r="A7">
        <f t="shared" si="2"/>
        <v>6</v>
      </c>
      <c r="B7" t="s">
        <v>33</v>
      </c>
      <c r="C7" t="s">
        <v>9</v>
      </c>
      <c r="D7" t="s">
        <v>21</v>
      </c>
      <c r="E7" t="s">
        <v>51</v>
      </c>
      <c r="F7">
        <f t="shared" ca="1" si="0"/>
        <v>47492619</v>
      </c>
      <c r="G7">
        <f t="shared" ca="1" si="1"/>
        <v>925</v>
      </c>
      <c r="H7" t="s">
        <v>70</v>
      </c>
      <c r="I7" t="s">
        <v>61</v>
      </c>
      <c r="J7" t="s">
        <v>83</v>
      </c>
      <c r="K7">
        <v>2145</v>
      </c>
      <c r="L7" t="s">
        <v>378</v>
      </c>
      <c r="N7" t="s">
        <v>419</v>
      </c>
      <c r="O7">
        <v>14</v>
      </c>
      <c r="P7" t="s">
        <v>447</v>
      </c>
      <c r="Q7" t="s">
        <v>2952</v>
      </c>
      <c r="R7" t="s">
        <v>3005</v>
      </c>
    </row>
    <row r="8" spans="1:20" x14ac:dyDescent="0.3">
      <c r="A8">
        <f t="shared" si="2"/>
        <v>7</v>
      </c>
      <c r="B8" t="s">
        <v>34</v>
      </c>
      <c r="C8" t="s">
        <v>10</v>
      </c>
      <c r="D8" t="s">
        <v>22</v>
      </c>
      <c r="E8" t="s">
        <v>52</v>
      </c>
      <c r="F8">
        <f t="shared" ca="1" si="0"/>
        <v>30571565</v>
      </c>
      <c r="G8">
        <f t="shared" ca="1" si="1"/>
        <v>949</v>
      </c>
      <c r="H8" t="s">
        <v>71</v>
      </c>
      <c r="I8" t="s">
        <v>62</v>
      </c>
      <c r="J8" t="s">
        <v>84</v>
      </c>
      <c r="K8" t="s">
        <v>172</v>
      </c>
      <c r="L8" t="s">
        <v>202</v>
      </c>
      <c r="N8" t="s">
        <v>420</v>
      </c>
      <c r="O8">
        <v>15</v>
      </c>
      <c r="P8" t="s">
        <v>448</v>
      </c>
      <c r="Q8" t="s">
        <v>2953</v>
      </c>
      <c r="R8" t="s">
        <v>3006</v>
      </c>
    </row>
    <row r="9" spans="1:20" x14ac:dyDescent="0.3">
      <c r="A9">
        <f t="shared" si="2"/>
        <v>8</v>
      </c>
      <c r="B9" t="s">
        <v>35</v>
      </c>
      <c r="C9" t="s">
        <v>11</v>
      </c>
      <c r="D9" t="s">
        <v>23</v>
      </c>
      <c r="E9" t="s">
        <v>53</v>
      </c>
      <c r="F9">
        <f t="shared" ca="1" si="0"/>
        <v>20209564</v>
      </c>
      <c r="G9">
        <f t="shared" ca="1" si="1"/>
        <v>134</v>
      </c>
      <c r="H9" t="s">
        <v>2</v>
      </c>
      <c r="I9" t="s">
        <v>63</v>
      </c>
      <c r="J9" t="s">
        <v>85</v>
      </c>
      <c r="K9" t="s">
        <v>173</v>
      </c>
      <c r="L9" t="s">
        <v>379</v>
      </c>
      <c r="N9" t="s">
        <v>421</v>
      </c>
      <c r="O9">
        <v>16</v>
      </c>
      <c r="P9" t="s">
        <v>449</v>
      </c>
      <c r="Q9" t="s">
        <v>2954</v>
      </c>
      <c r="R9" t="s">
        <v>3007</v>
      </c>
    </row>
    <row r="10" spans="1:20" x14ac:dyDescent="0.3">
      <c r="A10">
        <f t="shared" si="2"/>
        <v>9</v>
      </c>
      <c r="B10" t="s">
        <v>36</v>
      </c>
      <c r="C10" t="s">
        <v>12</v>
      </c>
      <c r="D10" t="s">
        <v>24</v>
      </c>
      <c r="E10" t="s">
        <v>54</v>
      </c>
      <c r="F10">
        <f t="shared" ca="1" si="0"/>
        <v>45966698</v>
      </c>
      <c r="G10">
        <f t="shared" ca="1" si="1"/>
        <v>215</v>
      </c>
      <c r="H10" t="s">
        <v>15</v>
      </c>
      <c r="I10" t="s">
        <v>64</v>
      </c>
      <c r="J10" t="s">
        <v>86</v>
      </c>
      <c r="K10">
        <v>300</v>
      </c>
      <c r="L10" t="s">
        <v>203</v>
      </c>
      <c r="N10" t="s">
        <v>422</v>
      </c>
      <c r="O10">
        <v>17</v>
      </c>
      <c r="P10" t="s">
        <v>450</v>
      </c>
      <c r="Q10" t="s">
        <v>2955</v>
      </c>
      <c r="R10" t="s">
        <v>3008</v>
      </c>
    </row>
    <row r="11" spans="1:20" x14ac:dyDescent="0.3">
      <c r="A11">
        <f t="shared" si="2"/>
        <v>10</v>
      </c>
      <c r="B11" t="s">
        <v>2</v>
      </c>
      <c r="C11" t="s">
        <v>13</v>
      </c>
      <c r="D11" t="s">
        <v>425</v>
      </c>
      <c r="E11" t="s">
        <v>55</v>
      </c>
      <c r="F11">
        <f t="shared" ca="1" si="0"/>
        <v>41411460</v>
      </c>
      <c r="G11">
        <f t="shared" ca="1" si="1"/>
        <v>637</v>
      </c>
      <c r="H11" t="s">
        <v>72</v>
      </c>
      <c r="I11" t="s">
        <v>65</v>
      </c>
      <c r="J11" t="s">
        <v>87</v>
      </c>
      <c r="K11" t="s">
        <v>174</v>
      </c>
      <c r="L11" t="s">
        <v>204</v>
      </c>
      <c r="O11">
        <v>18</v>
      </c>
      <c r="P11" t="s">
        <v>451</v>
      </c>
      <c r="Q11" t="s">
        <v>2956</v>
      </c>
      <c r="R11" t="s">
        <v>3009</v>
      </c>
    </row>
    <row r="12" spans="1:20" x14ac:dyDescent="0.3">
      <c r="A12">
        <f t="shared" si="2"/>
        <v>11</v>
      </c>
      <c r="B12" t="s">
        <v>37</v>
      </c>
      <c r="K12">
        <v>3500</v>
      </c>
      <c r="L12" t="s">
        <v>214</v>
      </c>
      <c r="O12">
        <v>19</v>
      </c>
      <c r="P12" t="s">
        <v>452</v>
      </c>
      <c r="Q12" t="s">
        <v>2957</v>
      </c>
      <c r="R12" t="s">
        <v>3010</v>
      </c>
    </row>
    <row r="13" spans="1:20" x14ac:dyDescent="0.3">
      <c r="A13">
        <f t="shared" si="2"/>
        <v>12</v>
      </c>
      <c r="B13" t="s">
        <v>38</v>
      </c>
      <c r="K13">
        <v>3800</v>
      </c>
      <c r="L13" t="s">
        <v>380</v>
      </c>
      <c r="O13">
        <v>20</v>
      </c>
      <c r="P13" t="s">
        <v>453</v>
      </c>
      <c r="Q13" t="s">
        <v>2958</v>
      </c>
      <c r="R13" t="s">
        <v>3011</v>
      </c>
    </row>
    <row r="14" spans="1:20" x14ac:dyDescent="0.3">
      <c r="A14">
        <f t="shared" si="2"/>
        <v>13</v>
      </c>
      <c r="B14" t="s">
        <v>39</v>
      </c>
      <c r="K14">
        <v>450</v>
      </c>
      <c r="L14" t="s">
        <v>215</v>
      </c>
      <c r="O14">
        <v>201</v>
      </c>
      <c r="P14" t="s">
        <v>454</v>
      </c>
      <c r="Q14" t="s">
        <v>2959</v>
      </c>
      <c r="R14" t="s">
        <v>3012</v>
      </c>
    </row>
    <row r="15" spans="1:20" x14ac:dyDescent="0.3">
      <c r="A15">
        <f t="shared" si="2"/>
        <v>14</v>
      </c>
      <c r="B15" t="s">
        <v>40</v>
      </c>
      <c r="K15">
        <v>4500</v>
      </c>
      <c r="L15" t="s">
        <v>381</v>
      </c>
      <c r="O15">
        <v>21</v>
      </c>
      <c r="P15" t="s">
        <v>455</v>
      </c>
      <c r="Q15" t="s">
        <v>2960</v>
      </c>
      <c r="R15" t="s">
        <v>3013</v>
      </c>
    </row>
    <row r="16" spans="1:20" x14ac:dyDescent="0.3">
      <c r="A16">
        <f t="shared" si="2"/>
        <v>15</v>
      </c>
      <c r="B16" t="s">
        <v>41</v>
      </c>
      <c r="K16" t="s">
        <v>175</v>
      </c>
      <c r="L16" t="s">
        <v>231</v>
      </c>
      <c r="O16">
        <v>22</v>
      </c>
      <c r="P16" t="s">
        <v>456</v>
      </c>
      <c r="Q16" t="s">
        <v>2961</v>
      </c>
      <c r="R16" t="s">
        <v>3014</v>
      </c>
    </row>
    <row r="17" spans="1:18" x14ac:dyDescent="0.3">
      <c r="A17">
        <f t="shared" si="2"/>
        <v>16</v>
      </c>
      <c r="B17" t="s">
        <v>42</v>
      </c>
      <c r="K17" t="s">
        <v>176</v>
      </c>
      <c r="L17" t="s">
        <v>240</v>
      </c>
      <c r="O17">
        <v>23</v>
      </c>
      <c r="P17" t="s">
        <v>457</v>
      </c>
      <c r="Q17" t="s">
        <v>2962</v>
      </c>
      <c r="R17" t="s">
        <v>3015</v>
      </c>
    </row>
    <row r="18" spans="1:18" x14ac:dyDescent="0.3">
      <c r="A18">
        <f t="shared" si="2"/>
        <v>17</v>
      </c>
      <c r="B18" t="s">
        <v>43</v>
      </c>
      <c r="K18" t="s">
        <v>177</v>
      </c>
      <c r="L18" t="s">
        <v>243</v>
      </c>
      <c r="O18">
        <v>24</v>
      </c>
      <c r="P18" t="s">
        <v>458</v>
      </c>
      <c r="Q18" t="s">
        <v>2963</v>
      </c>
      <c r="R18" t="s">
        <v>3016</v>
      </c>
    </row>
    <row r="19" spans="1:18" x14ac:dyDescent="0.3">
      <c r="A19">
        <f t="shared" si="2"/>
        <v>18</v>
      </c>
      <c r="B19" t="s">
        <v>44</v>
      </c>
      <c r="K19" t="s">
        <v>178</v>
      </c>
      <c r="L19" t="s">
        <v>382</v>
      </c>
      <c r="O19">
        <v>25</v>
      </c>
      <c r="P19" t="s">
        <v>457</v>
      </c>
      <c r="Q19" t="s">
        <v>2964</v>
      </c>
      <c r="R19" t="s">
        <v>3017</v>
      </c>
    </row>
    <row r="20" spans="1:18" x14ac:dyDescent="0.3">
      <c r="A20">
        <f t="shared" si="2"/>
        <v>19</v>
      </c>
      <c r="K20" t="s">
        <v>179</v>
      </c>
      <c r="L20" t="s">
        <v>244</v>
      </c>
      <c r="O20">
        <v>26</v>
      </c>
      <c r="P20" t="s">
        <v>459</v>
      </c>
      <c r="Q20" t="s">
        <v>2965</v>
      </c>
      <c r="R20" t="s">
        <v>3018</v>
      </c>
    </row>
    <row r="21" spans="1:18" x14ac:dyDescent="0.3">
      <c r="A21">
        <f t="shared" si="2"/>
        <v>20</v>
      </c>
      <c r="K21" t="s">
        <v>180</v>
      </c>
      <c r="L21" t="s">
        <v>383</v>
      </c>
      <c r="O21">
        <v>27</v>
      </c>
      <c r="P21" t="s">
        <v>460</v>
      </c>
      <c r="Q21" t="s">
        <v>2966</v>
      </c>
      <c r="R21" t="s">
        <v>3019</v>
      </c>
    </row>
    <row r="22" spans="1:18" x14ac:dyDescent="0.3">
      <c r="A22">
        <f t="shared" si="2"/>
        <v>21</v>
      </c>
      <c r="K22" t="s">
        <v>181</v>
      </c>
      <c r="L22" t="s">
        <v>384</v>
      </c>
      <c r="O22">
        <v>28</v>
      </c>
      <c r="P22" t="s">
        <v>461</v>
      </c>
      <c r="Q22" t="s">
        <v>2967</v>
      </c>
      <c r="R22" t="s">
        <v>3020</v>
      </c>
    </row>
    <row r="23" spans="1:18" x14ac:dyDescent="0.3">
      <c r="A23">
        <f t="shared" si="2"/>
        <v>22</v>
      </c>
      <c r="K23" t="s">
        <v>182</v>
      </c>
      <c r="L23" t="s">
        <v>245</v>
      </c>
      <c r="O23">
        <v>29</v>
      </c>
      <c r="P23" t="s">
        <v>462</v>
      </c>
      <c r="Q23" t="s">
        <v>2968</v>
      </c>
      <c r="R23" t="s">
        <v>3021</v>
      </c>
    </row>
    <row r="24" spans="1:18" x14ac:dyDescent="0.3">
      <c r="A24">
        <f t="shared" si="2"/>
        <v>23</v>
      </c>
      <c r="K24" t="s">
        <v>183</v>
      </c>
      <c r="L24" t="s">
        <v>261</v>
      </c>
      <c r="O24">
        <v>3</v>
      </c>
      <c r="P24" t="s">
        <v>463</v>
      </c>
      <c r="Q24" t="s">
        <v>2969</v>
      </c>
      <c r="R24" t="s">
        <v>3022</v>
      </c>
    </row>
    <row r="25" spans="1:18" x14ac:dyDescent="0.3">
      <c r="A25">
        <f t="shared" si="2"/>
        <v>24</v>
      </c>
      <c r="K25" t="s">
        <v>184</v>
      </c>
      <c r="L25" t="s">
        <v>268</v>
      </c>
      <c r="O25">
        <v>30</v>
      </c>
      <c r="P25" t="s">
        <v>464</v>
      </c>
      <c r="Q25" t="s">
        <v>2970</v>
      </c>
      <c r="R25" t="s">
        <v>3023</v>
      </c>
    </row>
    <row r="26" spans="1:18" x14ac:dyDescent="0.3">
      <c r="A26">
        <f t="shared" si="2"/>
        <v>25</v>
      </c>
      <c r="K26" t="s">
        <v>185</v>
      </c>
      <c r="L26" t="s">
        <v>283</v>
      </c>
      <c r="O26">
        <v>31</v>
      </c>
      <c r="P26" t="s">
        <v>465</v>
      </c>
      <c r="Q26" t="s">
        <v>2971</v>
      </c>
      <c r="R26" t="s">
        <v>3024</v>
      </c>
    </row>
    <row r="27" spans="1:18" x14ac:dyDescent="0.3">
      <c r="A27">
        <f t="shared" si="2"/>
        <v>26</v>
      </c>
      <c r="K27" t="s">
        <v>186</v>
      </c>
      <c r="L27" t="s">
        <v>385</v>
      </c>
      <c r="O27">
        <v>32</v>
      </c>
      <c r="P27" t="s">
        <v>466</v>
      </c>
      <c r="Q27" t="s">
        <v>2972</v>
      </c>
      <c r="R27" t="s">
        <v>3025</v>
      </c>
    </row>
    <row r="28" spans="1:18" x14ac:dyDescent="0.3">
      <c r="A28">
        <f t="shared" si="2"/>
        <v>27</v>
      </c>
      <c r="K28" t="s">
        <v>187</v>
      </c>
      <c r="L28" t="s">
        <v>285</v>
      </c>
      <c r="O28">
        <v>33</v>
      </c>
      <c r="P28" t="s">
        <v>467</v>
      </c>
      <c r="Q28" t="s">
        <v>2973</v>
      </c>
      <c r="R28" t="s">
        <v>3026</v>
      </c>
    </row>
    <row r="29" spans="1:18" x14ac:dyDescent="0.3">
      <c r="A29">
        <f t="shared" si="2"/>
        <v>28</v>
      </c>
      <c r="K29" t="s">
        <v>188</v>
      </c>
      <c r="L29" t="s">
        <v>288</v>
      </c>
      <c r="O29">
        <v>34</v>
      </c>
      <c r="P29" t="s">
        <v>468</v>
      </c>
      <c r="Q29" t="s">
        <v>2974</v>
      </c>
      <c r="R29" t="s">
        <v>3027</v>
      </c>
    </row>
    <row r="30" spans="1:18" x14ac:dyDescent="0.3">
      <c r="A30">
        <f t="shared" si="2"/>
        <v>29</v>
      </c>
      <c r="K30" t="s">
        <v>189</v>
      </c>
      <c r="L30" t="s">
        <v>290</v>
      </c>
      <c r="O30">
        <v>35</v>
      </c>
      <c r="P30" t="s">
        <v>469</v>
      </c>
      <c r="Q30" t="s">
        <v>2975</v>
      </c>
      <c r="R30" t="s">
        <v>3028</v>
      </c>
    </row>
    <row r="31" spans="1:18" x14ac:dyDescent="0.3">
      <c r="A31">
        <f t="shared" si="2"/>
        <v>30</v>
      </c>
      <c r="K31" t="s">
        <v>190</v>
      </c>
      <c r="L31" t="s">
        <v>386</v>
      </c>
      <c r="O31">
        <v>36</v>
      </c>
      <c r="P31" t="s">
        <v>470</v>
      </c>
      <c r="Q31" t="s">
        <v>2976</v>
      </c>
      <c r="R31" t="s">
        <v>3029</v>
      </c>
    </row>
    <row r="32" spans="1:18" x14ac:dyDescent="0.3">
      <c r="A32">
        <f t="shared" si="2"/>
        <v>31</v>
      </c>
      <c r="K32" t="s">
        <v>191</v>
      </c>
      <c r="L32" t="s">
        <v>387</v>
      </c>
      <c r="O32">
        <v>37</v>
      </c>
      <c r="P32" t="s">
        <v>471</v>
      </c>
      <c r="Q32" t="s">
        <v>2977</v>
      </c>
      <c r="R32" t="s">
        <v>3030</v>
      </c>
    </row>
    <row r="33" spans="1:17" x14ac:dyDescent="0.3">
      <c r="A33">
        <f t="shared" si="2"/>
        <v>32</v>
      </c>
      <c r="K33" t="s">
        <v>192</v>
      </c>
      <c r="L33" t="s">
        <v>388</v>
      </c>
      <c r="O33">
        <v>38</v>
      </c>
      <c r="P33" t="s">
        <v>472</v>
      </c>
      <c r="Q33" t="s">
        <v>2978</v>
      </c>
    </row>
    <row r="34" spans="1:17" x14ac:dyDescent="0.3">
      <c r="A34">
        <f t="shared" si="2"/>
        <v>33</v>
      </c>
      <c r="K34" t="s">
        <v>193</v>
      </c>
      <c r="L34" t="s">
        <v>389</v>
      </c>
      <c r="O34">
        <v>39</v>
      </c>
      <c r="P34" t="s">
        <v>473</v>
      </c>
      <c r="Q34" t="s">
        <v>2979</v>
      </c>
    </row>
    <row r="35" spans="1:17" x14ac:dyDescent="0.3">
      <c r="A35">
        <f t="shared" si="2"/>
        <v>34</v>
      </c>
      <c r="K35" t="s">
        <v>194</v>
      </c>
      <c r="L35" t="s">
        <v>390</v>
      </c>
      <c r="O35">
        <v>40</v>
      </c>
      <c r="P35" t="s">
        <v>474</v>
      </c>
      <c r="Q35" t="s">
        <v>2980</v>
      </c>
    </row>
    <row r="36" spans="1:17" x14ac:dyDescent="0.3">
      <c r="A36">
        <f t="shared" si="2"/>
        <v>35</v>
      </c>
      <c r="K36" t="s">
        <v>195</v>
      </c>
      <c r="L36" t="s">
        <v>291</v>
      </c>
      <c r="O36">
        <v>41</v>
      </c>
      <c r="P36" t="s">
        <v>468</v>
      </c>
      <c r="Q36" t="s">
        <v>2981</v>
      </c>
    </row>
    <row r="37" spans="1:17" x14ac:dyDescent="0.3">
      <c r="A37">
        <f t="shared" si="2"/>
        <v>36</v>
      </c>
      <c r="K37" t="s">
        <v>196</v>
      </c>
      <c r="L37" t="s">
        <v>391</v>
      </c>
      <c r="O37">
        <v>42</v>
      </c>
      <c r="P37" t="s">
        <v>475</v>
      </c>
      <c r="Q37" t="s">
        <v>2982</v>
      </c>
    </row>
    <row r="38" spans="1:17" x14ac:dyDescent="0.3">
      <c r="A38">
        <f t="shared" si="2"/>
        <v>37</v>
      </c>
      <c r="K38" t="s">
        <v>197</v>
      </c>
      <c r="L38" t="s">
        <v>392</v>
      </c>
      <c r="O38">
        <v>44</v>
      </c>
      <c r="P38" t="s">
        <v>476</v>
      </c>
      <c r="Q38" t="s">
        <v>2983</v>
      </c>
    </row>
    <row r="39" spans="1:17" x14ac:dyDescent="0.3">
      <c r="A39">
        <f t="shared" si="2"/>
        <v>38</v>
      </c>
      <c r="K39" t="s">
        <v>198</v>
      </c>
      <c r="L39" t="s">
        <v>393</v>
      </c>
      <c r="O39">
        <v>45</v>
      </c>
      <c r="P39" t="s">
        <v>477</v>
      </c>
      <c r="Q39" t="s">
        <v>2984</v>
      </c>
    </row>
    <row r="40" spans="1:17" x14ac:dyDescent="0.3">
      <c r="A40">
        <f t="shared" si="2"/>
        <v>39</v>
      </c>
      <c r="K40" t="s">
        <v>199</v>
      </c>
      <c r="L40" t="s">
        <v>394</v>
      </c>
      <c r="O40">
        <v>46</v>
      </c>
      <c r="P40" t="s">
        <v>475</v>
      </c>
      <c r="Q40" t="s">
        <v>2985</v>
      </c>
    </row>
    <row r="41" spans="1:17" x14ac:dyDescent="0.3">
      <c r="A41">
        <f t="shared" si="2"/>
        <v>40</v>
      </c>
      <c r="K41" t="s">
        <v>200</v>
      </c>
      <c r="L41" t="s">
        <v>295</v>
      </c>
      <c r="O41">
        <v>47</v>
      </c>
      <c r="P41" t="s">
        <v>478</v>
      </c>
      <c r="Q41" t="s">
        <v>2986</v>
      </c>
    </row>
    <row r="42" spans="1:17" x14ac:dyDescent="0.3">
      <c r="A42">
        <f t="shared" si="2"/>
        <v>41</v>
      </c>
      <c r="K42" t="s">
        <v>201</v>
      </c>
      <c r="L42" t="s">
        <v>395</v>
      </c>
      <c r="O42">
        <v>48</v>
      </c>
      <c r="P42" t="s">
        <v>479</v>
      </c>
      <c r="Q42" t="s">
        <v>2987</v>
      </c>
    </row>
    <row r="43" spans="1:17" x14ac:dyDescent="0.3">
      <c r="A43">
        <f t="shared" si="2"/>
        <v>42</v>
      </c>
      <c r="K43" t="s">
        <v>202</v>
      </c>
      <c r="L43" t="s">
        <v>396</v>
      </c>
      <c r="O43">
        <v>49</v>
      </c>
      <c r="P43" t="s">
        <v>480</v>
      </c>
      <c r="Q43" t="s">
        <v>2988</v>
      </c>
    </row>
    <row r="44" spans="1:17" x14ac:dyDescent="0.3">
      <c r="A44">
        <f t="shared" si="2"/>
        <v>43</v>
      </c>
      <c r="K44" t="s">
        <v>203</v>
      </c>
      <c r="L44" t="s">
        <v>397</v>
      </c>
      <c r="O44">
        <v>5</v>
      </c>
      <c r="P44" t="s">
        <v>481</v>
      </c>
      <c r="Q44" t="s">
        <v>2989</v>
      </c>
    </row>
    <row r="45" spans="1:17" x14ac:dyDescent="0.3">
      <c r="A45">
        <f t="shared" si="2"/>
        <v>44</v>
      </c>
      <c r="K45" t="s">
        <v>204</v>
      </c>
      <c r="L45" t="s">
        <v>398</v>
      </c>
      <c r="O45">
        <v>50</v>
      </c>
      <c r="P45" t="s">
        <v>482</v>
      </c>
      <c r="Q45" t="s">
        <v>2990</v>
      </c>
    </row>
    <row r="46" spans="1:17" x14ac:dyDescent="0.3">
      <c r="A46">
        <f t="shared" si="2"/>
        <v>45</v>
      </c>
      <c r="K46" t="s">
        <v>205</v>
      </c>
      <c r="L46" t="s">
        <v>303</v>
      </c>
      <c r="O46">
        <v>51</v>
      </c>
      <c r="P46" t="s">
        <v>483</v>
      </c>
      <c r="Q46" t="s">
        <v>2991</v>
      </c>
    </row>
    <row r="47" spans="1:17" x14ac:dyDescent="0.3">
      <c r="A47">
        <f t="shared" si="2"/>
        <v>46</v>
      </c>
      <c r="K47" t="s">
        <v>206</v>
      </c>
      <c r="L47" t="s">
        <v>399</v>
      </c>
      <c r="O47">
        <v>52</v>
      </c>
      <c r="P47" t="s">
        <v>484</v>
      </c>
      <c r="Q47" t="s">
        <v>2992</v>
      </c>
    </row>
    <row r="48" spans="1:17" x14ac:dyDescent="0.3">
      <c r="A48">
        <f t="shared" si="2"/>
        <v>47</v>
      </c>
      <c r="K48" t="s">
        <v>207</v>
      </c>
      <c r="L48" t="s">
        <v>400</v>
      </c>
      <c r="O48">
        <v>53</v>
      </c>
      <c r="P48" t="s">
        <v>485</v>
      </c>
      <c r="Q48" t="s">
        <v>2993</v>
      </c>
    </row>
    <row r="49" spans="1:17" x14ac:dyDescent="0.3">
      <c r="A49">
        <f t="shared" si="2"/>
        <v>48</v>
      </c>
      <c r="K49" t="s">
        <v>208</v>
      </c>
      <c r="L49" t="s">
        <v>401</v>
      </c>
      <c r="O49">
        <v>54</v>
      </c>
      <c r="P49" t="s">
        <v>486</v>
      </c>
      <c r="Q49" t="s">
        <v>2994</v>
      </c>
    </row>
    <row r="50" spans="1:17" x14ac:dyDescent="0.3">
      <c r="A50">
        <f t="shared" si="2"/>
        <v>49</v>
      </c>
      <c r="K50" t="s">
        <v>209</v>
      </c>
      <c r="L50" t="s">
        <v>402</v>
      </c>
      <c r="O50">
        <v>55</v>
      </c>
      <c r="P50" t="s">
        <v>487</v>
      </c>
      <c r="Q50" t="s">
        <v>2995</v>
      </c>
    </row>
    <row r="51" spans="1:17" x14ac:dyDescent="0.3">
      <c r="A51">
        <f t="shared" si="2"/>
        <v>50</v>
      </c>
      <c r="K51" t="s">
        <v>210</v>
      </c>
      <c r="L51" t="s">
        <v>316</v>
      </c>
      <c r="O51">
        <v>56</v>
      </c>
      <c r="P51" t="s">
        <v>488</v>
      </c>
      <c r="Q51" t="s">
        <v>2996</v>
      </c>
    </row>
    <row r="52" spans="1:17" x14ac:dyDescent="0.3">
      <c r="A52">
        <f t="shared" si="2"/>
        <v>51</v>
      </c>
      <c r="K52" t="s">
        <v>211</v>
      </c>
      <c r="L52" t="s">
        <v>351</v>
      </c>
      <c r="O52">
        <v>57</v>
      </c>
      <c r="P52" t="s">
        <v>489</v>
      </c>
    </row>
    <row r="53" spans="1:17" x14ac:dyDescent="0.3">
      <c r="A53">
        <f t="shared" si="2"/>
        <v>52</v>
      </c>
      <c r="K53" t="s">
        <v>212</v>
      </c>
      <c r="L53" t="s">
        <v>353</v>
      </c>
      <c r="O53">
        <v>58</v>
      </c>
      <c r="P53" t="s">
        <v>490</v>
      </c>
    </row>
    <row r="54" spans="1:17" x14ac:dyDescent="0.3">
      <c r="A54">
        <f t="shared" si="2"/>
        <v>53</v>
      </c>
      <c r="K54" t="s">
        <v>213</v>
      </c>
      <c r="L54" t="s">
        <v>403</v>
      </c>
      <c r="O54">
        <v>59</v>
      </c>
      <c r="P54" t="s">
        <v>491</v>
      </c>
    </row>
    <row r="55" spans="1:17" x14ac:dyDescent="0.3">
      <c r="A55">
        <f t="shared" si="2"/>
        <v>54</v>
      </c>
      <c r="K55" t="s">
        <v>214</v>
      </c>
      <c r="L55" t="s">
        <v>404</v>
      </c>
      <c r="O55">
        <v>6</v>
      </c>
      <c r="P55" t="s">
        <v>492</v>
      </c>
    </row>
    <row r="56" spans="1:17" x14ac:dyDescent="0.3">
      <c r="A56">
        <f t="shared" si="2"/>
        <v>55</v>
      </c>
      <c r="K56" t="s">
        <v>215</v>
      </c>
      <c r="L56" t="s">
        <v>359</v>
      </c>
      <c r="O56">
        <v>60</v>
      </c>
      <c r="P56" t="s">
        <v>493</v>
      </c>
    </row>
    <row r="57" spans="1:17" x14ac:dyDescent="0.3">
      <c r="A57">
        <f t="shared" si="2"/>
        <v>56</v>
      </c>
      <c r="K57" t="s">
        <v>216</v>
      </c>
      <c r="L57" t="s">
        <v>405</v>
      </c>
      <c r="O57">
        <v>61</v>
      </c>
      <c r="P57" t="s">
        <v>494</v>
      </c>
    </row>
    <row r="58" spans="1:17" x14ac:dyDescent="0.3">
      <c r="A58">
        <f t="shared" si="2"/>
        <v>57</v>
      </c>
      <c r="K58" t="s">
        <v>217</v>
      </c>
      <c r="L58" t="s">
        <v>406</v>
      </c>
      <c r="O58">
        <v>62</v>
      </c>
      <c r="P58" t="s">
        <v>495</v>
      </c>
    </row>
    <row r="59" spans="1:17" x14ac:dyDescent="0.3">
      <c r="A59">
        <f t="shared" si="2"/>
        <v>58</v>
      </c>
      <c r="K59" t="s">
        <v>218</v>
      </c>
      <c r="L59" t="s">
        <v>407</v>
      </c>
      <c r="O59">
        <v>63</v>
      </c>
      <c r="P59" t="s">
        <v>496</v>
      </c>
    </row>
    <row r="60" spans="1:17" x14ac:dyDescent="0.3">
      <c r="A60">
        <f t="shared" si="2"/>
        <v>59</v>
      </c>
      <c r="K60" t="s">
        <v>219</v>
      </c>
      <c r="L60" t="s">
        <v>408</v>
      </c>
      <c r="O60">
        <v>64</v>
      </c>
      <c r="P60" t="s">
        <v>497</v>
      </c>
    </row>
    <row r="61" spans="1:17" x14ac:dyDescent="0.3">
      <c r="A61">
        <f t="shared" si="2"/>
        <v>60</v>
      </c>
      <c r="K61" t="s">
        <v>220</v>
      </c>
      <c r="O61">
        <v>65</v>
      </c>
      <c r="P61" t="s">
        <v>498</v>
      </c>
    </row>
    <row r="62" spans="1:17" x14ac:dyDescent="0.3">
      <c r="A62">
        <f t="shared" si="2"/>
        <v>61</v>
      </c>
      <c r="K62" t="s">
        <v>221</v>
      </c>
      <c r="O62">
        <v>66</v>
      </c>
      <c r="P62" t="s">
        <v>499</v>
      </c>
    </row>
    <row r="63" spans="1:17" x14ac:dyDescent="0.3">
      <c r="A63">
        <f t="shared" si="2"/>
        <v>62</v>
      </c>
      <c r="K63" t="s">
        <v>222</v>
      </c>
      <c r="O63">
        <v>67</v>
      </c>
      <c r="P63" t="s">
        <v>500</v>
      </c>
    </row>
    <row r="64" spans="1:17" x14ac:dyDescent="0.3">
      <c r="A64">
        <f t="shared" si="2"/>
        <v>63</v>
      </c>
      <c r="K64" t="s">
        <v>223</v>
      </c>
      <c r="O64">
        <v>68</v>
      </c>
      <c r="P64" t="s">
        <v>501</v>
      </c>
    </row>
    <row r="65" spans="1:16" x14ac:dyDescent="0.3">
      <c r="A65">
        <f t="shared" si="2"/>
        <v>64</v>
      </c>
      <c r="K65" t="s">
        <v>224</v>
      </c>
      <c r="O65">
        <v>7</v>
      </c>
      <c r="P65" t="s">
        <v>502</v>
      </c>
    </row>
    <row r="66" spans="1:16" x14ac:dyDescent="0.3">
      <c r="A66">
        <f t="shared" si="2"/>
        <v>65</v>
      </c>
      <c r="K66" t="s">
        <v>225</v>
      </c>
      <c r="O66">
        <v>70</v>
      </c>
      <c r="P66" t="s">
        <v>503</v>
      </c>
    </row>
    <row r="67" spans="1:16" x14ac:dyDescent="0.3">
      <c r="A67">
        <f t="shared" si="2"/>
        <v>66</v>
      </c>
      <c r="K67" t="s">
        <v>226</v>
      </c>
      <c r="O67">
        <v>71</v>
      </c>
      <c r="P67" t="s">
        <v>477</v>
      </c>
    </row>
    <row r="68" spans="1:16" x14ac:dyDescent="0.3">
      <c r="A68">
        <f t="shared" ref="A68:A131" si="3">A67+1</f>
        <v>67</v>
      </c>
      <c r="K68" t="s">
        <v>227</v>
      </c>
      <c r="O68">
        <v>72</v>
      </c>
      <c r="P68" t="s">
        <v>504</v>
      </c>
    </row>
    <row r="69" spans="1:16" x14ac:dyDescent="0.3">
      <c r="A69">
        <f t="shared" si="3"/>
        <v>68</v>
      </c>
      <c r="K69" t="s">
        <v>228</v>
      </c>
      <c r="O69">
        <v>73</v>
      </c>
      <c r="P69" t="s">
        <v>505</v>
      </c>
    </row>
    <row r="70" spans="1:16" x14ac:dyDescent="0.3">
      <c r="A70">
        <f t="shared" si="3"/>
        <v>69</v>
      </c>
      <c r="K70" t="s">
        <v>229</v>
      </c>
      <c r="O70">
        <v>75</v>
      </c>
      <c r="P70" t="s">
        <v>506</v>
      </c>
    </row>
    <row r="71" spans="1:16" x14ac:dyDescent="0.3">
      <c r="A71">
        <f t="shared" si="3"/>
        <v>70</v>
      </c>
      <c r="K71" t="s">
        <v>230</v>
      </c>
      <c r="O71">
        <v>76</v>
      </c>
      <c r="P71" t="s">
        <v>507</v>
      </c>
    </row>
    <row r="72" spans="1:16" x14ac:dyDescent="0.3">
      <c r="A72">
        <f t="shared" si="3"/>
        <v>71</v>
      </c>
      <c r="K72" t="s">
        <v>231</v>
      </c>
      <c r="O72">
        <v>77</v>
      </c>
      <c r="P72" t="s">
        <v>508</v>
      </c>
    </row>
    <row r="73" spans="1:16" x14ac:dyDescent="0.3">
      <c r="A73">
        <f t="shared" si="3"/>
        <v>72</v>
      </c>
      <c r="K73" t="s">
        <v>232</v>
      </c>
      <c r="O73">
        <v>78</v>
      </c>
      <c r="P73" t="s">
        <v>509</v>
      </c>
    </row>
    <row r="74" spans="1:16" x14ac:dyDescent="0.3">
      <c r="A74">
        <f t="shared" si="3"/>
        <v>73</v>
      </c>
      <c r="K74" t="s">
        <v>233</v>
      </c>
      <c r="O74">
        <v>8</v>
      </c>
      <c r="P74" t="s">
        <v>477</v>
      </c>
    </row>
    <row r="75" spans="1:16" x14ac:dyDescent="0.3">
      <c r="A75">
        <f t="shared" si="3"/>
        <v>74</v>
      </c>
      <c r="K75" t="s">
        <v>234</v>
      </c>
      <c r="O75">
        <v>80</v>
      </c>
      <c r="P75" t="s">
        <v>510</v>
      </c>
    </row>
    <row r="76" spans="1:16" x14ac:dyDescent="0.3">
      <c r="A76">
        <f t="shared" si="3"/>
        <v>75</v>
      </c>
      <c r="K76" t="s">
        <v>235</v>
      </c>
      <c r="O76">
        <v>81</v>
      </c>
      <c r="P76" t="s">
        <v>511</v>
      </c>
    </row>
    <row r="77" spans="1:16" x14ac:dyDescent="0.3">
      <c r="A77">
        <f t="shared" si="3"/>
        <v>76</v>
      </c>
      <c r="K77" t="s">
        <v>236</v>
      </c>
      <c r="O77">
        <v>82</v>
      </c>
      <c r="P77" t="s">
        <v>512</v>
      </c>
    </row>
    <row r="78" spans="1:16" x14ac:dyDescent="0.3">
      <c r="A78">
        <f t="shared" si="3"/>
        <v>77</v>
      </c>
      <c r="K78" t="s">
        <v>237</v>
      </c>
      <c r="O78">
        <v>83</v>
      </c>
      <c r="P78" t="s">
        <v>513</v>
      </c>
    </row>
    <row r="79" spans="1:16" x14ac:dyDescent="0.3">
      <c r="A79">
        <f t="shared" si="3"/>
        <v>78</v>
      </c>
      <c r="K79" t="s">
        <v>238</v>
      </c>
      <c r="O79">
        <v>84</v>
      </c>
      <c r="P79" t="s">
        <v>514</v>
      </c>
    </row>
    <row r="80" spans="1:16" x14ac:dyDescent="0.3">
      <c r="A80">
        <f t="shared" si="3"/>
        <v>79</v>
      </c>
      <c r="K80" t="s">
        <v>239</v>
      </c>
      <c r="O80">
        <v>85</v>
      </c>
      <c r="P80" t="s">
        <v>515</v>
      </c>
    </row>
    <row r="81" spans="1:16" x14ac:dyDescent="0.3">
      <c r="A81">
        <f t="shared" si="3"/>
        <v>80</v>
      </c>
      <c r="K81" t="s">
        <v>240</v>
      </c>
      <c r="O81">
        <v>9</v>
      </c>
      <c r="P81" t="s">
        <v>516</v>
      </c>
    </row>
    <row r="82" spans="1:16" x14ac:dyDescent="0.3">
      <c r="A82">
        <f t="shared" si="3"/>
        <v>81</v>
      </c>
      <c r="K82" t="s">
        <v>241</v>
      </c>
      <c r="O82">
        <v>90</v>
      </c>
      <c r="P82" t="s">
        <v>517</v>
      </c>
    </row>
    <row r="83" spans="1:16" x14ac:dyDescent="0.3">
      <c r="A83">
        <f t="shared" si="3"/>
        <v>82</v>
      </c>
      <c r="K83" t="s">
        <v>242</v>
      </c>
      <c r="P83" t="s">
        <v>518</v>
      </c>
    </row>
    <row r="84" spans="1:16" x14ac:dyDescent="0.3">
      <c r="A84">
        <f t="shared" si="3"/>
        <v>83</v>
      </c>
      <c r="K84" t="s">
        <v>243</v>
      </c>
      <c r="P84" t="s">
        <v>519</v>
      </c>
    </row>
    <row r="85" spans="1:16" x14ac:dyDescent="0.3">
      <c r="A85">
        <f t="shared" si="3"/>
        <v>84</v>
      </c>
      <c r="K85" t="s">
        <v>244</v>
      </c>
      <c r="P85" t="s">
        <v>520</v>
      </c>
    </row>
    <row r="86" spans="1:16" x14ac:dyDescent="0.3">
      <c r="A86">
        <f t="shared" si="3"/>
        <v>85</v>
      </c>
      <c r="K86" t="s">
        <v>245</v>
      </c>
      <c r="P86" t="s">
        <v>521</v>
      </c>
    </row>
    <row r="87" spans="1:16" x14ac:dyDescent="0.3">
      <c r="A87">
        <f t="shared" si="3"/>
        <v>86</v>
      </c>
      <c r="K87" t="s">
        <v>246</v>
      </c>
      <c r="P87" t="s">
        <v>522</v>
      </c>
    </row>
    <row r="88" spans="1:16" x14ac:dyDescent="0.3">
      <c r="A88">
        <f t="shared" si="3"/>
        <v>87</v>
      </c>
      <c r="K88" t="s">
        <v>247</v>
      </c>
      <c r="P88" t="s">
        <v>523</v>
      </c>
    </row>
    <row r="89" spans="1:16" x14ac:dyDescent="0.3">
      <c r="A89">
        <f t="shared" si="3"/>
        <v>88</v>
      </c>
      <c r="K89" t="s">
        <v>248</v>
      </c>
      <c r="P89" t="s">
        <v>524</v>
      </c>
    </row>
    <row r="90" spans="1:16" x14ac:dyDescent="0.3">
      <c r="A90">
        <f t="shared" si="3"/>
        <v>89</v>
      </c>
      <c r="K90" t="s">
        <v>249</v>
      </c>
      <c r="P90" t="s">
        <v>525</v>
      </c>
    </row>
    <row r="91" spans="1:16" x14ac:dyDescent="0.3">
      <c r="A91">
        <f t="shared" si="3"/>
        <v>90</v>
      </c>
      <c r="K91" t="s">
        <v>250</v>
      </c>
      <c r="P91" t="s">
        <v>526</v>
      </c>
    </row>
    <row r="92" spans="1:16" x14ac:dyDescent="0.3">
      <c r="A92">
        <f t="shared" si="3"/>
        <v>91</v>
      </c>
      <c r="K92" t="s">
        <v>251</v>
      </c>
      <c r="P92" t="s">
        <v>527</v>
      </c>
    </row>
    <row r="93" spans="1:16" x14ac:dyDescent="0.3">
      <c r="A93">
        <f t="shared" si="3"/>
        <v>92</v>
      </c>
      <c r="K93" t="s">
        <v>252</v>
      </c>
      <c r="P93" t="s">
        <v>528</v>
      </c>
    </row>
    <row r="94" spans="1:16" x14ac:dyDescent="0.3">
      <c r="A94">
        <f t="shared" si="3"/>
        <v>93</v>
      </c>
      <c r="K94" t="s">
        <v>253</v>
      </c>
      <c r="P94" t="s">
        <v>529</v>
      </c>
    </row>
    <row r="95" spans="1:16" x14ac:dyDescent="0.3">
      <c r="A95">
        <f t="shared" si="3"/>
        <v>94</v>
      </c>
      <c r="K95" t="s">
        <v>254</v>
      </c>
      <c r="P95" t="s">
        <v>530</v>
      </c>
    </row>
    <row r="96" spans="1:16" x14ac:dyDescent="0.3">
      <c r="A96">
        <f t="shared" si="3"/>
        <v>95</v>
      </c>
      <c r="K96" t="s">
        <v>255</v>
      </c>
      <c r="P96" t="s">
        <v>531</v>
      </c>
    </row>
    <row r="97" spans="1:16" x14ac:dyDescent="0.3">
      <c r="A97">
        <f t="shared" si="3"/>
        <v>96</v>
      </c>
      <c r="K97" t="s">
        <v>256</v>
      </c>
      <c r="P97" t="s">
        <v>532</v>
      </c>
    </row>
    <row r="98" spans="1:16" x14ac:dyDescent="0.3">
      <c r="A98">
        <f t="shared" si="3"/>
        <v>97</v>
      </c>
      <c r="K98" t="s">
        <v>257</v>
      </c>
      <c r="P98" t="s">
        <v>533</v>
      </c>
    </row>
    <row r="99" spans="1:16" x14ac:dyDescent="0.3">
      <c r="A99">
        <f t="shared" si="3"/>
        <v>98</v>
      </c>
      <c r="K99" t="s">
        <v>258</v>
      </c>
      <c r="P99" t="s">
        <v>534</v>
      </c>
    </row>
    <row r="100" spans="1:16" x14ac:dyDescent="0.3">
      <c r="A100">
        <f t="shared" si="3"/>
        <v>99</v>
      </c>
      <c r="K100" t="s">
        <v>259</v>
      </c>
      <c r="P100" t="s">
        <v>535</v>
      </c>
    </row>
    <row r="101" spans="1:16" x14ac:dyDescent="0.3">
      <c r="A101">
        <f t="shared" si="3"/>
        <v>100</v>
      </c>
      <c r="K101" t="s">
        <v>260</v>
      </c>
      <c r="P101" t="s">
        <v>536</v>
      </c>
    </row>
    <row r="102" spans="1:16" x14ac:dyDescent="0.3">
      <c r="A102">
        <f t="shared" si="3"/>
        <v>101</v>
      </c>
      <c r="K102" t="s">
        <v>261</v>
      </c>
      <c r="P102" t="s">
        <v>537</v>
      </c>
    </row>
    <row r="103" spans="1:16" x14ac:dyDescent="0.3">
      <c r="A103">
        <f t="shared" si="3"/>
        <v>102</v>
      </c>
      <c r="K103" t="s">
        <v>262</v>
      </c>
      <c r="P103" t="s">
        <v>538</v>
      </c>
    </row>
    <row r="104" spans="1:16" x14ac:dyDescent="0.3">
      <c r="A104">
        <f t="shared" si="3"/>
        <v>103</v>
      </c>
      <c r="K104" t="s">
        <v>263</v>
      </c>
      <c r="P104" t="s">
        <v>539</v>
      </c>
    </row>
    <row r="105" spans="1:16" x14ac:dyDescent="0.3">
      <c r="A105">
        <f t="shared" si="3"/>
        <v>104</v>
      </c>
      <c r="K105" t="s">
        <v>264</v>
      </c>
      <c r="P105" t="s">
        <v>540</v>
      </c>
    </row>
    <row r="106" spans="1:16" x14ac:dyDescent="0.3">
      <c r="A106">
        <f t="shared" si="3"/>
        <v>105</v>
      </c>
      <c r="K106" t="s">
        <v>265</v>
      </c>
      <c r="P106" t="s">
        <v>541</v>
      </c>
    </row>
    <row r="107" spans="1:16" x14ac:dyDescent="0.3">
      <c r="A107">
        <f t="shared" si="3"/>
        <v>106</v>
      </c>
      <c r="K107" t="s">
        <v>266</v>
      </c>
      <c r="P107" t="s">
        <v>542</v>
      </c>
    </row>
    <row r="108" spans="1:16" x14ac:dyDescent="0.3">
      <c r="A108">
        <f t="shared" si="3"/>
        <v>107</v>
      </c>
      <c r="K108" t="s">
        <v>267</v>
      </c>
      <c r="P108" t="s">
        <v>543</v>
      </c>
    </row>
    <row r="109" spans="1:16" x14ac:dyDescent="0.3">
      <c r="A109">
        <f t="shared" si="3"/>
        <v>108</v>
      </c>
      <c r="K109" t="s">
        <v>268</v>
      </c>
      <c r="P109" t="s">
        <v>544</v>
      </c>
    </row>
    <row r="110" spans="1:16" x14ac:dyDescent="0.3">
      <c r="A110">
        <f t="shared" si="3"/>
        <v>109</v>
      </c>
      <c r="K110" t="s">
        <v>269</v>
      </c>
      <c r="P110" t="s">
        <v>545</v>
      </c>
    </row>
    <row r="111" spans="1:16" x14ac:dyDescent="0.3">
      <c r="A111">
        <f t="shared" si="3"/>
        <v>110</v>
      </c>
      <c r="K111" t="s">
        <v>270</v>
      </c>
      <c r="P111" t="s">
        <v>546</v>
      </c>
    </row>
    <row r="112" spans="1:16" x14ac:dyDescent="0.3">
      <c r="A112">
        <f t="shared" si="3"/>
        <v>111</v>
      </c>
      <c r="K112" t="s">
        <v>271</v>
      </c>
      <c r="P112" t="s">
        <v>547</v>
      </c>
    </row>
    <row r="113" spans="1:16" x14ac:dyDescent="0.3">
      <c r="A113">
        <f t="shared" si="3"/>
        <v>112</v>
      </c>
      <c r="K113" t="s">
        <v>272</v>
      </c>
      <c r="P113" t="s">
        <v>548</v>
      </c>
    </row>
    <row r="114" spans="1:16" x14ac:dyDescent="0.3">
      <c r="A114">
        <f t="shared" si="3"/>
        <v>113</v>
      </c>
      <c r="K114" t="s">
        <v>273</v>
      </c>
      <c r="P114" t="s">
        <v>549</v>
      </c>
    </row>
    <row r="115" spans="1:16" x14ac:dyDescent="0.3">
      <c r="A115">
        <f t="shared" si="3"/>
        <v>114</v>
      </c>
      <c r="K115" t="s">
        <v>274</v>
      </c>
      <c r="P115" t="s">
        <v>550</v>
      </c>
    </row>
    <row r="116" spans="1:16" x14ac:dyDescent="0.3">
      <c r="A116">
        <f t="shared" si="3"/>
        <v>115</v>
      </c>
      <c r="K116" t="s">
        <v>275</v>
      </c>
      <c r="P116" t="s">
        <v>551</v>
      </c>
    </row>
    <row r="117" spans="1:16" x14ac:dyDescent="0.3">
      <c r="A117">
        <f t="shared" si="3"/>
        <v>116</v>
      </c>
      <c r="K117" t="s">
        <v>276</v>
      </c>
      <c r="P117" t="s">
        <v>552</v>
      </c>
    </row>
    <row r="118" spans="1:16" x14ac:dyDescent="0.3">
      <c r="A118">
        <f t="shared" si="3"/>
        <v>117</v>
      </c>
      <c r="K118" t="s">
        <v>277</v>
      </c>
      <c r="P118" t="s">
        <v>553</v>
      </c>
    </row>
    <row r="119" spans="1:16" x14ac:dyDescent="0.3">
      <c r="A119">
        <f t="shared" si="3"/>
        <v>118</v>
      </c>
      <c r="K119" t="s">
        <v>278</v>
      </c>
      <c r="P119" t="s">
        <v>554</v>
      </c>
    </row>
    <row r="120" spans="1:16" x14ac:dyDescent="0.3">
      <c r="A120">
        <f t="shared" si="3"/>
        <v>119</v>
      </c>
      <c r="K120" t="s">
        <v>279</v>
      </c>
      <c r="P120" t="s">
        <v>555</v>
      </c>
    </row>
    <row r="121" spans="1:16" x14ac:dyDescent="0.3">
      <c r="A121">
        <f t="shared" si="3"/>
        <v>120</v>
      </c>
      <c r="K121" t="s">
        <v>280</v>
      </c>
      <c r="P121" t="s">
        <v>556</v>
      </c>
    </row>
    <row r="122" spans="1:16" x14ac:dyDescent="0.3">
      <c r="A122">
        <f t="shared" si="3"/>
        <v>121</v>
      </c>
      <c r="K122" t="s">
        <v>281</v>
      </c>
      <c r="P122" t="s">
        <v>557</v>
      </c>
    </row>
    <row r="123" spans="1:16" x14ac:dyDescent="0.3">
      <c r="A123">
        <f t="shared" si="3"/>
        <v>122</v>
      </c>
      <c r="K123" t="s">
        <v>282</v>
      </c>
      <c r="P123" t="s">
        <v>558</v>
      </c>
    </row>
    <row r="124" spans="1:16" x14ac:dyDescent="0.3">
      <c r="A124">
        <f t="shared" si="3"/>
        <v>123</v>
      </c>
      <c r="K124" t="s">
        <v>283</v>
      </c>
      <c r="P124" t="s">
        <v>559</v>
      </c>
    </row>
    <row r="125" spans="1:16" x14ac:dyDescent="0.3">
      <c r="A125">
        <f t="shared" si="3"/>
        <v>124</v>
      </c>
      <c r="K125" t="s">
        <v>284</v>
      </c>
      <c r="P125" t="s">
        <v>560</v>
      </c>
    </row>
    <row r="126" spans="1:16" x14ac:dyDescent="0.3">
      <c r="A126">
        <f t="shared" si="3"/>
        <v>125</v>
      </c>
      <c r="K126" t="s">
        <v>285</v>
      </c>
      <c r="P126" t="s">
        <v>561</v>
      </c>
    </row>
    <row r="127" spans="1:16" x14ac:dyDescent="0.3">
      <c r="A127">
        <f t="shared" si="3"/>
        <v>126</v>
      </c>
      <c r="K127" t="s">
        <v>286</v>
      </c>
      <c r="P127" t="s">
        <v>562</v>
      </c>
    </row>
    <row r="128" spans="1:16" x14ac:dyDescent="0.3">
      <c r="A128">
        <f t="shared" si="3"/>
        <v>127</v>
      </c>
      <c r="K128" t="s">
        <v>287</v>
      </c>
      <c r="P128" t="s">
        <v>563</v>
      </c>
    </row>
    <row r="129" spans="1:16" x14ac:dyDescent="0.3">
      <c r="A129">
        <f t="shared" si="3"/>
        <v>128</v>
      </c>
      <c r="K129" t="s">
        <v>288</v>
      </c>
      <c r="P129" t="s">
        <v>564</v>
      </c>
    </row>
    <row r="130" spans="1:16" x14ac:dyDescent="0.3">
      <c r="A130">
        <f t="shared" si="3"/>
        <v>129</v>
      </c>
      <c r="K130" t="s">
        <v>289</v>
      </c>
      <c r="P130" t="s">
        <v>565</v>
      </c>
    </row>
    <row r="131" spans="1:16" x14ac:dyDescent="0.3">
      <c r="A131">
        <f t="shared" si="3"/>
        <v>130</v>
      </c>
      <c r="K131" t="s">
        <v>290</v>
      </c>
      <c r="P131" t="s">
        <v>566</v>
      </c>
    </row>
    <row r="132" spans="1:16" x14ac:dyDescent="0.3">
      <c r="A132">
        <f t="shared" ref="A132:A195" si="4">A131+1</f>
        <v>131</v>
      </c>
      <c r="K132" t="s">
        <v>291</v>
      </c>
      <c r="P132" t="s">
        <v>567</v>
      </c>
    </row>
    <row r="133" spans="1:16" x14ac:dyDescent="0.3">
      <c r="A133">
        <f t="shared" si="4"/>
        <v>132</v>
      </c>
      <c r="K133" t="s">
        <v>292</v>
      </c>
      <c r="P133" t="s">
        <v>545</v>
      </c>
    </row>
    <row r="134" spans="1:16" x14ac:dyDescent="0.3">
      <c r="A134">
        <f t="shared" si="4"/>
        <v>133</v>
      </c>
      <c r="K134" t="s">
        <v>293</v>
      </c>
      <c r="P134" t="s">
        <v>568</v>
      </c>
    </row>
    <row r="135" spans="1:16" x14ac:dyDescent="0.3">
      <c r="A135">
        <f t="shared" si="4"/>
        <v>134</v>
      </c>
      <c r="K135" t="s">
        <v>294</v>
      </c>
      <c r="P135" t="s">
        <v>569</v>
      </c>
    </row>
    <row r="136" spans="1:16" x14ac:dyDescent="0.3">
      <c r="A136">
        <f t="shared" si="4"/>
        <v>135</v>
      </c>
      <c r="K136" t="s">
        <v>295</v>
      </c>
      <c r="P136" t="s">
        <v>570</v>
      </c>
    </row>
    <row r="137" spans="1:16" x14ac:dyDescent="0.3">
      <c r="A137">
        <f t="shared" si="4"/>
        <v>136</v>
      </c>
      <c r="K137" t="s">
        <v>296</v>
      </c>
      <c r="P137" t="s">
        <v>571</v>
      </c>
    </row>
    <row r="138" spans="1:16" x14ac:dyDescent="0.3">
      <c r="A138">
        <f t="shared" si="4"/>
        <v>137</v>
      </c>
      <c r="K138" t="s">
        <v>297</v>
      </c>
      <c r="P138" t="s">
        <v>536</v>
      </c>
    </row>
    <row r="139" spans="1:16" x14ac:dyDescent="0.3">
      <c r="A139">
        <f t="shared" si="4"/>
        <v>138</v>
      </c>
      <c r="K139" t="s">
        <v>298</v>
      </c>
      <c r="P139" t="s">
        <v>572</v>
      </c>
    </row>
    <row r="140" spans="1:16" x14ac:dyDescent="0.3">
      <c r="A140">
        <f t="shared" si="4"/>
        <v>139</v>
      </c>
      <c r="K140" t="s">
        <v>299</v>
      </c>
      <c r="P140" t="s">
        <v>573</v>
      </c>
    </row>
    <row r="141" spans="1:16" x14ac:dyDescent="0.3">
      <c r="A141">
        <f t="shared" si="4"/>
        <v>140</v>
      </c>
      <c r="K141" t="s">
        <v>300</v>
      </c>
      <c r="P141" t="s">
        <v>574</v>
      </c>
    </row>
    <row r="142" spans="1:16" x14ac:dyDescent="0.3">
      <c r="A142">
        <f t="shared" si="4"/>
        <v>141</v>
      </c>
      <c r="K142" t="s">
        <v>301</v>
      </c>
      <c r="P142" t="s">
        <v>574</v>
      </c>
    </row>
    <row r="143" spans="1:16" x14ac:dyDescent="0.3">
      <c r="A143">
        <f t="shared" si="4"/>
        <v>142</v>
      </c>
      <c r="K143" t="s">
        <v>302</v>
      </c>
      <c r="P143" t="s">
        <v>575</v>
      </c>
    </row>
    <row r="144" spans="1:16" x14ac:dyDescent="0.3">
      <c r="A144">
        <f t="shared" si="4"/>
        <v>143</v>
      </c>
      <c r="K144" t="s">
        <v>167</v>
      </c>
      <c r="P144" t="s">
        <v>576</v>
      </c>
    </row>
    <row r="145" spans="1:16" x14ac:dyDescent="0.3">
      <c r="A145">
        <f t="shared" si="4"/>
        <v>144</v>
      </c>
      <c r="K145" t="s">
        <v>303</v>
      </c>
      <c r="P145" t="s">
        <v>575</v>
      </c>
    </row>
    <row r="146" spans="1:16" x14ac:dyDescent="0.3">
      <c r="A146">
        <f t="shared" si="4"/>
        <v>145</v>
      </c>
      <c r="K146" t="s">
        <v>304</v>
      </c>
      <c r="P146" t="s">
        <v>577</v>
      </c>
    </row>
    <row r="147" spans="1:16" x14ac:dyDescent="0.3">
      <c r="A147">
        <f t="shared" si="4"/>
        <v>146</v>
      </c>
      <c r="K147" t="s">
        <v>305</v>
      </c>
      <c r="P147" t="s">
        <v>578</v>
      </c>
    </row>
    <row r="148" spans="1:16" x14ac:dyDescent="0.3">
      <c r="A148">
        <f t="shared" si="4"/>
        <v>147</v>
      </c>
      <c r="K148" t="s">
        <v>306</v>
      </c>
      <c r="P148" t="s">
        <v>579</v>
      </c>
    </row>
    <row r="149" spans="1:16" x14ac:dyDescent="0.3">
      <c r="A149">
        <f t="shared" si="4"/>
        <v>148</v>
      </c>
      <c r="K149" t="s">
        <v>307</v>
      </c>
      <c r="P149" t="s">
        <v>580</v>
      </c>
    </row>
    <row r="150" spans="1:16" x14ac:dyDescent="0.3">
      <c r="A150">
        <f t="shared" si="4"/>
        <v>149</v>
      </c>
      <c r="K150" t="s">
        <v>308</v>
      </c>
      <c r="P150" t="s">
        <v>581</v>
      </c>
    </row>
    <row r="151" spans="1:16" x14ac:dyDescent="0.3">
      <c r="A151">
        <f t="shared" si="4"/>
        <v>150</v>
      </c>
      <c r="K151" t="s">
        <v>309</v>
      </c>
      <c r="P151" t="s">
        <v>582</v>
      </c>
    </row>
    <row r="152" spans="1:16" x14ac:dyDescent="0.3">
      <c r="A152">
        <f t="shared" si="4"/>
        <v>151</v>
      </c>
      <c r="K152" t="s">
        <v>310</v>
      </c>
      <c r="P152" t="s">
        <v>583</v>
      </c>
    </row>
    <row r="153" spans="1:16" x14ac:dyDescent="0.3">
      <c r="A153">
        <f t="shared" si="4"/>
        <v>152</v>
      </c>
      <c r="K153" t="s">
        <v>311</v>
      </c>
      <c r="P153" t="s">
        <v>584</v>
      </c>
    </row>
    <row r="154" spans="1:16" x14ac:dyDescent="0.3">
      <c r="A154">
        <f t="shared" si="4"/>
        <v>153</v>
      </c>
      <c r="K154" t="s">
        <v>312</v>
      </c>
      <c r="P154" t="s">
        <v>585</v>
      </c>
    </row>
    <row r="155" spans="1:16" x14ac:dyDescent="0.3">
      <c r="A155">
        <f t="shared" si="4"/>
        <v>154</v>
      </c>
      <c r="K155" t="s">
        <v>313</v>
      </c>
      <c r="P155" t="s">
        <v>586</v>
      </c>
    </row>
    <row r="156" spans="1:16" x14ac:dyDescent="0.3">
      <c r="A156">
        <f t="shared" si="4"/>
        <v>155</v>
      </c>
      <c r="K156" t="s">
        <v>314</v>
      </c>
      <c r="P156" t="s">
        <v>587</v>
      </c>
    </row>
    <row r="157" spans="1:16" x14ac:dyDescent="0.3">
      <c r="A157">
        <f t="shared" si="4"/>
        <v>156</v>
      </c>
      <c r="K157" t="s">
        <v>315</v>
      </c>
      <c r="P157" t="s">
        <v>588</v>
      </c>
    </row>
    <row r="158" spans="1:16" x14ac:dyDescent="0.3">
      <c r="A158">
        <f t="shared" si="4"/>
        <v>157</v>
      </c>
      <c r="K158" t="s">
        <v>316</v>
      </c>
      <c r="P158" t="s">
        <v>589</v>
      </c>
    </row>
    <row r="159" spans="1:16" x14ac:dyDescent="0.3">
      <c r="A159">
        <f t="shared" si="4"/>
        <v>158</v>
      </c>
      <c r="K159" t="s">
        <v>317</v>
      </c>
      <c r="P159" t="s">
        <v>590</v>
      </c>
    </row>
    <row r="160" spans="1:16" x14ac:dyDescent="0.3">
      <c r="A160">
        <f t="shared" si="4"/>
        <v>159</v>
      </c>
      <c r="K160" t="s">
        <v>318</v>
      </c>
      <c r="P160" t="s">
        <v>591</v>
      </c>
    </row>
    <row r="161" spans="1:16" x14ac:dyDescent="0.3">
      <c r="A161">
        <f t="shared" si="4"/>
        <v>160</v>
      </c>
      <c r="K161" t="s">
        <v>319</v>
      </c>
      <c r="P161" t="s">
        <v>592</v>
      </c>
    </row>
    <row r="162" spans="1:16" x14ac:dyDescent="0.3">
      <c r="A162">
        <f t="shared" si="4"/>
        <v>161</v>
      </c>
      <c r="K162" t="s">
        <v>320</v>
      </c>
      <c r="P162" t="s">
        <v>593</v>
      </c>
    </row>
    <row r="163" spans="1:16" x14ac:dyDescent="0.3">
      <c r="A163">
        <f t="shared" si="4"/>
        <v>162</v>
      </c>
      <c r="K163" t="s">
        <v>321</v>
      </c>
      <c r="P163" t="s">
        <v>594</v>
      </c>
    </row>
    <row r="164" spans="1:16" x14ac:dyDescent="0.3">
      <c r="A164">
        <f t="shared" si="4"/>
        <v>163</v>
      </c>
      <c r="K164" t="s">
        <v>322</v>
      </c>
      <c r="P164" t="s">
        <v>595</v>
      </c>
    </row>
    <row r="165" spans="1:16" x14ac:dyDescent="0.3">
      <c r="A165">
        <f t="shared" si="4"/>
        <v>164</v>
      </c>
      <c r="K165" t="s">
        <v>323</v>
      </c>
      <c r="P165" t="s">
        <v>596</v>
      </c>
    </row>
    <row r="166" spans="1:16" x14ac:dyDescent="0.3">
      <c r="A166">
        <f t="shared" si="4"/>
        <v>165</v>
      </c>
      <c r="K166" t="s">
        <v>324</v>
      </c>
      <c r="P166" t="s">
        <v>597</v>
      </c>
    </row>
    <row r="167" spans="1:16" x14ac:dyDescent="0.3">
      <c r="A167">
        <f t="shared" si="4"/>
        <v>166</v>
      </c>
      <c r="K167" t="s">
        <v>325</v>
      </c>
      <c r="P167" t="s">
        <v>598</v>
      </c>
    </row>
    <row r="168" spans="1:16" x14ac:dyDescent="0.3">
      <c r="A168">
        <f t="shared" si="4"/>
        <v>167</v>
      </c>
      <c r="K168" t="s">
        <v>326</v>
      </c>
      <c r="P168" t="s">
        <v>599</v>
      </c>
    </row>
    <row r="169" spans="1:16" x14ac:dyDescent="0.3">
      <c r="A169">
        <f t="shared" si="4"/>
        <v>168</v>
      </c>
      <c r="K169" t="s">
        <v>327</v>
      </c>
      <c r="P169" t="s">
        <v>600</v>
      </c>
    </row>
    <row r="170" spans="1:16" x14ac:dyDescent="0.3">
      <c r="A170">
        <f t="shared" si="4"/>
        <v>169</v>
      </c>
      <c r="K170" t="s">
        <v>328</v>
      </c>
      <c r="P170" t="s">
        <v>601</v>
      </c>
    </row>
    <row r="171" spans="1:16" x14ac:dyDescent="0.3">
      <c r="A171">
        <f t="shared" si="4"/>
        <v>170</v>
      </c>
      <c r="K171" t="s">
        <v>329</v>
      </c>
      <c r="P171" t="s">
        <v>602</v>
      </c>
    </row>
    <row r="172" spans="1:16" x14ac:dyDescent="0.3">
      <c r="A172">
        <f t="shared" si="4"/>
        <v>171</v>
      </c>
      <c r="K172" t="s">
        <v>330</v>
      </c>
      <c r="P172" t="s">
        <v>603</v>
      </c>
    </row>
    <row r="173" spans="1:16" x14ac:dyDescent="0.3">
      <c r="A173">
        <f t="shared" si="4"/>
        <v>172</v>
      </c>
      <c r="K173" t="s">
        <v>331</v>
      </c>
      <c r="P173" t="s">
        <v>604</v>
      </c>
    </row>
    <row r="174" spans="1:16" x14ac:dyDescent="0.3">
      <c r="A174">
        <f t="shared" si="4"/>
        <v>173</v>
      </c>
      <c r="K174" t="s">
        <v>332</v>
      </c>
      <c r="P174" t="s">
        <v>605</v>
      </c>
    </row>
    <row r="175" spans="1:16" x14ac:dyDescent="0.3">
      <c r="A175">
        <f t="shared" si="4"/>
        <v>174</v>
      </c>
      <c r="K175" t="s">
        <v>333</v>
      </c>
      <c r="P175" t="s">
        <v>606</v>
      </c>
    </row>
    <row r="176" spans="1:16" x14ac:dyDescent="0.3">
      <c r="A176">
        <f t="shared" si="4"/>
        <v>175</v>
      </c>
      <c r="K176" t="s">
        <v>334</v>
      </c>
      <c r="P176" t="s">
        <v>607</v>
      </c>
    </row>
    <row r="177" spans="1:16" x14ac:dyDescent="0.3">
      <c r="A177">
        <f t="shared" si="4"/>
        <v>176</v>
      </c>
      <c r="K177" t="s">
        <v>335</v>
      </c>
      <c r="P177" t="s">
        <v>608</v>
      </c>
    </row>
    <row r="178" spans="1:16" x14ac:dyDescent="0.3">
      <c r="A178">
        <f t="shared" si="4"/>
        <v>177</v>
      </c>
      <c r="K178" t="s">
        <v>336</v>
      </c>
      <c r="P178" t="s">
        <v>609</v>
      </c>
    </row>
    <row r="179" spans="1:16" x14ac:dyDescent="0.3">
      <c r="A179">
        <f t="shared" si="4"/>
        <v>178</v>
      </c>
      <c r="K179" t="s">
        <v>337</v>
      </c>
      <c r="P179" t="s">
        <v>610</v>
      </c>
    </row>
    <row r="180" spans="1:16" x14ac:dyDescent="0.3">
      <c r="A180">
        <f t="shared" si="4"/>
        <v>179</v>
      </c>
      <c r="K180" t="s">
        <v>338</v>
      </c>
      <c r="P180" t="s">
        <v>611</v>
      </c>
    </row>
    <row r="181" spans="1:16" x14ac:dyDescent="0.3">
      <c r="A181">
        <f t="shared" si="4"/>
        <v>180</v>
      </c>
      <c r="K181" t="s">
        <v>339</v>
      </c>
      <c r="P181" t="s">
        <v>612</v>
      </c>
    </row>
    <row r="182" spans="1:16" x14ac:dyDescent="0.3">
      <c r="A182">
        <f t="shared" si="4"/>
        <v>181</v>
      </c>
      <c r="K182" t="s">
        <v>340</v>
      </c>
      <c r="P182" t="s">
        <v>613</v>
      </c>
    </row>
    <row r="183" spans="1:16" x14ac:dyDescent="0.3">
      <c r="A183">
        <f t="shared" si="4"/>
        <v>182</v>
      </c>
      <c r="K183" t="s">
        <v>341</v>
      </c>
      <c r="P183" t="s">
        <v>614</v>
      </c>
    </row>
    <row r="184" spans="1:16" x14ac:dyDescent="0.3">
      <c r="A184">
        <f t="shared" si="4"/>
        <v>183</v>
      </c>
      <c r="K184" t="s">
        <v>342</v>
      </c>
      <c r="P184" t="s">
        <v>615</v>
      </c>
    </row>
    <row r="185" spans="1:16" x14ac:dyDescent="0.3">
      <c r="A185">
        <f t="shared" si="4"/>
        <v>184</v>
      </c>
      <c r="K185" t="s">
        <v>343</v>
      </c>
      <c r="P185" t="s">
        <v>616</v>
      </c>
    </row>
    <row r="186" spans="1:16" x14ac:dyDescent="0.3">
      <c r="A186">
        <f t="shared" si="4"/>
        <v>185</v>
      </c>
      <c r="K186" t="s">
        <v>344</v>
      </c>
      <c r="P186" t="s">
        <v>583</v>
      </c>
    </row>
    <row r="187" spans="1:16" x14ac:dyDescent="0.3">
      <c r="A187">
        <f t="shared" si="4"/>
        <v>186</v>
      </c>
      <c r="K187" t="s">
        <v>345</v>
      </c>
      <c r="P187" t="s">
        <v>617</v>
      </c>
    </row>
    <row r="188" spans="1:16" x14ac:dyDescent="0.3">
      <c r="A188">
        <f t="shared" si="4"/>
        <v>187</v>
      </c>
      <c r="K188" t="s">
        <v>346</v>
      </c>
      <c r="P188" t="s">
        <v>618</v>
      </c>
    </row>
    <row r="189" spans="1:16" x14ac:dyDescent="0.3">
      <c r="A189">
        <f t="shared" si="4"/>
        <v>188</v>
      </c>
      <c r="K189" t="s">
        <v>347</v>
      </c>
      <c r="P189" t="s">
        <v>619</v>
      </c>
    </row>
    <row r="190" spans="1:16" x14ac:dyDescent="0.3">
      <c r="A190">
        <f t="shared" si="4"/>
        <v>189</v>
      </c>
      <c r="K190" t="s">
        <v>348</v>
      </c>
      <c r="P190" t="s">
        <v>620</v>
      </c>
    </row>
    <row r="191" spans="1:16" x14ac:dyDescent="0.3">
      <c r="A191">
        <f t="shared" si="4"/>
        <v>190</v>
      </c>
      <c r="K191" t="s">
        <v>349</v>
      </c>
      <c r="P191" t="s">
        <v>621</v>
      </c>
    </row>
    <row r="192" spans="1:16" x14ac:dyDescent="0.3">
      <c r="A192">
        <f t="shared" si="4"/>
        <v>191</v>
      </c>
      <c r="K192" t="s">
        <v>350</v>
      </c>
      <c r="P192" t="s">
        <v>622</v>
      </c>
    </row>
    <row r="193" spans="1:16" x14ac:dyDescent="0.3">
      <c r="A193">
        <f t="shared" si="4"/>
        <v>192</v>
      </c>
      <c r="K193" t="s">
        <v>351</v>
      </c>
      <c r="P193" t="s">
        <v>623</v>
      </c>
    </row>
    <row r="194" spans="1:16" x14ac:dyDescent="0.3">
      <c r="A194">
        <f t="shared" si="4"/>
        <v>193</v>
      </c>
      <c r="K194" t="s">
        <v>352</v>
      </c>
      <c r="P194" t="s">
        <v>624</v>
      </c>
    </row>
    <row r="195" spans="1:16" x14ac:dyDescent="0.3">
      <c r="A195">
        <f t="shared" si="4"/>
        <v>194</v>
      </c>
      <c r="K195" t="s">
        <v>353</v>
      </c>
      <c r="P195" t="s">
        <v>625</v>
      </c>
    </row>
    <row r="196" spans="1:16" x14ac:dyDescent="0.3">
      <c r="A196">
        <f t="shared" ref="A196:A212" si="5">A195+1</f>
        <v>195</v>
      </c>
      <c r="K196" t="s">
        <v>354</v>
      </c>
      <c r="P196" t="s">
        <v>626</v>
      </c>
    </row>
    <row r="197" spans="1:16" x14ac:dyDescent="0.3">
      <c r="A197">
        <f t="shared" si="5"/>
        <v>196</v>
      </c>
      <c r="K197" t="s">
        <v>355</v>
      </c>
      <c r="P197" t="s">
        <v>627</v>
      </c>
    </row>
    <row r="198" spans="1:16" x14ac:dyDescent="0.3">
      <c r="A198">
        <f t="shared" si="5"/>
        <v>197</v>
      </c>
      <c r="K198" t="s">
        <v>356</v>
      </c>
      <c r="P198" t="s">
        <v>583</v>
      </c>
    </row>
    <row r="199" spans="1:16" x14ac:dyDescent="0.3">
      <c r="A199">
        <f t="shared" si="5"/>
        <v>198</v>
      </c>
      <c r="K199" t="s">
        <v>357</v>
      </c>
      <c r="P199" t="s">
        <v>628</v>
      </c>
    </row>
    <row r="200" spans="1:16" x14ac:dyDescent="0.3">
      <c r="A200">
        <f t="shared" si="5"/>
        <v>199</v>
      </c>
      <c r="K200" t="s">
        <v>358</v>
      </c>
      <c r="P200" t="s">
        <v>629</v>
      </c>
    </row>
    <row r="201" spans="1:16" x14ac:dyDescent="0.3">
      <c r="A201">
        <f t="shared" si="5"/>
        <v>200</v>
      </c>
      <c r="K201" t="s">
        <v>359</v>
      </c>
      <c r="P201" t="s">
        <v>630</v>
      </c>
    </row>
    <row r="202" spans="1:16" x14ac:dyDescent="0.3">
      <c r="A202">
        <f t="shared" si="5"/>
        <v>201</v>
      </c>
      <c r="K202" t="s">
        <v>360</v>
      </c>
      <c r="P202" t="s">
        <v>631</v>
      </c>
    </row>
    <row r="203" spans="1:16" x14ac:dyDescent="0.3">
      <c r="A203">
        <f t="shared" si="5"/>
        <v>202</v>
      </c>
      <c r="K203" t="s">
        <v>361</v>
      </c>
      <c r="P203" t="s">
        <v>632</v>
      </c>
    </row>
    <row r="204" spans="1:16" x14ac:dyDescent="0.3">
      <c r="A204">
        <f t="shared" si="5"/>
        <v>203</v>
      </c>
      <c r="K204" t="s">
        <v>362</v>
      </c>
      <c r="P204" t="s">
        <v>583</v>
      </c>
    </row>
    <row r="205" spans="1:16" x14ac:dyDescent="0.3">
      <c r="A205">
        <f t="shared" si="5"/>
        <v>204</v>
      </c>
      <c r="K205" t="s">
        <v>363</v>
      </c>
      <c r="P205" t="s">
        <v>633</v>
      </c>
    </row>
    <row r="206" spans="1:16" x14ac:dyDescent="0.3">
      <c r="A206">
        <f t="shared" si="5"/>
        <v>205</v>
      </c>
      <c r="K206" t="s">
        <v>364</v>
      </c>
      <c r="P206" t="s">
        <v>526</v>
      </c>
    </row>
    <row r="207" spans="1:16" x14ac:dyDescent="0.3">
      <c r="A207">
        <f t="shared" si="5"/>
        <v>206</v>
      </c>
      <c r="K207" t="s">
        <v>365</v>
      </c>
      <c r="P207" t="s">
        <v>634</v>
      </c>
    </row>
    <row r="208" spans="1:16" x14ac:dyDescent="0.3">
      <c r="A208">
        <f t="shared" si="5"/>
        <v>207</v>
      </c>
      <c r="K208" t="s">
        <v>366</v>
      </c>
      <c r="P208" t="s">
        <v>635</v>
      </c>
    </row>
    <row r="209" spans="1:16" x14ac:dyDescent="0.3">
      <c r="A209">
        <f t="shared" si="5"/>
        <v>208</v>
      </c>
      <c r="K209" t="s">
        <v>367</v>
      </c>
      <c r="P209" t="s">
        <v>636</v>
      </c>
    </row>
    <row r="210" spans="1:16" x14ac:dyDescent="0.3">
      <c r="A210">
        <f t="shared" si="5"/>
        <v>209</v>
      </c>
      <c r="K210" t="s">
        <v>368</v>
      </c>
      <c r="P210" t="s">
        <v>637</v>
      </c>
    </row>
    <row r="211" spans="1:16" x14ac:dyDescent="0.3">
      <c r="A211">
        <f t="shared" si="5"/>
        <v>210</v>
      </c>
      <c r="K211" t="s">
        <v>369</v>
      </c>
      <c r="P211" t="s">
        <v>638</v>
      </c>
    </row>
    <row r="212" spans="1:16" x14ac:dyDescent="0.3">
      <c r="A212">
        <f t="shared" si="5"/>
        <v>211</v>
      </c>
      <c r="K212" t="s">
        <v>370</v>
      </c>
      <c r="P212" t="s">
        <v>639</v>
      </c>
    </row>
    <row r="213" spans="1:16" x14ac:dyDescent="0.3">
      <c r="P213" t="s">
        <v>640</v>
      </c>
    </row>
    <row r="214" spans="1:16" x14ac:dyDescent="0.3">
      <c r="P214" t="s">
        <v>641</v>
      </c>
    </row>
    <row r="215" spans="1:16" x14ac:dyDescent="0.3">
      <c r="P215" t="s">
        <v>642</v>
      </c>
    </row>
    <row r="216" spans="1:16" x14ac:dyDescent="0.3">
      <c r="P216" t="s">
        <v>643</v>
      </c>
    </row>
    <row r="217" spans="1:16" x14ac:dyDescent="0.3">
      <c r="P217" t="s">
        <v>644</v>
      </c>
    </row>
    <row r="218" spans="1:16" x14ac:dyDescent="0.3">
      <c r="P218" t="s">
        <v>645</v>
      </c>
    </row>
    <row r="219" spans="1:16" x14ac:dyDescent="0.3">
      <c r="P219" t="s">
        <v>646</v>
      </c>
    </row>
    <row r="220" spans="1:16" x14ac:dyDescent="0.3">
      <c r="P220" t="s">
        <v>647</v>
      </c>
    </row>
    <row r="221" spans="1:16" x14ac:dyDescent="0.3">
      <c r="P221" t="s">
        <v>648</v>
      </c>
    </row>
    <row r="222" spans="1:16" x14ac:dyDescent="0.3">
      <c r="P222" t="s">
        <v>649</v>
      </c>
    </row>
    <row r="223" spans="1:16" x14ac:dyDescent="0.3">
      <c r="P223" t="s">
        <v>650</v>
      </c>
    </row>
    <row r="224" spans="1:16" x14ac:dyDescent="0.3">
      <c r="P224" t="s">
        <v>651</v>
      </c>
    </row>
    <row r="225" spans="16:16" x14ac:dyDescent="0.3">
      <c r="P225" t="s">
        <v>652</v>
      </c>
    </row>
    <row r="226" spans="16:16" x14ac:dyDescent="0.3">
      <c r="P226" t="s">
        <v>653</v>
      </c>
    </row>
    <row r="227" spans="16:16" x14ac:dyDescent="0.3">
      <c r="P227" t="s">
        <v>654</v>
      </c>
    </row>
    <row r="228" spans="16:16" x14ac:dyDescent="0.3">
      <c r="P228" t="s">
        <v>655</v>
      </c>
    </row>
    <row r="229" spans="16:16" x14ac:dyDescent="0.3">
      <c r="P229" t="s">
        <v>656</v>
      </c>
    </row>
    <row r="230" spans="16:16" x14ac:dyDescent="0.3">
      <c r="P230" t="s">
        <v>657</v>
      </c>
    </row>
    <row r="231" spans="16:16" x14ac:dyDescent="0.3">
      <c r="P231" t="s">
        <v>658</v>
      </c>
    </row>
    <row r="232" spans="16:16" x14ac:dyDescent="0.3">
      <c r="P232" t="s">
        <v>659</v>
      </c>
    </row>
    <row r="233" spans="16:16" x14ac:dyDescent="0.3">
      <c r="P233" t="s">
        <v>660</v>
      </c>
    </row>
    <row r="234" spans="16:16" x14ac:dyDescent="0.3">
      <c r="P234" t="s">
        <v>661</v>
      </c>
    </row>
    <row r="235" spans="16:16" x14ac:dyDescent="0.3">
      <c r="P235" t="s">
        <v>662</v>
      </c>
    </row>
    <row r="236" spans="16:16" x14ac:dyDescent="0.3">
      <c r="P236" t="s">
        <v>663</v>
      </c>
    </row>
    <row r="237" spans="16:16" x14ac:dyDescent="0.3">
      <c r="P237" t="s">
        <v>620</v>
      </c>
    </row>
    <row r="238" spans="16:16" x14ac:dyDescent="0.3">
      <c r="P238" t="s">
        <v>628</v>
      </c>
    </row>
    <row r="239" spans="16:16" x14ac:dyDescent="0.3">
      <c r="P239" t="s">
        <v>664</v>
      </c>
    </row>
    <row r="240" spans="16:16" x14ac:dyDescent="0.3">
      <c r="P240" t="s">
        <v>665</v>
      </c>
    </row>
    <row r="241" spans="16:16" x14ac:dyDescent="0.3">
      <c r="P241" t="s">
        <v>656</v>
      </c>
    </row>
    <row r="242" spans="16:16" x14ac:dyDescent="0.3">
      <c r="P242" t="s">
        <v>666</v>
      </c>
    </row>
    <row r="243" spans="16:16" x14ac:dyDescent="0.3">
      <c r="P243" t="s">
        <v>667</v>
      </c>
    </row>
    <row r="244" spans="16:16" x14ac:dyDescent="0.3">
      <c r="P244" t="s">
        <v>668</v>
      </c>
    </row>
    <row r="245" spans="16:16" x14ac:dyDescent="0.3">
      <c r="P245" t="s">
        <v>669</v>
      </c>
    </row>
    <row r="246" spans="16:16" x14ac:dyDescent="0.3">
      <c r="P246" t="s">
        <v>670</v>
      </c>
    </row>
    <row r="247" spans="16:16" x14ac:dyDescent="0.3">
      <c r="P247" t="s">
        <v>671</v>
      </c>
    </row>
    <row r="248" spans="16:16" x14ac:dyDescent="0.3">
      <c r="P248" t="s">
        <v>672</v>
      </c>
    </row>
    <row r="249" spans="16:16" x14ac:dyDescent="0.3">
      <c r="P249" t="s">
        <v>673</v>
      </c>
    </row>
    <row r="250" spans="16:16" x14ac:dyDescent="0.3">
      <c r="P250" t="s">
        <v>674</v>
      </c>
    </row>
    <row r="251" spans="16:16" x14ac:dyDescent="0.3">
      <c r="P251" t="s">
        <v>674</v>
      </c>
    </row>
    <row r="252" spans="16:16" x14ac:dyDescent="0.3">
      <c r="P252" t="s">
        <v>675</v>
      </c>
    </row>
    <row r="253" spans="16:16" x14ac:dyDescent="0.3">
      <c r="P253" t="s">
        <v>676</v>
      </c>
    </row>
    <row r="254" spans="16:16" x14ac:dyDescent="0.3">
      <c r="P254" t="s">
        <v>677</v>
      </c>
    </row>
    <row r="255" spans="16:16" x14ac:dyDescent="0.3">
      <c r="P255" t="s">
        <v>632</v>
      </c>
    </row>
    <row r="256" spans="16:16" x14ac:dyDescent="0.3">
      <c r="P256" t="s">
        <v>678</v>
      </c>
    </row>
    <row r="257" spans="16:16" x14ac:dyDescent="0.3">
      <c r="P257" t="s">
        <v>679</v>
      </c>
    </row>
    <row r="258" spans="16:16" x14ac:dyDescent="0.3">
      <c r="P258" t="s">
        <v>680</v>
      </c>
    </row>
    <row r="259" spans="16:16" x14ac:dyDescent="0.3">
      <c r="P259" t="s">
        <v>681</v>
      </c>
    </row>
    <row r="260" spans="16:16" x14ac:dyDescent="0.3">
      <c r="P260" t="s">
        <v>682</v>
      </c>
    </row>
    <row r="261" spans="16:16" x14ac:dyDescent="0.3">
      <c r="P261" t="s">
        <v>632</v>
      </c>
    </row>
    <row r="262" spans="16:16" x14ac:dyDescent="0.3">
      <c r="P262" t="s">
        <v>677</v>
      </c>
    </row>
    <row r="263" spans="16:16" x14ac:dyDescent="0.3">
      <c r="P263" t="s">
        <v>683</v>
      </c>
    </row>
    <row r="264" spans="16:16" x14ac:dyDescent="0.3">
      <c r="P264" t="s">
        <v>684</v>
      </c>
    </row>
    <row r="265" spans="16:16" x14ac:dyDescent="0.3">
      <c r="P265" t="s">
        <v>651</v>
      </c>
    </row>
    <row r="266" spans="16:16" x14ac:dyDescent="0.3">
      <c r="P266" t="s">
        <v>628</v>
      </c>
    </row>
    <row r="267" spans="16:16" x14ac:dyDescent="0.3">
      <c r="P267" t="s">
        <v>620</v>
      </c>
    </row>
    <row r="268" spans="16:16" x14ac:dyDescent="0.3">
      <c r="P268" t="s">
        <v>663</v>
      </c>
    </row>
    <row r="269" spans="16:16" x14ac:dyDescent="0.3">
      <c r="P269" t="s">
        <v>685</v>
      </c>
    </row>
    <row r="270" spans="16:16" x14ac:dyDescent="0.3">
      <c r="P270" t="s">
        <v>686</v>
      </c>
    </row>
    <row r="271" spans="16:16" x14ac:dyDescent="0.3">
      <c r="P271" t="s">
        <v>687</v>
      </c>
    </row>
    <row r="272" spans="16:16" x14ac:dyDescent="0.3">
      <c r="P272" t="s">
        <v>688</v>
      </c>
    </row>
    <row r="273" spans="16:16" x14ac:dyDescent="0.3">
      <c r="P273" t="s">
        <v>689</v>
      </c>
    </row>
    <row r="274" spans="16:16" x14ac:dyDescent="0.3">
      <c r="P274" t="s">
        <v>690</v>
      </c>
    </row>
    <row r="275" spans="16:16" x14ac:dyDescent="0.3">
      <c r="P275" t="s">
        <v>691</v>
      </c>
    </row>
    <row r="276" spans="16:16" x14ac:dyDescent="0.3">
      <c r="P276" t="s">
        <v>692</v>
      </c>
    </row>
    <row r="277" spans="16:16" x14ac:dyDescent="0.3">
      <c r="P277" t="s">
        <v>693</v>
      </c>
    </row>
    <row r="278" spans="16:16" x14ac:dyDescent="0.3">
      <c r="P278" t="s">
        <v>694</v>
      </c>
    </row>
    <row r="279" spans="16:16" x14ac:dyDescent="0.3">
      <c r="P279" t="s">
        <v>695</v>
      </c>
    </row>
    <row r="280" spans="16:16" x14ac:dyDescent="0.3">
      <c r="P280" t="s">
        <v>696</v>
      </c>
    </row>
    <row r="281" spans="16:16" x14ac:dyDescent="0.3">
      <c r="P281" t="s">
        <v>697</v>
      </c>
    </row>
    <row r="282" spans="16:16" x14ac:dyDescent="0.3">
      <c r="P282" t="s">
        <v>698</v>
      </c>
    </row>
    <row r="283" spans="16:16" x14ac:dyDescent="0.3">
      <c r="P283" t="s">
        <v>699</v>
      </c>
    </row>
    <row r="284" spans="16:16" x14ac:dyDescent="0.3">
      <c r="P284" t="s">
        <v>700</v>
      </c>
    </row>
    <row r="285" spans="16:16" x14ac:dyDescent="0.3">
      <c r="P285" t="s">
        <v>701</v>
      </c>
    </row>
    <row r="286" spans="16:16" x14ac:dyDescent="0.3">
      <c r="P286" t="s">
        <v>652</v>
      </c>
    </row>
    <row r="287" spans="16:16" x14ac:dyDescent="0.3">
      <c r="P287" t="s">
        <v>702</v>
      </c>
    </row>
    <row r="288" spans="16:16" x14ac:dyDescent="0.3">
      <c r="P288" t="s">
        <v>703</v>
      </c>
    </row>
    <row r="289" spans="16:16" x14ac:dyDescent="0.3">
      <c r="P289" t="s">
        <v>704</v>
      </c>
    </row>
    <row r="290" spans="16:16" x14ac:dyDescent="0.3">
      <c r="P290" t="s">
        <v>705</v>
      </c>
    </row>
    <row r="291" spans="16:16" x14ac:dyDescent="0.3">
      <c r="P291" t="s">
        <v>706</v>
      </c>
    </row>
    <row r="292" spans="16:16" x14ac:dyDescent="0.3">
      <c r="P292" t="s">
        <v>707</v>
      </c>
    </row>
    <row r="293" spans="16:16" x14ac:dyDescent="0.3">
      <c r="P293" t="s">
        <v>708</v>
      </c>
    </row>
    <row r="294" spans="16:16" x14ac:dyDescent="0.3">
      <c r="P294" t="s">
        <v>709</v>
      </c>
    </row>
    <row r="295" spans="16:16" x14ac:dyDescent="0.3">
      <c r="P295" t="s">
        <v>710</v>
      </c>
    </row>
    <row r="296" spans="16:16" x14ac:dyDescent="0.3">
      <c r="P296" t="s">
        <v>711</v>
      </c>
    </row>
    <row r="297" spans="16:16" x14ac:dyDescent="0.3">
      <c r="P297" t="s">
        <v>712</v>
      </c>
    </row>
    <row r="298" spans="16:16" x14ac:dyDescent="0.3">
      <c r="P298" t="s">
        <v>713</v>
      </c>
    </row>
    <row r="299" spans="16:16" x14ac:dyDescent="0.3">
      <c r="P299" t="s">
        <v>714</v>
      </c>
    </row>
    <row r="300" spans="16:16" x14ac:dyDescent="0.3">
      <c r="P300" t="s">
        <v>696</v>
      </c>
    </row>
    <row r="301" spans="16:16" x14ac:dyDescent="0.3">
      <c r="P301" t="s">
        <v>715</v>
      </c>
    </row>
    <row r="302" spans="16:16" x14ac:dyDescent="0.3">
      <c r="P302" t="s">
        <v>716</v>
      </c>
    </row>
    <row r="303" spans="16:16" x14ac:dyDescent="0.3">
      <c r="P303" t="s">
        <v>717</v>
      </c>
    </row>
    <row r="304" spans="16:16" x14ac:dyDescent="0.3">
      <c r="P304" t="s">
        <v>718</v>
      </c>
    </row>
    <row r="305" spans="16:16" x14ac:dyDescent="0.3">
      <c r="P305" t="s">
        <v>719</v>
      </c>
    </row>
    <row r="306" spans="16:16" x14ac:dyDescent="0.3">
      <c r="P306" t="s">
        <v>720</v>
      </c>
    </row>
    <row r="307" spans="16:16" x14ac:dyDescent="0.3">
      <c r="P307" t="s">
        <v>721</v>
      </c>
    </row>
    <row r="308" spans="16:16" x14ac:dyDescent="0.3">
      <c r="P308" t="s">
        <v>722</v>
      </c>
    </row>
    <row r="309" spans="16:16" x14ac:dyDescent="0.3">
      <c r="P309" t="s">
        <v>723</v>
      </c>
    </row>
    <row r="310" spans="16:16" x14ac:dyDescent="0.3">
      <c r="P310" t="s">
        <v>724</v>
      </c>
    </row>
    <row r="311" spans="16:16" x14ac:dyDescent="0.3">
      <c r="P311" t="s">
        <v>725</v>
      </c>
    </row>
    <row r="312" spans="16:16" x14ac:dyDescent="0.3">
      <c r="P312" t="s">
        <v>724</v>
      </c>
    </row>
    <row r="313" spans="16:16" x14ac:dyDescent="0.3">
      <c r="P313" t="s">
        <v>726</v>
      </c>
    </row>
    <row r="314" spans="16:16" x14ac:dyDescent="0.3">
      <c r="P314" t="s">
        <v>727</v>
      </c>
    </row>
    <row r="315" spans="16:16" x14ac:dyDescent="0.3">
      <c r="P315" t="s">
        <v>728</v>
      </c>
    </row>
    <row r="316" spans="16:16" x14ac:dyDescent="0.3">
      <c r="P316" t="s">
        <v>729</v>
      </c>
    </row>
    <row r="317" spans="16:16" x14ac:dyDescent="0.3">
      <c r="P317" t="s">
        <v>730</v>
      </c>
    </row>
    <row r="318" spans="16:16" x14ac:dyDescent="0.3">
      <c r="P318" t="s">
        <v>731</v>
      </c>
    </row>
    <row r="319" spans="16:16" x14ac:dyDescent="0.3">
      <c r="P319" t="s">
        <v>732</v>
      </c>
    </row>
    <row r="320" spans="16:16" x14ac:dyDescent="0.3">
      <c r="P320" t="s">
        <v>733</v>
      </c>
    </row>
    <row r="321" spans="16:16" x14ac:dyDescent="0.3">
      <c r="P321" t="s">
        <v>734</v>
      </c>
    </row>
    <row r="322" spans="16:16" x14ac:dyDescent="0.3">
      <c r="P322" t="s">
        <v>735</v>
      </c>
    </row>
    <row r="323" spans="16:16" x14ac:dyDescent="0.3">
      <c r="P323" t="s">
        <v>736</v>
      </c>
    </row>
    <row r="324" spans="16:16" x14ac:dyDescent="0.3">
      <c r="P324" t="s">
        <v>737</v>
      </c>
    </row>
    <row r="325" spans="16:16" x14ac:dyDescent="0.3">
      <c r="P325" t="s">
        <v>738</v>
      </c>
    </row>
    <row r="326" spans="16:16" x14ac:dyDescent="0.3">
      <c r="P326" t="s">
        <v>739</v>
      </c>
    </row>
    <row r="327" spans="16:16" x14ac:dyDescent="0.3">
      <c r="P327" t="s">
        <v>740</v>
      </c>
    </row>
    <row r="328" spans="16:16" x14ac:dyDescent="0.3">
      <c r="P328" t="s">
        <v>741</v>
      </c>
    </row>
    <row r="329" spans="16:16" x14ac:dyDescent="0.3">
      <c r="P329" t="s">
        <v>742</v>
      </c>
    </row>
    <row r="330" spans="16:16" x14ac:dyDescent="0.3">
      <c r="P330" t="s">
        <v>743</v>
      </c>
    </row>
    <row r="331" spans="16:16" x14ac:dyDescent="0.3">
      <c r="P331" t="s">
        <v>744</v>
      </c>
    </row>
    <row r="332" spans="16:16" x14ac:dyDescent="0.3">
      <c r="P332" t="s">
        <v>745</v>
      </c>
    </row>
    <row r="333" spans="16:16" x14ac:dyDescent="0.3">
      <c r="P333" t="s">
        <v>746</v>
      </c>
    </row>
    <row r="334" spans="16:16" x14ac:dyDescent="0.3">
      <c r="P334" t="s">
        <v>747</v>
      </c>
    </row>
    <row r="335" spans="16:16" x14ac:dyDescent="0.3">
      <c r="P335" t="s">
        <v>658</v>
      </c>
    </row>
    <row r="336" spans="16:16" x14ac:dyDescent="0.3">
      <c r="P336" t="s">
        <v>748</v>
      </c>
    </row>
    <row r="337" spans="16:16" x14ac:dyDescent="0.3">
      <c r="P337" t="s">
        <v>749</v>
      </c>
    </row>
    <row r="338" spans="16:16" x14ac:dyDescent="0.3">
      <c r="P338" t="s">
        <v>750</v>
      </c>
    </row>
    <row r="339" spans="16:16" x14ac:dyDescent="0.3">
      <c r="P339" t="s">
        <v>751</v>
      </c>
    </row>
    <row r="340" spans="16:16" x14ac:dyDescent="0.3">
      <c r="P340" t="s">
        <v>747</v>
      </c>
    </row>
    <row r="341" spans="16:16" x14ac:dyDescent="0.3">
      <c r="P341" t="s">
        <v>752</v>
      </c>
    </row>
    <row r="342" spans="16:16" x14ac:dyDescent="0.3">
      <c r="P342" t="s">
        <v>753</v>
      </c>
    </row>
    <row r="343" spans="16:16" x14ac:dyDescent="0.3">
      <c r="P343" t="s">
        <v>753</v>
      </c>
    </row>
    <row r="344" spans="16:16" x14ac:dyDescent="0.3">
      <c r="P344" t="s">
        <v>754</v>
      </c>
    </row>
    <row r="345" spans="16:16" x14ac:dyDescent="0.3">
      <c r="P345" t="s">
        <v>755</v>
      </c>
    </row>
    <row r="346" spans="16:16" x14ac:dyDescent="0.3">
      <c r="P346" t="s">
        <v>756</v>
      </c>
    </row>
    <row r="347" spans="16:16" x14ac:dyDescent="0.3">
      <c r="P347" t="s">
        <v>757</v>
      </c>
    </row>
    <row r="348" spans="16:16" x14ac:dyDescent="0.3">
      <c r="P348" t="s">
        <v>758</v>
      </c>
    </row>
    <row r="349" spans="16:16" x14ac:dyDescent="0.3">
      <c r="P349" t="s">
        <v>759</v>
      </c>
    </row>
    <row r="350" spans="16:16" x14ac:dyDescent="0.3">
      <c r="P350" t="s">
        <v>760</v>
      </c>
    </row>
    <row r="351" spans="16:16" x14ac:dyDescent="0.3">
      <c r="P351" t="s">
        <v>761</v>
      </c>
    </row>
    <row r="352" spans="16:16" x14ac:dyDescent="0.3">
      <c r="P352" t="s">
        <v>762</v>
      </c>
    </row>
    <row r="353" spans="16:16" x14ac:dyDescent="0.3">
      <c r="P353" t="s">
        <v>763</v>
      </c>
    </row>
    <row r="354" spans="16:16" x14ac:dyDescent="0.3">
      <c r="P354" t="s">
        <v>764</v>
      </c>
    </row>
    <row r="355" spans="16:16" x14ac:dyDescent="0.3">
      <c r="P355" t="s">
        <v>765</v>
      </c>
    </row>
    <row r="356" spans="16:16" x14ac:dyDescent="0.3">
      <c r="P356" t="s">
        <v>766</v>
      </c>
    </row>
    <row r="357" spans="16:16" x14ac:dyDescent="0.3">
      <c r="P357" t="s">
        <v>766</v>
      </c>
    </row>
    <row r="358" spans="16:16" x14ac:dyDescent="0.3">
      <c r="P358" t="s">
        <v>765</v>
      </c>
    </row>
    <row r="359" spans="16:16" x14ac:dyDescent="0.3">
      <c r="P359" t="s">
        <v>766</v>
      </c>
    </row>
    <row r="360" spans="16:16" x14ac:dyDescent="0.3">
      <c r="P360" t="s">
        <v>767</v>
      </c>
    </row>
    <row r="361" spans="16:16" x14ac:dyDescent="0.3">
      <c r="P361" t="s">
        <v>768</v>
      </c>
    </row>
    <row r="362" spans="16:16" x14ac:dyDescent="0.3">
      <c r="P362" t="s">
        <v>769</v>
      </c>
    </row>
    <row r="363" spans="16:16" x14ac:dyDescent="0.3">
      <c r="P363" t="s">
        <v>504</v>
      </c>
    </row>
    <row r="364" spans="16:16" x14ac:dyDescent="0.3">
      <c r="P364" t="s">
        <v>770</v>
      </c>
    </row>
    <row r="365" spans="16:16" x14ac:dyDescent="0.3">
      <c r="P365" t="s">
        <v>771</v>
      </c>
    </row>
    <row r="366" spans="16:16" x14ac:dyDescent="0.3">
      <c r="P366" t="s">
        <v>772</v>
      </c>
    </row>
    <row r="367" spans="16:16" x14ac:dyDescent="0.3">
      <c r="P367" t="s">
        <v>773</v>
      </c>
    </row>
    <row r="368" spans="16:16" x14ac:dyDescent="0.3">
      <c r="P368" t="s">
        <v>774</v>
      </c>
    </row>
    <row r="369" spans="16:16" x14ac:dyDescent="0.3">
      <c r="P369" t="s">
        <v>775</v>
      </c>
    </row>
    <row r="370" spans="16:16" x14ac:dyDescent="0.3">
      <c r="P370" t="s">
        <v>767</v>
      </c>
    </row>
    <row r="371" spans="16:16" x14ac:dyDescent="0.3">
      <c r="P371" t="s">
        <v>776</v>
      </c>
    </row>
    <row r="372" spans="16:16" x14ac:dyDescent="0.3">
      <c r="P372" t="s">
        <v>775</v>
      </c>
    </row>
    <row r="373" spans="16:16" x14ac:dyDescent="0.3">
      <c r="P373" t="s">
        <v>777</v>
      </c>
    </row>
    <row r="374" spans="16:16" x14ac:dyDescent="0.3">
      <c r="P374" t="s">
        <v>778</v>
      </c>
    </row>
    <row r="375" spans="16:16" x14ac:dyDescent="0.3">
      <c r="P375" t="s">
        <v>779</v>
      </c>
    </row>
    <row r="376" spans="16:16" x14ac:dyDescent="0.3">
      <c r="P376" t="s">
        <v>780</v>
      </c>
    </row>
    <row r="377" spans="16:16" x14ac:dyDescent="0.3">
      <c r="P377" t="s">
        <v>781</v>
      </c>
    </row>
    <row r="378" spans="16:16" x14ac:dyDescent="0.3">
      <c r="P378" t="s">
        <v>782</v>
      </c>
    </row>
    <row r="379" spans="16:16" x14ac:dyDescent="0.3">
      <c r="P379" t="s">
        <v>765</v>
      </c>
    </row>
    <row r="380" spans="16:16" x14ac:dyDescent="0.3">
      <c r="P380" t="s">
        <v>766</v>
      </c>
    </row>
    <row r="381" spans="16:16" x14ac:dyDescent="0.3">
      <c r="P381" t="s">
        <v>765</v>
      </c>
    </row>
    <row r="382" spans="16:16" x14ac:dyDescent="0.3">
      <c r="P382" t="s">
        <v>783</v>
      </c>
    </row>
    <row r="383" spans="16:16" x14ac:dyDescent="0.3">
      <c r="P383" t="s">
        <v>784</v>
      </c>
    </row>
    <row r="384" spans="16:16" x14ac:dyDescent="0.3">
      <c r="P384" t="s">
        <v>785</v>
      </c>
    </row>
    <row r="385" spans="16:16" x14ac:dyDescent="0.3">
      <c r="P385" t="s">
        <v>786</v>
      </c>
    </row>
    <row r="386" spans="16:16" x14ac:dyDescent="0.3">
      <c r="P386" t="s">
        <v>787</v>
      </c>
    </row>
    <row r="387" spans="16:16" x14ac:dyDescent="0.3">
      <c r="P387" t="s">
        <v>765</v>
      </c>
    </row>
    <row r="388" spans="16:16" x14ac:dyDescent="0.3">
      <c r="P388" t="s">
        <v>788</v>
      </c>
    </row>
    <row r="389" spans="16:16" x14ac:dyDescent="0.3">
      <c r="P389" t="s">
        <v>789</v>
      </c>
    </row>
    <row r="390" spans="16:16" x14ac:dyDescent="0.3">
      <c r="P390" t="s">
        <v>790</v>
      </c>
    </row>
    <row r="391" spans="16:16" x14ac:dyDescent="0.3">
      <c r="P391" t="s">
        <v>791</v>
      </c>
    </row>
    <row r="392" spans="16:16" x14ac:dyDescent="0.3">
      <c r="P392" t="s">
        <v>792</v>
      </c>
    </row>
    <row r="393" spans="16:16" x14ac:dyDescent="0.3">
      <c r="P393" t="s">
        <v>793</v>
      </c>
    </row>
    <row r="394" spans="16:16" x14ac:dyDescent="0.3">
      <c r="P394" t="s">
        <v>794</v>
      </c>
    </row>
    <row r="395" spans="16:16" x14ac:dyDescent="0.3">
      <c r="P395" t="s">
        <v>795</v>
      </c>
    </row>
    <row r="396" spans="16:16" x14ac:dyDescent="0.3">
      <c r="P396" t="s">
        <v>796</v>
      </c>
    </row>
    <row r="397" spans="16:16" x14ac:dyDescent="0.3">
      <c r="P397" t="s">
        <v>797</v>
      </c>
    </row>
    <row r="398" spans="16:16" x14ac:dyDescent="0.3">
      <c r="P398" t="s">
        <v>798</v>
      </c>
    </row>
    <row r="399" spans="16:16" x14ac:dyDescent="0.3">
      <c r="P399" t="s">
        <v>799</v>
      </c>
    </row>
    <row r="400" spans="16:16" x14ac:dyDescent="0.3">
      <c r="P400" t="s">
        <v>800</v>
      </c>
    </row>
    <row r="401" spans="16:16" x14ac:dyDescent="0.3">
      <c r="P401" t="s">
        <v>801</v>
      </c>
    </row>
    <row r="402" spans="16:16" x14ac:dyDescent="0.3">
      <c r="P402" t="s">
        <v>802</v>
      </c>
    </row>
    <row r="403" spans="16:16" x14ac:dyDescent="0.3">
      <c r="P403" t="s">
        <v>803</v>
      </c>
    </row>
    <row r="404" spans="16:16" x14ac:dyDescent="0.3">
      <c r="P404" t="s">
        <v>804</v>
      </c>
    </row>
    <row r="405" spans="16:16" x14ac:dyDescent="0.3">
      <c r="P405" t="s">
        <v>805</v>
      </c>
    </row>
    <row r="406" spans="16:16" x14ac:dyDescent="0.3">
      <c r="P406" t="s">
        <v>806</v>
      </c>
    </row>
    <row r="407" spans="16:16" x14ac:dyDescent="0.3">
      <c r="P407" t="s">
        <v>807</v>
      </c>
    </row>
    <row r="408" spans="16:16" x14ac:dyDescent="0.3">
      <c r="P408" t="s">
        <v>808</v>
      </c>
    </row>
    <row r="409" spans="16:16" x14ac:dyDescent="0.3">
      <c r="P409" t="s">
        <v>809</v>
      </c>
    </row>
    <row r="410" spans="16:16" x14ac:dyDescent="0.3">
      <c r="P410" t="s">
        <v>810</v>
      </c>
    </row>
    <row r="411" spans="16:16" x14ac:dyDescent="0.3">
      <c r="P411" t="s">
        <v>773</v>
      </c>
    </row>
    <row r="412" spans="16:16" x14ac:dyDescent="0.3">
      <c r="P412" t="s">
        <v>811</v>
      </c>
    </row>
    <row r="413" spans="16:16" x14ac:dyDescent="0.3">
      <c r="P413" t="s">
        <v>812</v>
      </c>
    </row>
    <row r="414" spans="16:16" x14ac:dyDescent="0.3">
      <c r="P414" t="s">
        <v>813</v>
      </c>
    </row>
    <row r="415" spans="16:16" x14ac:dyDescent="0.3">
      <c r="P415" t="s">
        <v>814</v>
      </c>
    </row>
    <row r="416" spans="16:16" x14ac:dyDescent="0.3">
      <c r="P416" t="s">
        <v>815</v>
      </c>
    </row>
    <row r="417" spans="16:16" x14ac:dyDescent="0.3">
      <c r="P417" t="s">
        <v>814</v>
      </c>
    </row>
    <row r="418" spans="16:16" x14ac:dyDescent="0.3">
      <c r="P418" t="s">
        <v>816</v>
      </c>
    </row>
    <row r="419" spans="16:16" x14ac:dyDescent="0.3">
      <c r="P419" t="s">
        <v>817</v>
      </c>
    </row>
    <row r="420" spans="16:16" x14ac:dyDescent="0.3">
      <c r="P420" t="s">
        <v>818</v>
      </c>
    </row>
    <row r="421" spans="16:16" x14ac:dyDescent="0.3">
      <c r="P421" t="s">
        <v>819</v>
      </c>
    </row>
    <row r="422" spans="16:16" x14ac:dyDescent="0.3">
      <c r="P422" t="s">
        <v>820</v>
      </c>
    </row>
    <row r="423" spans="16:16" x14ac:dyDescent="0.3">
      <c r="P423" t="s">
        <v>821</v>
      </c>
    </row>
    <row r="424" spans="16:16" x14ac:dyDescent="0.3">
      <c r="P424" t="s">
        <v>822</v>
      </c>
    </row>
    <row r="425" spans="16:16" x14ac:dyDescent="0.3">
      <c r="P425" t="s">
        <v>823</v>
      </c>
    </row>
    <row r="426" spans="16:16" x14ac:dyDescent="0.3">
      <c r="P426" t="s">
        <v>824</v>
      </c>
    </row>
    <row r="427" spans="16:16" x14ac:dyDescent="0.3">
      <c r="P427" t="s">
        <v>825</v>
      </c>
    </row>
    <row r="428" spans="16:16" x14ac:dyDescent="0.3">
      <c r="P428" t="s">
        <v>824</v>
      </c>
    </row>
    <row r="429" spans="16:16" x14ac:dyDescent="0.3">
      <c r="P429" t="s">
        <v>826</v>
      </c>
    </row>
    <row r="430" spans="16:16" x14ac:dyDescent="0.3">
      <c r="P430" t="s">
        <v>827</v>
      </c>
    </row>
    <row r="431" spans="16:16" x14ac:dyDescent="0.3">
      <c r="P431" t="s">
        <v>828</v>
      </c>
    </row>
    <row r="432" spans="16:16" x14ac:dyDescent="0.3">
      <c r="P432" t="s">
        <v>808</v>
      </c>
    </row>
    <row r="433" spans="16:16" x14ac:dyDescent="0.3">
      <c r="P433" t="s">
        <v>829</v>
      </c>
    </row>
    <row r="434" spans="16:16" x14ac:dyDescent="0.3">
      <c r="P434" t="s">
        <v>830</v>
      </c>
    </row>
    <row r="435" spans="16:16" x14ac:dyDescent="0.3">
      <c r="P435" t="s">
        <v>831</v>
      </c>
    </row>
    <row r="436" spans="16:16" x14ac:dyDescent="0.3">
      <c r="P436" t="s">
        <v>832</v>
      </c>
    </row>
    <row r="437" spans="16:16" x14ac:dyDescent="0.3">
      <c r="P437" t="s">
        <v>833</v>
      </c>
    </row>
    <row r="438" spans="16:16" x14ac:dyDescent="0.3">
      <c r="P438" t="s">
        <v>834</v>
      </c>
    </row>
    <row r="439" spans="16:16" x14ac:dyDescent="0.3">
      <c r="P439" t="s">
        <v>835</v>
      </c>
    </row>
    <row r="440" spans="16:16" x14ac:dyDescent="0.3">
      <c r="P440" t="s">
        <v>836</v>
      </c>
    </row>
    <row r="441" spans="16:16" x14ac:dyDescent="0.3">
      <c r="P441" t="s">
        <v>837</v>
      </c>
    </row>
    <row r="442" spans="16:16" x14ac:dyDescent="0.3">
      <c r="P442" t="s">
        <v>820</v>
      </c>
    </row>
    <row r="443" spans="16:16" x14ac:dyDescent="0.3">
      <c r="P443" t="s">
        <v>838</v>
      </c>
    </row>
    <row r="444" spans="16:16" x14ac:dyDescent="0.3">
      <c r="P444" t="s">
        <v>839</v>
      </c>
    </row>
    <row r="445" spans="16:16" x14ac:dyDescent="0.3">
      <c r="P445" t="s">
        <v>840</v>
      </c>
    </row>
    <row r="446" spans="16:16" x14ac:dyDescent="0.3">
      <c r="P446" t="s">
        <v>830</v>
      </c>
    </row>
    <row r="447" spans="16:16" x14ac:dyDescent="0.3">
      <c r="P447" t="s">
        <v>841</v>
      </c>
    </row>
    <row r="448" spans="16:16" x14ac:dyDescent="0.3">
      <c r="P448" t="s">
        <v>810</v>
      </c>
    </row>
    <row r="449" spans="16:16" x14ac:dyDescent="0.3">
      <c r="P449" t="s">
        <v>842</v>
      </c>
    </row>
    <row r="450" spans="16:16" x14ac:dyDescent="0.3">
      <c r="P450" t="s">
        <v>843</v>
      </c>
    </row>
    <row r="451" spans="16:16" x14ac:dyDescent="0.3">
      <c r="P451" t="s">
        <v>844</v>
      </c>
    </row>
    <row r="452" spans="16:16" x14ac:dyDescent="0.3">
      <c r="P452" t="s">
        <v>845</v>
      </c>
    </row>
    <row r="453" spans="16:16" x14ac:dyDescent="0.3">
      <c r="P453" t="s">
        <v>846</v>
      </c>
    </row>
    <row r="454" spans="16:16" x14ac:dyDescent="0.3">
      <c r="P454" t="s">
        <v>758</v>
      </c>
    </row>
    <row r="455" spans="16:16" x14ac:dyDescent="0.3">
      <c r="P455" t="s">
        <v>847</v>
      </c>
    </row>
    <row r="456" spans="16:16" x14ac:dyDescent="0.3">
      <c r="P456" t="s">
        <v>848</v>
      </c>
    </row>
    <row r="457" spans="16:16" x14ac:dyDescent="0.3">
      <c r="P457" t="s">
        <v>849</v>
      </c>
    </row>
    <row r="458" spans="16:16" x14ac:dyDescent="0.3">
      <c r="P458" t="s">
        <v>850</v>
      </c>
    </row>
    <row r="459" spans="16:16" x14ac:dyDescent="0.3">
      <c r="P459" t="s">
        <v>851</v>
      </c>
    </row>
    <row r="460" spans="16:16" x14ac:dyDescent="0.3">
      <c r="P460" t="s">
        <v>852</v>
      </c>
    </row>
    <row r="461" spans="16:16" x14ac:dyDescent="0.3">
      <c r="P461" t="s">
        <v>853</v>
      </c>
    </row>
    <row r="462" spans="16:16" x14ac:dyDescent="0.3">
      <c r="P462" t="s">
        <v>827</v>
      </c>
    </row>
    <row r="463" spans="16:16" x14ac:dyDescent="0.3">
      <c r="P463" t="s">
        <v>854</v>
      </c>
    </row>
    <row r="464" spans="16:16" x14ac:dyDescent="0.3">
      <c r="P464" t="s">
        <v>855</v>
      </c>
    </row>
    <row r="465" spans="16:16" x14ac:dyDescent="0.3">
      <c r="P465" t="s">
        <v>856</v>
      </c>
    </row>
    <row r="466" spans="16:16" x14ac:dyDescent="0.3">
      <c r="P466" t="s">
        <v>857</v>
      </c>
    </row>
    <row r="467" spans="16:16" x14ac:dyDescent="0.3">
      <c r="P467" t="s">
        <v>858</v>
      </c>
    </row>
    <row r="468" spans="16:16" x14ac:dyDescent="0.3">
      <c r="P468" t="s">
        <v>859</v>
      </c>
    </row>
    <row r="469" spans="16:16" x14ac:dyDescent="0.3">
      <c r="P469" t="s">
        <v>860</v>
      </c>
    </row>
    <row r="470" spans="16:16" x14ac:dyDescent="0.3">
      <c r="P470" t="s">
        <v>861</v>
      </c>
    </row>
    <row r="471" spans="16:16" x14ac:dyDescent="0.3">
      <c r="P471" t="s">
        <v>862</v>
      </c>
    </row>
    <row r="472" spans="16:16" x14ac:dyDescent="0.3">
      <c r="P472" t="s">
        <v>796</v>
      </c>
    </row>
    <row r="473" spans="16:16" x14ac:dyDescent="0.3">
      <c r="P473" t="s">
        <v>863</v>
      </c>
    </row>
    <row r="474" spans="16:16" x14ac:dyDescent="0.3">
      <c r="P474" t="s">
        <v>864</v>
      </c>
    </row>
    <row r="475" spans="16:16" x14ac:dyDescent="0.3">
      <c r="P475" t="s">
        <v>865</v>
      </c>
    </row>
    <row r="476" spans="16:16" x14ac:dyDescent="0.3">
      <c r="P476" t="s">
        <v>866</v>
      </c>
    </row>
    <row r="477" spans="16:16" x14ac:dyDescent="0.3">
      <c r="P477" t="s">
        <v>867</v>
      </c>
    </row>
    <row r="478" spans="16:16" x14ac:dyDescent="0.3">
      <c r="P478" t="s">
        <v>809</v>
      </c>
    </row>
    <row r="479" spans="16:16" x14ac:dyDescent="0.3">
      <c r="P479" t="s">
        <v>868</v>
      </c>
    </row>
    <row r="480" spans="16:16" x14ac:dyDescent="0.3">
      <c r="P480" t="s">
        <v>869</v>
      </c>
    </row>
    <row r="481" spans="16:16" x14ac:dyDescent="0.3">
      <c r="P481" t="s">
        <v>868</v>
      </c>
    </row>
    <row r="482" spans="16:16" x14ac:dyDescent="0.3">
      <c r="P482" t="s">
        <v>870</v>
      </c>
    </row>
    <row r="483" spans="16:16" x14ac:dyDescent="0.3">
      <c r="P483" t="s">
        <v>871</v>
      </c>
    </row>
    <row r="484" spans="16:16" x14ac:dyDescent="0.3">
      <c r="P484" t="s">
        <v>872</v>
      </c>
    </row>
    <row r="485" spans="16:16" x14ac:dyDescent="0.3">
      <c r="P485" t="s">
        <v>873</v>
      </c>
    </row>
    <row r="486" spans="16:16" x14ac:dyDescent="0.3">
      <c r="P486" t="s">
        <v>874</v>
      </c>
    </row>
    <row r="487" spans="16:16" x14ac:dyDescent="0.3">
      <c r="P487" t="s">
        <v>827</v>
      </c>
    </row>
    <row r="488" spans="16:16" x14ac:dyDescent="0.3">
      <c r="P488" t="s">
        <v>862</v>
      </c>
    </row>
    <row r="489" spans="16:16" x14ac:dyDescent="0.3">
      <c r="P489" t="s">
        <v>875</v>
      </c>
    </row>
    <row r="490" spans="16:16" x14ac:dyDescent="0.3">
      <c r="P490" t="s">
        <v>876</v>
      </c>
    </row>
    <row r="491" spans="16:16" x14ac:dyDescent="0.3">
      <c r="P491" t="s">
        <v>877</v>
      </c>
    </row>
    <row r="492" spans="16:16" x14ac:dyDescent="0.3">
      <c r="P492" t="s">
        <v>878</v>
      </c>
    </row>
    <row r="493" spans="16:16" x14ac:dyDescent="0.3">
      <c r="P493" t="s">
        <v>879</v>
      </c>
    </row>
    <row r="494" spans="16:16" x14ac:dyDescent="0.3">
      <c r="P494" t="s">
        <v>880</v>
      </c>
    </row>
    <row r="495" spans="16:16" x14ac:dyDescent="0.3">
      <c r="P495" t="s">
        <v>881</v>
      </c>
    </row>
    <row r="496" spans="16:16" x14ac:dyDescent="0.3">
      <c r="P496" t="s">
        <v>882</v>
      </c>
    </row>
    <row r="497" spans="16:16" x14ac:dyDescent="0.3">
      <c r="P497" t="s">
        <v>883</v>
      </c>
    </row>
    <row r="498" spans="16:16" x14ac:dyDescent="0.3">
      <c r="P498" t="s">
        <v>884</v>
      </c>
    </row>
    <row r="499" spans="16:16" x14ac:dyDescent="0.3">
      <c r="P499" t="s">
        <v>885</v>
      </c>
    </row>
    <row r="500" spans="16:16" x14ac:dyDescent="0.3">
      <c r="P500" t="s">
        <v>886</v>
      </c>
    </row>
    <row r="501" spans="16:16" x14ac:dyDescent="0.3">
      <c r="P501" t="s">
        <v>887</v>
      </c>
    </row>
    <row r="502" spans="16:16" x14ac:dyDescent="0.3">
      <c r="P502" t="s">
        <v>888</v>
      </c>
    </row>
    <row r="503" spans="16:16" x14ac:dyDescent="0.3">
      <c r="P503" t="s">
        <v>889</v>
      </c>
    </row>
    <row r="504" spans="16:16" x14ac:dyDescent="0.3">
      <c r="P504" t="s">
        <v>890</v>
      </c>
    </row>
    <row r="505" spans="16:16" x14ac:dyDescent="0.3">
      <c r="P505" t="s">
        <v>891</v>
      </c>
    </row>
    <row r="506" spans="16:16" x14ac:dyDescent="0.3">
      <c r="P506" t="s">
        <v>892</v>
      </c>
    </row>
    <row r="507" spans="16:16" x14ac:dyDescent="0.3">
      <c r="P507" t="s">
        <v>893</v>
      </c>
    </row>
    <row r="508" spans="16:16" x14ac:dyDescent="0.3">
      <c r="P508" t="s">
        <v>894</v>
      </c>
    </row>
    <row r="509" spans="16:16" x14ac:dyDescent="0.3">
      <c r="P509" t="s">
        <v>895</v>
      </c>
    </row>
    <row r="510" spans="16:16" x14ac:dyDescent="0.3">
      <c r="P510" t="s">
        <v>896</v>
      </c>
    </row>
    <row r="511" spans="16:16" x14ac:dyDescent="0.3">
      <c r="P511" t="s">
        <v>897</v>
      </c>
    </row>
    <row r="512" spans="16:16" x14ac:dyDescent="0.3">
      <c r="P512" t="s">
        <v>898</v>
      </c>
    </row>
    <row r="513" spans="16:16" x14ac:dyDescent="0.3">
      <c r="P513" t="s">
        <v>899</v>
      </c>
    </row>
    <row r="514" spans="16:16" x14ac:dyDescent="0.3">
      <c r="P514" t="s">
        <v>900</v>
      </c>
    </row>
    <row r="515" spans="16:16" x14ac:dyDescent="0.3">
      <c r="P515" t="s">
        <v>901</v>
      </c>
    </row>
    <row r="516" spans="16:16" x14ac:dyDescent="0.3">
      <c r="P516" t="s">
        <v>902</v>
      </c>
    </row>
    <row r="517" spans="16:16" x14ac:dyDescent="0.3">
      <c r="P517" t="s">
        <v>903</v>
      </c>
    </row>
    <row r="518" spans="16:16" x14ac:dyDescent="0.3">
      <c r="P518" t="s">
        <v>904</v>
      </c>
    </row>
    <row r="519" spans="16:16" x14ac:dyDescent="0.3">
      <c r="P519" t="s">
        <v>905</v>
      </c>
    </row>
    <row r="520" spans="16:16" x14ac:dyDescent="0.3">
      <c r="P520" t="s">
        <v>906</v>
      </c>
    </row>
    <row r="521" spans="16:16" x14ac:dyDescent="0.3">
      <c r="P521" t="s">
        <v>907</v>
      </c>
    </row>
    <row r="522" spans="16:16" x14ac:dyDescent="0.3">
      <c r="P522" t="s">
        <v>908</v>
      </c>
    </row>
    <row r="523" spans="16:16" x14ac:dyDescent="0.3">
      <c r="P523" t="s">
        <v>909</v>
      </c>
    </row>
    <row r="524" spans="16:16" x14ac:dyDescent="0.3">
      <c r="P524" t="s">
        <v>910</v>
      </c>
    </row>
    <row r="525" spans="16:16" x14ac:dyDescent="0.3">
      <c r="P525" t="s">
        <v>911</v>
      </c>
    </row>
    <row r="526" spans="16:16" x14ac:dyDescent="0.3">
      <c r="P526" t="s">
        <v>912</v>
      </c>
    </row>
    <row r="527" spans="16:16" x14ac:dyDescent="0.3">
      <c r="P527" t="s">
        <v>913</v>
      </c>
    </row>
    <row r="528" spans="16:16" x14ac:dyDescent="0.3">
      <c r="P528" t="s">
        <v>914</v>
      </c>
    </row>
    <row r="529" spans="16:16" x14ac:dyDescent="0.3">
      <c r="P529" t="s">
        <v>915</v>
      </c>
    </row>
    <row r="530" spans="16:16" x14ac:dyDescent="0.3">
      <c r="P530" t="s">
        <v>916</v>
      </c>
    </row>
    <row r="531" spans="16:16" x14ac:dyDescent="0.3">
      <c r="P531" t="s">
        <v>917</v>
      </c>
    </row>
    <row r="532" spans="16:16" x14ac:dyDescent="0.3">
      <c r="P532" t="s">
        <v>918</v>
      </c>
    </row>
    <row r="533" spans="16:16" x14ac:dyDescent="0.3">
      <c r="P533" t="s">
        <v>918</v>
      </c>
    </row>
    <row r="534" spans="16:16" x14ac:dyDescent="0.3">
      <c r="P534" t="s">
        <v>919</v>
      </c>
    </row>
    <row r="535" spans="16:16" x14ac:dyDescent="0.3">
      <c r="P535" t="s">
        <v>920</v>
      </c>
    </row>
    <row r="536" spans="16:16" x14ac:dyDescent="0.3">
      <c r="P536" t="s">
        <v>921</v>
      </c>
    </row>
    <row r="537" spans="16:16" x14ac:dyDescent="0.3">
      <c r="P537" t="s">
        <v>922</v>
      </c>
    </row>
    <row r="538" spans="16:16" x14ac:dyDescent="0.3">
      <c r="P538" t="s">
        <v>923</v>
      </c>
    </row>
    <row r="539" spans="16:16" x14ac:dyDescent="0.3">
      <c r="P539" t="s">
        <v>924</v>
      </c>
    </row>
    <row r="540" spans="16:16" x14ac:dyDescent="0.3">
      <c r="P540" t="s">
        <v>925</v>
      </c>
    </row>
    <row r="541" spans="16:16" x14ac:dyDescent="0.3">
      <c r="P541" t="s">
        <v>926</v>
      </c>
    </row>
    <row r="542" spans="16:16" x14ac:dyDescent="0.3">
      <c r="P542" t="s">
        <v>927</v>
      </c>
    </row>
    <row r="543" spans="16:16" x14ac:dyDescent="0.3">
      <c r="P543" t="s">
        <v>928</v>
      </c>
    </row>
    <row r="544" spans="16:16" x14ac:dyDescent="0.3">
      <c r="P544" t="s">
        <v>929</v>
      </c>
    </row>
    <row r="545" spans="16:16" x14ac:dyDescent="0.3">
      <c r="P545" t="s">
        <v>930</v>
      </c>
    </row>
    <row r="546" spans="16:16" x14ac:dyDescent="0.3">
      <c r="P546" t="s">
        <v>931</v>
      </c>
    </row>
    <row r="547" spans="16:16" x14ac:dyDescent="0.3">
      <c r="P547" t="s">
        <v>932</v>
      </c>
    </row>
    <row r="548" spans="16:16" x14ac:dyDescent="0.3">
      <c r="P548" t="s">
        <v>933</v>
      </c>
    </row>
    <row r="549" spans="16:16" x14ac:dyDescent="0.3">
      <c r="P549" t="s">
        <v>934</v>
      </c>
    </row>
    <row r="550" spans="16:16" x14ac:dyDescent="0.3">
      <c r="P550" t="s">
        <v>935</v>
      </c>
    </row>
    <row r="551" spans="16:16" x14ac:dyDescent="0.3">
      <c r="P551" t="s">
        <v>936</v>
      </c>
    </row>
    <row r="552" spans="16:16" x14ac:dyDescent="0.3">
      <c r="P552" t="s">
        <v>937</v>
      </c>
    </row>
    <row r="553" spans="16:16" x14ac:dyDescent="0.3">
      <c r="P553" t="s">
        <v>938</v>
      </c>
    </row>
    <row r="554" spans="16:16" x14ac:dyDescent="0.3">
      <c r="P554" t="s">
        <v>939</v>
      </c>
    </row>
    <row r="555" spans="16:16" x14ac:dyDescent="0.3">
      <c r="P555" t="s">
        <v>940</v>
      </c>
    </row>
    <row r="556" spans="16:16" x14ac:dyDescent="0.3">
      <c r="P556" t="s">
        <v>941</v>
      </c>
    </row>
    <row r="557" spans="16:16" x14ac:dyDescent="0.3">
      <c r="P557" t="s">
        <v>942</v>
      </c>
    </row>
    <row r="558" spans="16:16" x14ac:dyDescent="0.3">
      <c r="P558" t="s">
        <v>943</v>
      </c>
    </row>
    <row r="559" spans="16:16" x14ac:dyDescent="0.3">
      <c r="P559" t="s">
        <v>944</v>
      </c>
    </row>
    <row r="560" spans="16:16" x14ac:dyDescent="0.3">
      <c r="P560" t="s">
        <v>945</v>
      </c>
    </row>
    <row r="561" spans="16:16" x14ac:dyDescent="0.3">
      <c r="P561" t="s">
        <v>946</v>
      </c>
    </row>
    <row r="562" spans="16:16" x14ac:dyDescent="0.3">
      <c r="P562" t="s">
        <v>947</v>
      </c>
    </row>
    <row r="563" spans="16:16" x14ac:dyDescent="0.3">
      <c r="P563" t="s">
        <v>876</v>
      </c>
    </row>
    <row r="564" spans="16:16" x14ac:dyDescent="0.3">
      <c r="P564" t="s">
        <v>877</v>
      </c>
    </row>
    <row r="565" spans="16:16" x14ac:dyDescent="0.3">
      <c r="P565" t="s">
        <v>948</v>
      </c>
    </row>
    <row r="566" spans="16:16" x14ac:dyDescent="0.3">
      <c r="P566" t="s">
        <v>949</v>
      </c>
    </row>
    <row r="567" spans="16:16" x14ac:dyDescent="0.3">
      <c r="P567" t="s">
        <v>950</v>
      </c>
    </row>
    <row r="568" spans="16:16" x14ac:dyDescent="0.3">
      <c r="P568" t="s">
        <v>951</v>
      </c>
    </row>
    <row r="569" spans="16:16" x14ac:dyDescent="0.3">
      <c r="P569" t="s">
        <v>952</v>
      </c>
    </row>
    <row r="570" spans="16:16" x14ac:dyDescent="0.3">
      <c r="P570" t="s">
        <v>953</v>
      </c>
    </row>
    <row r="571" spans="16:16" x14ac:dyDescent="0.3">
      <c r="P571" t="s">
        <v>954</v>
      </c>
    </row>
    <row r="572" spans="16:16" x14ac:dyDescent="0.3">
      <c r="P572" t="s">
        <v>955</v>
      </c>
    </row>
    <row r="573" spans="16:16" x14ac:dyDescent="0.3">
      <c r="P573" t="s">
        <v>956</v>
      </c>
    </row>
    <row r="574" spans="16:16" x14ac:dyDescent="0.3">
      <c r="P574" t="s">
        <v>957</v>
      </c>
    </row>
    <row r="575" spans="16:16" x14ac:dyDescent="0.3">
      <c r="P575" t="s">
        <v>958</v>
      </c>
    </row>
    <row r="576" spans="16:16" x14ac:dyDescent="0.3">
      <c r="P576" t="s">
        <v>690</v>
      </c>
    </row>
    <row r="577" spans="16:16" x14ac:dyDescent="0.3">
      <c r="P577" t="s">
        <v>959</v>
      </c>
    </row>
    <row r="578" spans="16:16" x14ac:dyDescent="0.3">
      <c r="P578" t="s">
        <v>960</v>
      </c>
    </row>
    <row r="579" spans="16:16" x14ac:dyDescent="0.3">
      <c r="P579" t="s">
        <v>961</v>
      </c>
    </row>
    <row r="580" spans="16:16" x14ac:dyDescent="0.3">
      <c r="P580" t="s">
        <v>962</v>
      </c>
    </row>
    <row r="581" spans="16:16" x14ac:dyDescent="0.3">
      <c r="P581" t="s">
        <v>963</v>
      </c>
    </row>
    <row r="582" spans="16:16" x14ac:dyDescent="0.3">
      <c r="P582" t="s">
        <v>964</v>
      </c>
    </row>
    <row r="583" spans="16:16" x14ac:dyDescent="0.3">
      <c r="P583" t="s">
        <v>965</v>
      </c>
    </row>
    <row r="584" spans="16:16" x14ac:dyDescent="0.3">
      <c r="P584" t="s">
        <v>966</v>
      </c>
    </row>
    <row r="585" spans="16:16" x14ac:dyDescent="0.3">
      <c r="P585" t="s">
        <v>967</v>
      </c>
    </row>
    <row r="586" spans="16:16" x14ac:dyDescent="0.3">
      <c r="P586" t="s">
        <v>808</v>
      </c>
    </row>
    <row r="587" spans="16:16" x14ac:dyDescent="0.3">
      <c r="P587" t="s">
        <v>828</v>
      </c>
    </row>
    <row r="588" spans="16:16" x14ac:dyDescent="0.3">
      <c r="P588" t="s">
        <v>968</v>
      </c>
    </row>
    <row r="589" spans="16:16" x14ac:dyDescent="0.3">
      <c r="P589" t="s">
        <v>969</v>
      </c>
    </row>
    <row r="590" spans="16:16" x14ac:dyDescent="0.3">
      <c r="P590" t="s">
        <v>970</v>
      </c>
    </row>
    <row r="591" spans="16:16" x14ac:dyDescent="0.3">
      <c r="P591" t="s">
        <v>971</v>
      </c>
    </row>
    <row r="592" spans="16:16" x14ac:dyDescent="0.3">
      <c r="P592" t="s">
        <v>972</v>
      </c>
    </row>
    <row r="593" spans="16:16" x14ac:dyDescent="0.3">
      <c r="P593" t="s">
        <v>973</v>
      </c>
    </row>
    <row r="594" spans="16:16" x14ac:dyDescent="0.3">
      <c r="P594" t="s">
        <v>974</v>
      </c>
    </row>
    <row r="595" spans="16:16" x14ac:dyDescent="0.3">
      <c r="P595" t="s">
        <v>975</v>
      </c>
    </row>
    <row r="596" spans="16:16" x14ac:dyDescent="0.3">
      <c r="P596" t="s">
        <v>976</v>
      </c>
    </row>
    <row r="597" spans="16:16" x14ac:dyDescent="0.3">
      <c r="P597" t="s">
        <v>977</v>
      </c>
    </row>
    <row r="598" spans="16:16" x14ac:dyDescent="0.3">
      <c r="P598" t="s">
        <v>978</v>
      </c>
    </row>
    <row r="599" spans="16:16" x14ac:dyDescent="0.3">
      <c r="P599" t="s">
        <v>979</v>
      </c>
    </row>
    <row r="600" spans="16:16" x14ac:dyDescent="0.3">
      <c r="P600" t="s">
        <v>980</v>
      </c>
    </row>
    <row r="601" spans="16:16" x14ac:dyDescent="0.3">
      <c r="P601" t="s">
        <v>981</v>
      </c>
    </row>
    <row r="602" spans="16:16" x14ac:dyDescent="0.3">
      <c r="P602" t="s">
        <v>982</v>
      </c>
    </row>
    <row r="603" spans="16:16" x14ac:dyDescent="0.3">
      <c r="P603" t="s">
        <v>983</v>
      </c>
    </row>
    <row r="604" spans="16:16" x14ac:dyDescent="0.3">
      <c r="P604" t="s">
        <v>984</v>
      </c>
    </row>
    <row r="605" spans="16:16" x14ac:dyDescent="0.3">
      <c r="P605" t="s">
        <v>985</v>
      </c>
    </row>
    <row r="606" spans="16:16" x14ac:dyDescent="0.3">
      <c r="P606" t="s">
        <v>986</v>
      </c>
    </row>
    <row r="607" spans="16:16" x14ac:dyDescent="0.3">
      <c r="P607" t="s">
        <v>987</v>
      </c>
    </row>
    <row r="608" spans="16:16" x14ac:dyDescent="0.3">
      <c r="P608" t="s">
        <v>988</v>
      </c>
    </row>
    <row r="609" spans="16:16" x14ac:dyDescent="0.3">
      <c r="P609" t="s">
        <v>989</v>
      </c>
    </row>
    <row r="610" spans="16:16" x14ac:dyDescent="0.3">
      <c r="P610" t="s">
        <v>990</v>
      </c>
    </row>
    <row r="611" spans="16:16" x14ac:dyDescent="0.3">
      <c r="P611" t="s">
        <v>991</v>
      </c>
    </row>
    <row r="612" spans="16:16" x14ac:dyDescent="0.3">
      <c r="P612" t="s">
        <v>992</v>
      </c>
    </row>
    <row r="613" spans="16:16" x14ac:dyDescent="0.3">
      <c r="P613" t="s">
        <v>993</v>
      </c>
    </row>
    <row r="614" spans="16:16" x14ac:dyDescent="0.3">
      <c r="P614" t="s">
        <v>994</v>
      </c>
    </row>
    <row r="615" spans="16:16" x14ac:dyDescent="0.3">
      <c r="P615" t="s">
        <v>995</v>
      </c>
    </row>
    <row r="616" spans="16:16" x14ac:dyDescent="0.3">
      <c r="P616" t="s">
        <v>996</v>
      </c>
    </row>
    <row r="617" spans="16:16" x14ac:dyDescent="0.3">
      <c r="P617" t="s">
        <v>997</v>
      </c>
    </row>
    <row r="618" spans="16:16" x14ac:dyDescent="0.3">
      <c r="P618" t="s">
        <v>998</v>
      </c>
    </row>
    <row r="619" spans="16:16" x14ac:dyDescent="0.3">
      <c r="P619" t="s">
        <v>999</v>
      </c>
    </row>
    <row r="620" spans="16:16" x14ac:dyDescent="0.3">
      <c r="P620" t="s">
        <v>1000</v>
      </c>
    </row>
    <row r="621" spans="16:16" x14ac:dyDescent="0.3">
      <c r="P621" t="s">
        <v>1001</v>
      </c>
    </row>
    <row r="622" spans="16:16" x14ac:dyDescent="0.3">
      <c r="P622" t="s">
        <v>1002</v>
      </c>
    </row>
    <row r="623" spans="16:16" x14ac:dyDescent="0.3">
      <c r="P623" t="s">
        <v>1003</v>
      </c>
    </row>
    <row r="624" spans="16:16" x14ac:dyDescent="0.3">
      <c r="P624" t="s">
        <v>1004</v>
      </c>
    </row>
    <row r="625" spans="16:16" x14ac:dyDescent="0.3">
      <c r="P625" t="s">
        <v>1005</v>
      </c>
    </row>
    <row r="626" spans="16:16" x14ac:dyDescent="0.3">
      <c r="P626" t="s">
        <v>1006</v>
      </c>
    </row>
    <row r="627" spans="16:16" x14ac:dyDescent="0.3">
      <c r="P627" t="s">
        <v>1007</v>
      </c>
    </row>
    <row r="628" spans="16:16" x14ac:dyDescent="0.3">
      <c r="P628" t="s">
        <v>495</v>
      </c>
    </row>
    <row r="629" spans="16:16" x14ac:dyDescent="0.3">
      <c r="P629" t="s">
        <v>1008</v>
      </c>
    </row>
    <row r="630" spans="16:16" x14ac:dyDescent="0.3">
      <c r="P630" t="s">
        <v>994</v>
      </c>
    </row>
    <row r="631" spans="16:16" x14ac:dyDescent="0.3">
      <c r="P631" t="s">
        <v>1009</v>
      </c>
    </row>
    <row r="632" spans="16:16" x14ac:dyDescent="0.3">
      <c r="P632" t="s">
        <v>993</v>
      </c>
    </row>
    <row r="633" spans="16:16" x14ac:dyDescent="0.3">
      <c r="P633" t="s">
        <v>1010</v>
      </c>
    </row>
    <row r="634" spans="16:16" x14ac:dyDescent="0.3">
      <c r="P634" t="s">
        <v>1011</v>
      </c>
    </row>
    <row r="635" spans="16:16" x14ac:dyDescent="0.3">
      <c r="P635" t="s">
        <v>1012</v>
      </c>
    </row>
    <row r="636" spans="16:16" x14ac:dyDescent="0.3">
      <c r="P636" t="s">
        <v>1013</v>
      </c>
    </row>
    <row r="637" spans="16:16" x14ac:dyDescent="0.3">
      <c r="P637" t="s">
        <v>1014</v>
      </c>
    </row>
    <row r="638" spans="16:16" x14ac:dyDescent="0.3">
      <c r="P638" t="s">
        <v>1015</v>
      </c>
    </row>
    <row r="639" spans="16:16" x14ac:dyDescent="0.3">
      <c r="P639" t="s">
        <v>1016</v>
      </c>
    </row>
    <row r="640" spans="16:16" x14ac:dyDescent="0.3">
      <c r="P640" t="s">
        <v>1017</v>
      </c>
    </row>
    <row r="641" spans="16:16" x14ac:dyDescent="0.3">
      <c r="P641" t="s">
        <v>1018</v>
      </c>
    </row>
    <row r="642" spans="16:16" x14ac:dyDescent="0.3">
      <c r="P642" t="s">
        <v>1019</v>
      </c>
    </row>
    <row r="643" spans="16:16" x14ac:dyDescent="0.3">
      <c r="P643" t="s">
        <v>1020</v>
      </c>
    </row>
    <row r="644" spans="16:16" x14ac:dyDescent="0.3">
      <c r="P644" t="s">
        <v>1021</v>
      </c>
    </row>
    <row r="645" spans="16:16" x14ac:dyDescent="0.3">
      <c r="P645" t="s">
        <v>1022</v>
      </c>
    </row>
    <row r="646" spans="16:16" x14ac:dyDescent="0.3">
      <c r="P646" t="s">
        <v>1023</v>
      </c>
    </row>
    <row r="647" spans="16:16" x14ac:dyDescent="0.3">
      <c r="P647" t="s">
        <v>1024</v>
      </c>
    </row>
    <row r="648" spans="16:16" x14ac:dyDescent="0.3">
      <c r="P648" t="s">
        <v>1025</v>
      </c>
    </row>
    <row r="649" spans="16:16" x14ac:dyDescent="0.3">
      <c r="P649" t="s">
        <v>1026</v>
      </c>
    </row>
    <row r="650" spans="16:16" x14ac:dyDescent="0.3">
      <c r="P650" t="s">
        <v>1027</v>
      </c>
    </row>
    <row r="651" spans="16:16" x14ac:dyDescent="0.3">
      <c r="P651" t="s">
        <v>1028</v>
      </c>
    </row>
    <row r="652" spans="16:16" x14ac:dyDescent="0.3">
      <c r="P652" t="s">
        <v>1029</v>
      </c>
    </row>
    <row r="653" spans="16:16" x14ac:dyDescent="0.3">
      <c r="P653" t="s">
        <v>1030</v>
      </c>
    </row>
    <row r="654" spans="16:16" x14ac:dyDescent="0.3">
      <c r="P654" t="s">
        <v>984</v>
      </c>
    </row>
    <row r="655" spans="16:16" x14ac:dyDescent="0.3">
      <c r="P655" t="s">
        <v>1031</v>
      </c>
    </row>
    <row r="656" spans="16:16" x14ac:dyDescent="0.3">
      <c r="P656" t="s">
        <v>1032</v>
      </c>
    </row>
    <row r="657" spans="16:16" x14ac:dyDescent="0.3">
      <c r="P657" t="s">
        <v>1033</v>
      </c>
    </row>
    <row r="658" spans="16:16" x14ac:dyDescent="0.3">
      <c r="P658" t="s">
        <v>1034</v>
      </c>
    </row>
    <row r="659" spans="16:16" x14ac:dyDescent="0.3">
      <c r="P659" t="s">
        <v>1035</v>
      </c>
    </row>
    <row r="660" spans="16:16" x14ac:dyDescent="0.3">
      <c r="P660" t="s">
        <v>1036</v>
      </c>
    </row>
    <row r="661" spans="16:16" x14ac:dyDescent="0.3">
      <c r="P661" t="s">
        <v>1037</v>
      </c>
    </row>
    <row r="662" spans="16:16" x14ac:dyDescent="0.3">
      <c r="P662" t="s">
        <v>1038</v>
      </c>
    </row>
    <row r="663" spans="16:16" x14ac:dyDescent="0.3">
      <c r="P663" t="s">
        <v>1039</v>
      </c>
    </row>
    <row r="664" spans="16:16" x14ac:dyDescent="0.3">
      <c r="P664" t="s">
        <v>1040</v>
      </c>
    </row>
    <row r="665" spans="16:16" x14ac:dyDescent="0.3">
      <c r="P665" t="s">
        <v>1041</v>
      </c>
    </row>
    <row r="666" spans="16:16" x14ac:dyDescent="0.3">
      <c r="P666" t="s">
        <v>1042</v>
      </c>
    </row>
    <row r="667" spans="16:16" x14ac:dyDescent="0.3">
      <c r="P667" t="s">
        <v>1043</v>
      </c>
    </row>
    <row r="668" spans="16:16" x14ac:dyDescent="0.3">
      <c r="P668" t="s">
        <v>1044</v>
      </c>
    </row>
    <row r="669" spans="16:16" x14ac:dyDescent="0.3">
      <c r="P669" t="s">
        <v>1045</v>
      </c>
    </row>
    <row r="670" spans="16:16" x14ac:dyDescent="0.3">
      <c r="P670" t="s">
        <v>1046</v>
      </c>
    </row>
    <row r="671" spans="16:16" x14ac:dyDescent="0.3">
      <c r="P671" t="s">
        <v>1047</v>
      </c>
    </row>
    <row r="672" spans="16:16" x14ac:dyDescent="0.3">
      <c r="P672" t="s">
        <v>1048</v>
      </c>
    </row>
    <row r="673" spans="16:16" x14ac:dyDescent="0.3">
      <c r="P673" t="s">
        <v>1049</v>
      </c>
    </row>
    <row r="674" spans="16:16" x14ac:dyDescent="0.3">
      <c r="P674" t="s">
        <v>1050</v>
      </c>
    </row>
    <row r="675" spans="16:16" x14ac:dyDescent="0.3">
      <c r="P675" t="s">
        <v>1051</v>
      </c>
    </row>
    <row r="676" spans="16:16" x14ac:dyDescent="0.3">
      <c r="P676" t="s">
        <v>1052</v>
      </c>
    </row>
    <row r="677" spans="16:16" x14ac:dyDescent="0.3">
      <c r="P677" t="s">
        <v>1053</v>
      </c>
    </row>
    <row r="678" spans="16:16" x14ac:dyDescent="0.3">
      <c r="P678" t="s">
        <v>1054</v>
      </c>
    </row>
    <row r="679" spans="16:16" x14ac:dyDescent="0.3">
      <c r="P679" t="s">
        <v>1055</v>
      </c>
    </row>
    <row r="680" spans="16:16" x14ac:dyDescent="0.3">
      <c r="P680" t="s">
        <v>1056</v>
      </c>
    </row>
    <row r="681" spans="16:16" x14ac:dyDescent="0.3">
      <c r="P681" t="s">
        <v>1057</v>
      </c>
    </row>
    <row r="682" spans="16:16" x14ac:dyDescent="0.3">
      <c r="P682" t="s">
        <v>819</v>
      </c>
    </row>
    <row r="683" spans="16:16" x14ac:dyDescent="0.3">
      <c r="P683" t="s">
        <v>1058</v>
      </c>
    </row>
    <row r="684" spans="16:16" x14ac:dyDescent="0.3">
      <c r="P684" t="s">
        <v>1059</v>
      </c>
    </row>
    <row r="685" spans="16:16" x14ac:dyDescent="0.3">
      <c r="P685" t="s">
        <v>1060</v>
      </c>
    </row>
    <row r="686" spans="16:16" x14ac:dyDescent="0.3">
      <c r="P686" t="s">
        <v>1061</v>
      </c>
    </row>
    <row r="687" spans="16:16" x14ac:dyDescent="0.3">
      <c r="P687" t="s">
        <v>1062</v>
      </c>
    </row>
    <row r="688" spans="16:16" x14ac:dyDescent="0.3">
      <c r="P688" t="s">
        <v>819</v>
      </c>
    </row>
    <row r="689" spans="16:16" x14ac:dyDescent="0.3">
      <c r="P689" t="s">
        <v>1063</v>
      </c>
    </row>
    <row r="690" spans="16:16" x14ac:dyDescent="0.3">
      <c r="P690" t="s">
        <v>1057</v>
      </c>
    </row>
    <row r="691" spans="16:16" x14ac:dyDescent="0.3">
      <c r="P691" t="s">
        <v>1064</v>
      </c>
    </row>
    <row r="692" spans="16:16" x14ac:dyDescent="0.3">
      <c r="P692" t="s">
        <v>819</v>
      </c>
    </row>
    <row r="693" spans="16:16" x14ac:dyDescent="0.3">
      <c r="P693" t="s">
        <v>1065</v>
      </c>
    </row>
    <row r="694" spans="16:16" x14ac:dyDescent="0.3">
      <c r="P694" t="s">
        <v>1066</v>
      </c>
    </row>
    <row r="695" spans="16:16" x14ac:dyDescent="0.3">
      <c r="P695" t="s">
        <v>1052</v>
      </c>
    </row>
    <row r="696" spans="16:16" x14ac:dyDescent="0.3">
      <c r="P696" t="s">
        <v>1054</v>
      </c>
    </row>
    <row r="697" spans="16:16" x14ac:dyDescent="0.3">
      <c r="P697" t="s">
        <v>1067</v>
      </c>
    </row>
    <row r="698" spans="16:16" x14ac:dyDescent="0.3">
      <c r="P698" t="s">
        <v>1068</v>
      </c>
    </row>
    <row r="699" spans="16:16" x14ac:dyDescent="0.3">
      <c r="P699" t="s">
        <v>1069</v>
      </c>
    </row>
    <row r="700" spans="16:16" x14ac:dyDescent="0.3">
      <c r="P700" t="s">
        <v>1070</v>
      </c>
    </row>
    <row r="701" spans="16:16" x14ac:dyDescent="0.3">
      <c r="P701" t="s">
        <v>1071</v>
      </c>
    </row>
    <row r="702" spans="16:16" x14ac:dyDescent="0.3">
      <c r="P702" t="s">
        <v>1072</v>
      </c>
    </row>
    <row r="703" spans="16:16" x14ac:dyDescent="0.3">
      <c r="P703" t="s">
        <v>1072</v>
      </c>
    </row>
    <row r="704" spans="16:16" x14ac:dyDescent="0.3">
      <c r="P704" t="s">
        <v>1073</v>
      </c>
    </row>
    <row r="705" spans="16:16" x14ac:dyDescent="0.3">
      <c r="P705" t="s">
        <v>1074</v>
      </c>
    </row>
    <row r="706" spans="16:16" x14ac:dyDescent="0.3">
      <c r="P706" t="s">
        <v>1075</v>
      </c>
    </row>
    <row r="707" spans="16:16" x14ac:dyDescent="0.3">
      <c r="P707" t="s">
        <v>1060</v>
      </c>
    </row>
    <row r="708" spans="16:16" x14ac:dyDescent="0.3">
      <c r="P708" t="s">
        <v>1076</v>
      </c>
    </row>
    <row r="709" spans="16:16" x14ac:dyDescent="0.3">
      <c r="P709" t="s">
        <v>1074</v>
      </c>
    </row>
    <row r="710" spans="16:16" x14ac:dyDescent="0.3">
      <c r="P710" t="s">
        <v>1077</v>
      </c>
    </row>
    <row r="711" spans="16:16" x14ac:dyDescent="0.3">
      <c r="P711" t="s">
        <v>1078</v>
      </c>
    </row>
    <row r="712" spans="16:16" x14ac:dyDescent="0.3">
      <c r="P712" t="s">
        <v>1079</v>
      </c>
    </row>
    <row r="713" spans="16:16" x14ac:dyDescent="0.3">
      <c r="P713" t="s">
        <v>1080</v>
      </c>
    </row>
    <row r="714" spans="16:16" x14ac:dyDescent="0.3">
      <c r="P714" t="s">
        <v>1081</v>
      </c>
    </row>
    <row r="715" spans="16:16" x14ac:dyDescent="0.3">
      <c r="P715" t="s">
        <v>1082</v>
      </c>
    </row>
    <row r="716" spans="16:16" x14ac:dyDescent="0.3">
      <c r="P716" t="s">
        <v>1083</v>
      </c>
    </row>
    <row r="717" spans="16:16" x14ac:dyDescent="0.3">
      <c r="P717" t="s">
        <v>1084</v>
      </c>
    </row>
    <row r="718" spans="16:16" x14ac:dyDescent="0.3">
      <c r="P718" t="s">
        <v>1083</v>
      </c>
    </row>
    <row r="719" spans="16:16" x14ac:dyDescent="0.3">
      <c r="P719" t="s">
        <v>1085</v>
      </c>
    </row>
    <row r="720" spans="16:16" x14ac:dyDescent="0.3">
      <c r="P720" t="s">
        <v>1086</v>
      </c>
    </row>
    <row r="721" spans="16:16" x14ac:dyDescent="0.3">
      <c r="P721" t="s">
        <v>1087</v>
      </c>
    </row>
    <row r="722" spans="16:16" x14ac:dyDescent="0.3">
      <c r="P722" t="s">
        <v>1088</v>
      </c>
    </row>
    <row r="723" spans="16:16" x14ac:dyDescent="0.3">
      <c r="P723" t="s">
        <v>1089</v>
      </c>
    </row>
    <row r="724" spans="16:16" x14ac:dyDescent="0.3">
      <c r="P724" t="s">
        <v>1090</v>
      </c>
    </row>
    <row r="725" spans="16:16" x14ac:dyDescent="0.3">
      <c r="P725" t="s">
        <v>1091</v>
      </c>
    </row>
    <row r="726" spans="16:16" x14ac:dyDescent="0.3">
      <c r="P726" t="s">
        <v>1092</v>
      </c>
    </row>
    <row r="727" spans="16:16" x14ac:dyDescent="0.3">
      <c r="P727" t="s">
        <v>1093</v>
      </c>
    </row>
    <row r="728" spans="16:16" x14ac:dyDescent="0.3">
      <c r="P728" t="s">
        <v>1094</v>
      </c>
    </row>
    <row r="729" spans="16:16" x14ac:dyDescent="0.3">
      <c r="P729" t="s">
        <v>1095</v>
      </c>
    </row>
    <row r="730" spans="16:16" x14ac:dyDescent="0.3">
      <c r="P730" t="s">
        <v>1096</v>
      </c>
    </row>
    <row r="731" spans="16:16" x14ac:dyDescent="0.3">
      <c r="P731" t="s">
        <v>1081</v>
      </c>
    </row>
    <row r="732" spans="16:16" x14ac:dyDescent="0.3">
      <c r="P732" t="s">
        <v>1097</v>
      </c>
    </row>
    <row r="733" spans="16:16" x14ac:dyDescent="0.3">
      <c r="P733" t="s">
        <v>1098</v>
      </c>
    </row>
    <row r="734" spans="16:16" x14ac:dyDescent="0.3">
      <c r="P734" t="s">
        <v>1099</v>
      </c>
    </row>
    <row r="735" spans="16:16" x14ac:dyDescent="0.3">
      <c r="P735" t="s">
        <v>870</v>
      </c>
    </row>
    <row r="736" spans="16:16" x14ac:dyDescent="0.3">
      <c r="P736" t="s">
        <v>1100</v>
      </c>
    </row>
    <row r="737" spans="16:16" x14ac:dyDescent="0.3">
      <c r="P737" t="s">
        <v>1101</v>
      </c>
    </row>
    <row r="738" spans="16:16" x14ac:dyDescent="0.3">
      <c r="P738" t="s">
        <v>1094</v>
      </c>
    </row>
    <row r="739" spans="16:16" x14ac:dyDescent="0.3">
      <c r="P739" t="s">
        <v>1102</v>
      </c>
    </row>
    <row r="740" spans="16:16" x14ac:dyDescent="0.3">
      <c r="P740" t="s">
        <v>1103</v>
      </c>
    </row>
    <row r="741" spans="16:16" x14ac:dyDescent="0.3">
      <c r="P741" t="s">
        <v>1097</v>
      </c>
    </row>
    <row r="742" spans="16:16" x14ac:dyDescent="0.3">
      <c r="P742" t="s">
        <v>1104</v>
      </c>
    </row>
    <row r="743" spans="16:16" x14ac:dyDescent="0.3">
      <c r="P743" t="s">
        <v>1093</v>
      </c>
    </row>
    <row r="744" spans="16:16" x14ac:dyDescent="0.3">
      <c r="P744" t="s">
        <v>1105</v>
      </c>
    </row>
    <row r="745" spans="16:16" x14ac:dyDescent="0.3">
      <c r="P745" t="s">
        <v>1106</v>
      </c>
    </row>
    <row r="746" spans="16:16" x14ac:dyDescent="0.3">
      <c r="P746" t="s">
        <v>1001</v>
      </c>
    </row>
    <row r="747" spans="16:16" x14ac:dyDescent="0.3">
      <c r="P747" t="s">
        <v>1093</v>
      </c>
    </row>
    <row r="748" spans="16:16" x14ac:dyDescent="0.3">
      <c r="P748" t="s">
        <v>1079</v>
      </c>
    </row>
    <row r="749" spans="16:16" x14ac:dyDescent="0.3">
      <c r="P749" t="s">
        <v>1087</v>
      </c>
    </row>
    <row r="750" spans="16:16" x14ac:dyDescent="0.3">
      <c r="P750" t="s">
        <v>1107</v>
      </c>
    </row>
    <row r="751" spans="16:16" x14ac:dyDescent="0.3">
      <c r="P751" t="s">
        <v>1108</v>
      </c>
    </row>
    <row r="752" spans="16:16" x14ac:dyDescent="0.3">
      <c r="P752" t="s">
        <v>1109</v>
      </c>
    </row>
    <row r="753" spans="16:16" x14ac:dyDescent="0.3">
      <c r="P753" t="s">
        <v>1110</v>
      </c>
    </row>
    <row r="754" spans="16:16" x14ac:dyDescent="0.3">
      <c r="P754" t="s">
        <v>1111</v>
      </c>
    </row>
    <row r="755" spans="16:16" x14ac:dyDescent="0.3">
      <c r="P755" t="s">
        <v>1112</v>
      </c>
    </row>
    <row r="756" spans="16:16" x14ac:dyDescent="0.3">
      <c r="P756" t="s">
        <v>1098</v>
      </c>
    </row>
    <row r="757" spans="16:16" x14ac:dyDescent="0.3">
      <c r="P757" t="s">
        <v>1113</v>
      </c>
    </row>
    <row r="758" spans="16:16" x14ac:dyDescent="0.3">
      <c r="P758" t="s">
        <v>1114</v>
      </c>
    </row>
    <row r="759" spans="16:16" x14ac:dyDescent="0.3">
      <c r="P759" t="s">
        <v>1115</v>
      </c>
    </row>
    <row r="760" spans="16:16" x14ac:dyDescent="0.3">
      <c r="P760" t="s">
        <v>1116</v>
      </c>
    </row>
    <row r="761" spans="16:16" x14ac:dyDescent="0.3">
      <c r="P761" t="s">
        <v>1117</v>
      </c>
    </row>
    <row r="762" spans="16:16" x14ac:dyDescent="0.3">
      <c r="P762" t="s">
        <v>1118</v>
      </c>
    </row>
    <row r="763" spans="16:16" x14ac:dyDescent="0.3">
      <c r="P763" t="s">
        <v>1119</v>
      </c>
    </row>
    <row r="764" spans="16:16" x14ac:dyDescent="0.3">
      <c r="P764" t="s">
        <v>1120</v>
      </c>
    </row>
    <row r="765" spans="16:16" x14ac:dyDescent="0.3">
      <c r="P765" t="s">
        <v>1121</v>
      </c>
    </row>
    <row r="766" spans="16:16" x14ac:dyDescent="0.3">
      <c r="P766" t="s">
        <v>1122</v>
      </c>
    </row>
    <row r="767" spans="16:16" x14ac:dyDescent="0.3">
      <c r="P767" t="s">
        <v>1123</v>
      </c>
    </row>
    <row r="768" spans="16:16" x14ac:dyDescent="0.3">
      <c r="P768" t="s">
        <v>1124</v>
      </c>
    </row>
    <row r="769" spans="16:16" x14ac:dyDescent="0.3">
      <c r="P769" t="s">
        <v>1125</v>
      </c>
    </row>
    <row r="770" spans="16:16" x14ac:dyDescent="0.3">
      <c r="P770" t="s">
        <v>1126</v>
      </c>
    </row>
    <row r="771" spans="16:16" x14ac:dyDescent="0.3">
      <c r="P771" t="s">
        <v>1127</v>
      </c>
    </row>
    <row r="772" spans="16:16" x14ac:dyDescent="0.3">
      <c r="P772" t="s">
        <v>1128</v>
      </c>
    </row>
    <row r="773" spans="16:16" x14ac:dyDescent="0.3">
      <c r="P773" t="s">
        <v>1129</v>
      </c>
    </row>
    <row r="774" spans="16:16" x14ac:dyDescent="0.3">
      <c r="P774" t="s">
        <v>1130</v>
      </c>
    </row>
    <row r="775" spans="16:16" x14ac:dyDescent="0.3">
      <c r="P775" t="s">
        <v>1131</v>
      </c>
    </row>
    <row r="776" spans="16:16" x14ac:dyDescent="0.3">
      <c r="P776" t="s">
        <v>1132</v>
      </c>
    </row>
    <row r="777" spans="16:16" x14ac:dyDescent="0.3">
      <c r="P777" t="s">
        <v>1133</v>
      </c>
    </row>
    <row r="778" spans="16:16" x14ac:dyDescent="0.3">
      <c r="P778" t="s">
        <v>1134</v>
      </c>
    </row>
    <row r="779" spans="16:16" x14ac:dyDescent="0.3">
      <c r="P779" t="s">
        <v>1135</v>
      </c>
    </row>
    <row r="780" spans="16:16" x14ac:dyDescent="0.3">
      <c r="P780" t="s">
        <v>1136</v>
      </c>
    </row>
    <row r="781" spans="16:16" x14ac:dyDescent="0.3">
      <c r="P781" t="s">
        <v>1137</v>
      </c>
    </row>
    <row r="782" spans="16:16" x14ac:dyDescent="0.3">
      <c r="P782" t="s">
        <v>1138</v>
      </c>
    </row>
    <row r="783" spans="16:16" x14ac:dyDescent="0.3">
      <c r="P783" t="s">
        <v>1139</v>
      </c>
    </row>
    <row r="784" spans="16:16" x14ac:dyDescent="0.3">
      <c r="P784" t="s">
        <v>1140</v>
      </c>
    </row>
    <row r="785" spans="16:16" x14ac:dyDescent="0.3">
      <c r="P785" t="s">
        <v>1141</v>
      </c>
    </row>
    <row r="786" spans="16:16" x14ac:dyDescent="0.3">
      <c r="P786" t="s">
        <v>1142</v>
      </c>
    </row>
    <row r="787" spans="16:16" x14ac:dyDescent="0.3">
      <c r="P787" t="s">
        <v>1143</v>
      </c>
    </row>
    <row r="788" spans="16:16" x14ac:dyDescent="0.3">
      <c r="P788" t="s">
        <v>1144</v>
      </c>
    </row>
    <row r="789" spans="16:16" x14ac:dyDescent="0.3">
      <c r="P789" t="s">
        <v>1141</v>
      </c>
    </row>
    <row r="790" spans="16:16" x14ac:dyDescent="0.3">
      <c r="P790" t="s">
        <v>1145</v>
      </c>
    </row>
    <row r="791" spans="16:16" x14ac:dyDescent="0.3">
      <c r="P791" t="s">
        <v>1146</v>
      </c>
    </row>
    <row r="792" spans="16:16" x14ac:dyDescent="0.3">
      <c r="P792" t="s">
        <v>1147</v>
      </c>
    </row>
    <row r="793" spans="16:16" x14ac:dyDescent="0.3">
      <c r="P793" t="s">
        <v>1148</v>
      </c>
    </row>
    <row r="794" spans="16:16" x14ac:dyDescent="0.3">
      <c r="P794" t="s">
        <v>1149</v>
      </c>
    </row>
    <row r="795" spans="16:16" x14ac:dyDescent="0.3">
      <c r="P795" t="s">
        <v>1150</v>
      </c>
    </row>
    <row r="796" spans="16:16" x14ac:dyDescent="0.3">
      <c r="P796" t="s">
        <v>1151</v>
      </c>
    </row>
    <row r="797" spans="16:16" x14ac:dyDescent="0.3">
      <c r="P797" t="s">
        <v>1152</v>
      </c>
    </row>
    <row r="798" spans="16:16" x14ac:dyDescent="0.3">
      <c r="P798" t="s">
        <v>1153</v>
      </c>
    </row>
    <row r="799" spans="16:16" x14ac:dyDescent="0.3">
      <c r="P799" t="s">
        <v>1154</v>
      </c>
    </row>
    <row r="800" spans="16:16" x14ac:dyDescent="0.3">
      <c r="P800" t="s">
        <v>1155</v>
      </c>
    </row>
    <row r="801" spans="16:16" x14ac:dyDescent="0.3">
      <c r="P801" t="s">
        <v>1156</v>
      </c>
    </row>
    <row r="802" spans="16:16" x14ac:dyDescent="0.3">
      <c r="P802" t="s">
        <v>1157</v>
      </c>
    </row>
    <row r="803" spans="16:16" x14ac:dyDescent="0.3">
      <c r="P803" t="s">
        <v>1158</v>
      </c>
    </row>
    <row r="804" spans="16:16" x14ac:dyDescent="0.3">
      <c r="P804" t="s">
        <v>1159</v>
      </c>
    </row>
    <row r="805" spans="16:16" x14ac:dyDescent="0.3">
      <c r="P805" t="s">
        <v>1159</v>
      </c>
    </row>
    <row r="806" spans="16:16" x14ac:dyDescent="0.3">
      <c r="P806" t="s">
        <v>1159</v>
      </c>
    </row>
    <row r="807" spans="16:16" x14ac:dyDescent="0.3">
      <c r="P807" t="s">
        <v>1160</v>
      </c>
    </row>
    <row r="808" spans="16:16" x14ac:dyDescent="0.3">
      <c r="P808" t="s">
        <v>1161</v>
      </c>
    </row>
    <row r="809" spans="16:16" x14ac:dyDescent="0.3">
      <c r="P809" t="s">
        <v>1162</v>
      </c>
    </row>
    <row r="810" spans="16:16" x14ac:dyDescent="0.3">
      <c r="P810" t="s">
        <v>1163</v>
      </c>
    </row>
    <row r="811" spans="16:16" x14ac:dyDescent="0.3">
      <c r="P811" t="s">
        <v>1164</v>
      </c>
    </row>
    <row r="812" spans="16:16" x14ac:dyDescent="0.3">
      <c r="P812" t="s">
        <v>1165</v>
      </c>
    </row>
    <row r="813" spans="16:16" x14ac:dyDescent="0.3">
      <c r="P813" t="s">
        <v>1166</v>
      </c>
    </row>
    <row r="814" spans="16:16" x14ac:dyDescent="0.3">
      <c r="P814" t="s">
        <v>1167</v>
      </c>
    </row>
    <row r="815" spans="16:16" x14ac:dyDescent="0.3">
      <c r="P815" t="s">
        <v>1168</v>
      </c>
    </row>
    <row r="816" spans="16:16" x14ac:dyDescent="0.3">
      <c r="P816" t="s">
        <v>1169</v>
      </c>
    </row>
    <row r="817" spans="16:16" x14ac:dyDescent="0.3">
      <c r="P817" t="s">
        <v>1170</v>
      </c>
    </row>
    <row r="818" spans="16:16" x14ac:dyDescent="0.3">
      <c r="P818" t="s">
        <v>1171</v>
      </c>
    </row>
    <row r="819" spans="16:16" x14ac:dyDescent="0.3">
      <c r="P819" t="s">
        <v>1172</v>
      </c>
    </row>
    <row r="820" spans="16:16" x14ac:dyDescent="0.3">
      <c r="P820" t="s">
        <v>1173</v>
      </c>
    </row>
    <row r="821" spans="16:16" x14ac:dyDescent="0.3">
      <c r="P821" t="s">
        <v>1172</v>
      </c>
    </row>
    <row r="822" spans="16:16" x14ac:dyDescent="0.3">
      <c r="P822" t="s">
        <v>1174</v>
      </c>
    </row>
    <row r="823" spans="16:16" x14ac:dyDescent="0.3">
      <c r="P823" t="s">
        <v>1175</v>
      </c>
    </row>
    <row r="824" spans="16:16" x14ac:dyDescent="0.3">
      <c r="P824" t="s">
        <v>1176</v>
      </c>
    </row>
    <row r="825" spans="16:16" x14ac:dyDescent="0.3">
      <c r="P825" t="s">
        <v>1177</v>
      </c>
    </row>
    <row r="826" spans="16:16" x14ac:dyDescent="0.3">
      <c r="P826" t="s">
        <v>1176</v>
      </c>
    </row>
    <row r="827" spans="16:16" x14ac:dyDescent="0.3">
      <c r="P827" t="s">
        <v>1178</v>
      </c>
    </row>
    <row r="828" spans="16:16" x14ac:dyDescent="0.3">
      <c r="P828" t="s">
        <v>1179</v>
      </c>
    </row>
    <row r="829" spans="16:16" x14ac:dyDescent="0.3">
      <c r="P829" t="s">
        <v>1180</v>
      </c>
    </row>
    <row r="830" spans="16:16" x14ac:dyDescent="0.3">
      <c r="P830" t="s">
        <v>1181</v>
      </c>
    </row>
    <row r="831" spans="16:16" x14ac:dyDescent="0.3">
      <c r="P831" t="s">
        <v>1182</v>
      </c>
    </row>
    <row r="832" spans="16:16" x14ac:dyDescent="0.3">
      <c r="P832" t="s">
        <v>1183</v>
      </c>
    </row>
    <row r="833" spans="16:16" x14ac:dyDescent="0.3">
      <c r="P833" t="s">
        <v>1184</v>
      </c>
    </row>
    <row r="834" spans="16:16" x14ac:dyDescent="0.3">
      <c r="P834" t="s">
        <v>1185</v>
      </c>
    </row>
    <row r="835" spans="16:16" x14ac:dyDescent="0.3">
      <c r="P835" t="s">
        <v>1186</v>
      </c>
    </row>
    <row r="836" spans="16:16" x14ac:dyDescent="0.3">
      <c r="P836" t="s">
        <v>1187</v>
      </c>
    </row>
    <row r="837" spans="16:16" x14ac:dyDescent="0.3">
      <c r="P837" t="s">
        <v>1188</v>
      </c>
    </row>
    <row r="838" spans="16:16" x14ac:dyDescent="0.3">
      <c r="P838" t="s">
        <v>1189</v>
      </c>
    </row>
    <row r="839" spans="16:16" x14ac:dyDescent="0.3">
      <c r="P839" t="s">
        <v>1190</v>
      </c>
    </row>
    <row r="840" spans="16:16" x14ac:dyDescent="0.3">
      <c r="P840" t="s">
        <v>1191</v>
      </c>
    </row>
    <row r="841" spans="16:16" x14ac:dyDescent="0.3">
      <c r="P841" t="s">
        <v>1192</v>
      </c>
    </row>
    <row r="842" spans="16:16" x14ac:dyDescent="0.3">
      <c r="P842" t="s">
        <v>1193</v>
      </c>
    </row>
    <row r="843" spans="16:16" x14ac:dyDescent="0.3">
      <c r="P843" t="s">
        <v>1194</v>
      </c>
    </row>
    <row r="844" spans="16:16" x14ac:dyDescent="0.3">
      <c r="P844" t="s">
        <v>1195</v>
      </c>
    </row>
    <row r="845" spans="16:16" x14ac:dyDescent="0.3">
      <c r="P845" t="s">
        <v>1196</v>
      </c>
    </row>
    <row r="846" spans="16:16" x14ac:dyDescent="0.3">
      <c r="P846" t="s">
        <v>1197</v>
      </c>
    </row>
    <row r="847" spans="16:16" x14ac:dyDescent="0.3">
      <c r="P847" t="s">
        <v>1198</v>
      </c>
    </row>
    <row r="848" spans="16:16" x14ac:dyDescent="0.3">
      <c r="P848" t="s">
        <v>1199</v>
      </c>
    </row>
    <row r="849" spans="16:16" x14ac:dyDescent="0.3">
      <c r="P849" t="s">
        <v>1200</v>
      </c>
    </row>
    <row r="850" spans="16:16" x14ac:dyDescent="0.3">
      <c r="P850" t="s">
        <v>1201</v>
      </c>
    </row>
    <row r="851" spans="16:16" x14ac:dyDescent="0.3">
      <c r="P851" t="s">
        <v>1202</v>
      </c>
    </row>
    <row r="852" spans="16:16" x14ac:dyDescent="0.3">
      <c r="P852" t="s">
        <v>1203</v>
      </c>
    </row>
    <row r="853" spans="16:16" x14ac:dyDescent="0.3">
      <c r="P853" t="s">
        <v>1204</v>
      </c>
    </row>
    <row r="854" spans="16:16" x14ac:dyDescent="0.3">
      <c r="P854" t="s">
        <v>1205</v>
      </c>
    </row>
    <row r="855" spans="16:16" x14ac:dyDescent="0.3">
      <c r="P855" t="s">
        <v>1206</v>
      </c>
    </row>
    <row r="856" spans="16:16" x14ac:dyDescent="0.3">
      <c r="P856" t="s">
        <v>1207</v>
      </c>
    </row>
    <row r="857" spans="16:16" x14ac:dyDescent="0.3">
      <c r="P857" t="s">
        <v>1208</v>
      </c>
    </row>
    <row r="858" spans="16:16" x14ac:dyDescent="0.3">
      <c r="P858" t="s">
        <v>1209</v>
      </c>
    </row>
    <row r="859" spans="16:16" x14ac:dyDescent="0.3">
      <c r="P859" t="s">
        <v>1210</v>
      </c>
    </row>
    <row r="860" spans="16:16" x14ac:dyDescent="0.3">
      <c r="P860" t="s">
        <v>1211</v>
      </c>
    </row>
    <row r="861" spans="16:16" x14ac:dyDescent="0.3">
      <c r="P861" t="s">
        <v>1212</v>
      </c>
    </row>
    <row r="862" spans="16:16" x14ac:dyDescent="0.3">
      <c r="P862" t="s">
        <v>1213</v>
      </c>
    </row>
    <row r="863" spans="16:16" x14ac:dyDescent="0.3">
      <c r="P863" t="s">
        <v>1214</v>
      </c>
    </row>
    <row r="864" spans="16:16" x14ac:dyDescent="0.3">
      <c r="P864" t="s">
        <v>1204</v>
      </c>
    </row>
    <row r="865" spans="16:16" x14ac:dyDescent="0.3">
      <c r="P865" t="s">
        <v>1215</v>
      </c>
    </row>
    <row r="866" spans="16:16" x14ac:dyDescent="0.3">
      <c r="P866" t="s">
        <v>1216</v>
      </c>
    </row>
    <row r="867" spans="16:16" x14ac:dyDescent="0.3">
      <c r="P867" t="s">
        <v>1217</v>
      </c>
    </row>
    <row r="868" spans="16:16" x14ac:dyDescent="0.3">
      <c r="P868" t="s">
        <v>1218</v>
      </c>
    </row>
    <row r="869" spans="16:16" x14ac:dyDescent="0.3">
      <c r="P869" t="s">
        <v>1219</v>
      </c>
    </row>
    <row r="870" spans="16:16" x14ac:dyDescent="0.3">
      <c r="P870" t="s">
        <v>1220</v>
      </c>
    </row>
    <row r="871" spans="16:16" x14ac:dyDescent="0.3">
      <c r="P871" t="s">
        <v>1221</v>
      </c>
    </row>
    <row r="872" spans="16:16" x14ac:dyDescent="0.3">
      <c r="P872" t="s">
        <v>1222</v>
      </c>
    </row>
    <row r="873" spans="16:16" x14ac:dyDescent="0.3">
      <c r="P873" t="s">
        <v>1223</v>
      </c>
    </row>
    <row r="874" spans="16:16" x14ac:dyDescent="0.3">
      <c r="P874" t="s">
        <v>1224</v>
      </c>
    </row>
    <row r="875" spans="16:16" x14ac:dyDescent="0.3">
      <c r="P875" t="s">
        <v>1225</v>
      </c>
    </row>
    <row r="876" spans="16:16" x14ac:dyDescent="0.3">
      <c r="P876" t="s">
        <v>1226</v>
      </c>
    </row>
    <row r="877" spans="16:16" x14ac:dyDescent="0.3">
      <c r="P877" t="s">
        <v>1227</v>
      </c>
    </row>
    <row r="878" spans="16:16" x14ac:dyDescent="0.3">
      <c r="P878" t="s">
        <v>1228</v>
      </c>
    </row>
    <row r="879" spans="16:16" x14ac:dyDescent="0.3">
      <c r="P879" t="s">
        <v>1229</v>
      </c>
    </row>
    <row r="880" spans="16:16" x14ac:dyDescent="0.3">
      <c r="P880" t="s">
        <v>1230</v>
      </c>
    </row>
    <row r="881" spans="16:16" x14ac:dyDescent="0.3">
      <c r="P881" t="s">
        <v>1231</v>
      </c>
    </row>
    <row r="882" spans="16:16" x14ac:dyDescent="0.3">
      <c r="P882" t="s">
        <v>1232</v>
      </c>
    </row>
    <row r="883" spans="16:16" x14ac:dyDescent="0.3">
      <c r="P883" t="s">
        <v>1233</v>
      </c>
    </row>
    <row r="884" spans="16:16" x14ac:dyDescent="0.3">
      <c r="P884" t="s">
        <v>1234</v>
      </c>
    </row>
    <row r="885" spans="16:16" x14ac:dyDescent="0.3">
      <c r="P885" t="s">
        <v>1235</v>
      </c>
    </row>
    <row r="886" spans="16:16" x14ac:dyDescent="0.3">
      <c r="P886" t="s">
        <v>1236</v>
      </c>
    </row>
    <row r="887" spans="16:16" x14ac:dyDescent="0.3">
      <c r="P887" t="s">
        <v>1237</v>
      </c>
    </row>
    <row r="888" spans="16:16" x14ac:dyDescent="0.3">
      <c r="P888" t="s">
        <v>1238</v>
      </c>
    </row>
    <row r="889" spans="16:16" x14ac:dyDescent="0.3">
      <c r="P889" t="s">
        <v>1239</v>
      </c>
    </row>
    <row r="890" spans="16:16" x14ac:dyDescent="0.3">
      <c r="P890" t="s">
        <v>1240</v>
      </c>
    </row>
    <row r="891" spans="16:16" x14ac:dyDescent="0.3">
      <c r="P891" t="s">
        <v>1241</v>
      </c>
    </row>
    <row r="892" spans="16:16" x14ac:dyDescent="0.3">
      <c r="P892" t="s">
        <v>1239</v>
      </c>
    </row>
    <row r="893" spans="16:16" x14ac:dyDescent="0.3">
      <c r="P893" t="s">
        <v>1242</v>
      </c>
    </row>
    <row r="894" spans="16:16" x14ac:dyDescent="0.3">
      <c r="P894" t="s">
        <v>1243</v>
      </c>
    </row>
    <row r="895" spans="16:16" x14ac:dyDescent="0.3">
      <c r="P895" t="s">
        <v>1244</v>
      </c>
    </row>
    <row r="896" spans="16:16" x14ac:dyDescent="0.3">
      <c r="P896" t="s">
        <v>1243</v>
      </c>
    </row>
    <row r="897" spans="16:16" x14ac:dyDescent="0.3">
      <c r="P897" t="s">
        <v>1245</v>
      </c>
    </row>
    <row r="898" spans="16:16" x14ac:dyDescent="0.3">
      <c r="P898" t="s">
        <v>1246</v>
      </c>
    </row>
    <row r="899" spans="16:16" x14ac:dyDescent="0.3">
      <c r="P899" t="s">
        <v>1247</v>
      </c>
    </row>
    <row r="900" spans="16:16" x14ac:dyDescent="0.3">
      <c r="P900" t="s">
        <v>1248</v>
      </c>
    </row>
    <row r="901" spans="16:16" x14ac:dyDescent="0.3">
      <c r="P901" t="s">
        <v>1249</v>
      </c>
    </row>
    <row r="902" spans="16:16" x14ac:dyDescent="0.3">
      <c r="P902" t="s">
        <v>1250</v>
      </c>
    </row>
    <row r="903" spans="16:16" x14ac:dyDescent="0.3">
      <c r="P903" t="s">
        <v>1251</v>
      </c>
    </row>
    <row r="904" spans="16:16" x14ac:dyDescent="0.3">
      <c r="P904" t="s">
        <v>1252</v>
      </c>
    </row>
    <row r="905" spans="16:16" x14ac:dyDescent="0.3">
      <c r="P905" t="s">
        <v>1253</v>
      </c>
    </row>
    <row r="906" spans="16:16" x14ac:dyDescent="0.3">
      <c r="P906" t="s">
        <v>1254</v>
      </c>
    </row>
    <row r="907" spans="16:16" x14ac:dyDescent="0.3">
      <c r="P907" t="s">
        <v>1255</v>
      </c>
    </row>
    <row r="908" spans="16:16" x14ac:dyDescent="0.3">
      <c r="P908" t="s">
        <v>1256</v>
      </c>
    </row>
    <row r="909" spans="16:16" x14ac:dyDescent="0.3">
      <c r="P909" t="s">
        <v>1257</v>
      </c>
    </row>
    <row r="910" spans="16:16" x14ac:dyDescent="0.3">
      <c r="P910" t="s">
        <v>1258</v>
      </c>
    </row>
    <row r="911" spans="16:16" x14ac:dyDescent="0.3">
      <c r="P911" t="s">
        <v>1259</v>
      </c>
    </row>
    <row r="912" spans="16:16" x14ac:dyDescent="0.3">
      <c r="P912" t="s">
        <v>1260</v>
      </c>
    </row>
    <row r="913" spans="16:16" x14ac:dyDescent="0.3">
      <c r="P913" t="s">
        <v>1261</v>
      </c>
    </row>
    <row r="914" spans="16:16" x14ac:dyDescent="0.3">
      <c r="P914" t="s">
        <v>1262</v>
      </c>
    </row>
    <row r="915" spans="16:16" x14ac:dyDescent="0.3">
      <c r="P915" t="s">
        <v>1263</v>
      </c>
    </row>
    <row r="916" spans="16:16" x14ac:dyDescent="0.3">
      <c r="P916" t="s">
        <v>1264</v>
      </c>
    </row>
    <row r="917" spans="16:16" x14ac:dyDescent="0.3">
      <c r="P917" t="s">
        <v>1265</v>
      </c>
    </row>
    <row r="918" spans="16:16" x14ac:dyDescent="0.3">
      <c r="P918" t="s">
        <v>1266</v>
      </c>
    </row>
    <row r="919" spans="16:16" x14ac:dyDescent="0.3">
      <c r="P919" t="s">
        <v>1267</v>
      </c>
    </row>
    <row r="920" spans="16:16" x14ac:dyDescent="0.3">
      <c r="P920" t="s">
        <v>1268</v>
      </c>
    </row>
    <row r="921" spans="16:16" x14ac:dyDescent="0.3">
      <c r="P921" t="s">
        <v>1269</v>
      </c>
    </row>
    <row r="922" spans="16:16" x14ac:dyDescent="0.3">
      <c r="P922" t="s">
        <v>1270</v>
      </c>
    </row>
    <row r="923" spans="16:16" x14ac:dyDescent="0.3">
      <c r="P923" t="s">
        <v>1271</v>
      </c>
    </row>
    <row r="924" spans="16:16" x14ac:dyDescent="0.3">
      <c r="P924" t="s">
        <v>1240</v>
      </c>
    </row>
    <row r="925" spans="16:16" x14ac:dyDescent="0.3">
      <c r="P925" t="s">
        <v>1265</v>
      </c>
    </row>
    <row r="926" spans="16:16" x14ac:dyDescent="0.3">
      <c r="P926" t="s">
        <v>1272</v>
      </c>
    </row>
    <row r="927" spans="16:16" x14ac:dyDescent="0.3">
      <c r="P927" t="s">
        <v>1273</v>
      </c>
    </row>
    <row r="928" spans="16:16" x14ac:dyDescent="0.3">
      <c r="P928" t="s">
        <v>1238</v>
      </c>
    </row>
    <row r="929" spans="16:16" x14ac:dyDescent="0.3">
      <c r="P929" t="s">
        <v>1274</v>
      </c>
    </row>
    <row r="930" spans="16:16" x14ac:dyDescent="0.3">
      <c r="P930" t="s">
        <v>1241</v>
      </c>
    </row>
    <row r="931" spans="16:16" x14ac:dyDescent="0.3">
      <c r="P931" t="s">
        <v>1275</v>
      </c>
    </row>
    <row r="932" spans="16:16" x14ac:dyDescent="0.3">
      <c r="P932" t="s">
        <v>1276</v>
      </c>
    </row>
    <row r="933" spans="16:16" x14ac:dyDescent="0.3">
      <c r="P933" t="s">
        <v>1277</v>
      </c>
    </row>
    <row r="934" spans="16:16" x14ac:dyDescent="0.3">
      <c r="P934" t="s">
        <v>1278</v>
      </c>
    </row>
    <row r="935" spans="16:16" x14ac:dyDescent="0.3">
      <c r="P935" t="s">
        <v>1279</v>
      </c>
    </row>
    <row r="936" spans="16:16" x14ac:dyDescent="0.3">
      <c r="P936" t="s">
        <v>1280</v>
      </c>
    </row>
    <row r="937" spans="16:16" x14ac:dyDescent="0.3">
      <c r="P937" t="s">
        <v>1281</v>
      </c>
    </row>
    <row r="938" spans="16:16" x14ac:dyDescent="0.3">
      <c r="P938" t="s">
        <v>1282</v>
      </c>
    </row>
    <row r="939" spans="16:16" x14ac:dyDescent="0.3">
      <c r="P939" t="s">
        <v>1280</v>
      </c>
    </row>
    <row r="940" spans="16:16" x14ac:dyDescent="0.3">
      <c r="P940" t="s">
        <v>1283</v>
      </c>
    </row>
    <row r="941" spans="16:16" x14ac:dyDescent="0.3">
      <c r="P941" t="s">
        <v>1284</v>
      </c>
    </row>
    <row r="942" spans="16:16" x14ac:dyDescent="0.3">
      <c r="P942" t="s">
        <v>1285</v>
      </c>
    </row>
    <row r="943" spans="16:16" x14ac:dyDescent="0.3">
      <c r="P943" t="s">
        <v>1286</v>
      </c>
    </row>
    <row r="944" spans="16:16" x14ac:dyDescent="0.3">
      <c r="P944" t="s">
        <v>1287</v>
      </c>
    </row>
    <row r="945" spans="16:16" x14ac:dyDescent="0.3">
      <c r="P945" t="s">
        <v>1282</v>
      </c>
    </row>
    <row r="946" spans="16:16" x14ac:dyDescent="0.3">
      <c r="P946" t="s">
        <v>1288</v>
      </c>
    </row>
    <row r="947" spans="16:16" x14ac:dyDescent="0.3">
      <c r="P947" t="s">
        <v>1289</v>
      </c>
    </row>
    <row r="948" spans="16:16" x14ac:dyDescent="0.3">
      <c r="P948" t="s">
        <v>1290</v>
      </c>
    </row>
    <row r="949" spans="16:16" x14ac:dyDescent="0.3">
      <c r="P949" t="s">
        <v>1291</v>
      </c>
    </row>
    <row r="950" spans="16:16" x14ac:dyDescent="0.3">
      <c r="P950" t="s">
        <v>1292</v>
      </c>
    </row>
    <row r="951" spans="16:16" x14ac:dyDescent="0.3">
      <c r="P951" t="s">
        <v>1293</v>
      </c>
    </row>
    <row r="952" spans="16:16" x14ac:dyDescent="0.3">
      <c r="P952" t="s">
        <v>1294</v>
      </c>
    </row>
    <row r="953" spans="16:16" x14ac:dyDescent="0.3">
      <c r="P953" t="s">
        <v>1295</v>
      </c>
    </row>
    <row r="954" spans="16:16" x14ac:dyDescent="0.3">
      <c r="P954" t="s">
        <v>1145</v>
      </c>
    </row>
    <row r="955" spans="16:16" x14ac:dyDescent="0.3">
      <c r="P955" t="s">
        <v>1296</v>
      </c>
    </row>
    <row r="956" spans="16:16" x14ac:dyDescent="0.3">
      <c r="P956" t="s">
        <v>1239</v>
      </c>
    </row>
    <row r="957" spans="16:16" x14ac:dyDescent="0.3">
      <c r="P957" t="s">
        <v>1297</v>
      </c>
    </row>
    <row r="958" spans="16:16" x14ac:dyDescent="0.3">
      <c r="P958" t="s">
        <v>1296</v>
      </c>
    </row>
    <row r="959" spans="16:16" x14ac:dyDescent="0.3">
      <c r="P959" t="s">
        <v>1145</v>
      </c>
    </row>
    <row r="960" spans="16:16" x14ac:dyDescent="0.3">
      <c r="P960" t="s">
        <v>1298</v>
      </c>
    </row>
    <row r="961" spans="16:16" x14ac:dyDescent="0.3">
      <c r="P961" t="s">
        <v>1299</v>
      </c>
    </row>
    <row r="962" spans="16:16" x14ac:dyDescent="0.3">
      <c r="P962" t="s">
        <v>1300</v>
      </c>
    </row>
    <row r="963" spans="16:16" x14ac:dyDescent="0.3">
      <c r="P963" t="s">
        <v>1154</v>
      </c>
    </row>
    <row r="964" spans="16:16" x14ac:dyDescent="0.3">
      <c r="P964" t="s">
        <v>1301</v>
      </c>
    </row>
    <row r="965" spans="16:16" x14ac:dyDescent="0.3">
      <c r="P965" t="s">
        <v>1302</v>
      </c>
    </row>
    <row r="966" spans="16:16" x14ac:dyDescent="0.3">
      <c r="P966" t="s">
        <v>1303</v>
      </c>
    </row>
    <row r="967" spans="16:16" x14ac:dyDescent="0.3">
      <c r="P967" t="s">
        <v>1304</v>
      </c>
    </row>
    <row r="968" spans="16:16" x14ac:dyDescent="0.3">
      <c r="P968" t="s">
        <v>1214</v>
      </c>
    </row>
    <row r="969" spans="16:16" x14ac:dyDescent="0.3">
      <c r="P969" t="s">
        <v>1305</v>
      </c>
    </row>
    <row r="970" spans="16:16" x14ac:dyDescent="0.3">
      <c r="P970" t="s">
        <v>1306</v>
      </c>
    </row>
    <row r="971" spans="16:16" x14ac:dyDescent="0.3">
      <c r="P971" t="s">
        <v>1307</v>
      </c>
    </row>
    <row r="972" spans="16:16" x14ac:dyDescent="0.3">
      <c r="P972" t="s">
        <v>1308</v>
      </c>
    </row>
    <row r="973" spans="16:16" x14ac:dyDescent="0.3">
      <c r="P973" t="s">
        <v>1309</v>
      </c>
    </row>
    <row r="974" spans="16:16" x14ac:dyDescent="0.3">
      <c r="P974" t="s">
        <v>1310</v>
      </c>
    </row>
    <row r="975" spans="16:16" x14ac:dyDescent="0.3">
      <c r="P975" t="s">
        <v>1310</v>
      </c>
    </row>
    <row r="976" spans="16:16" x14ac:dyDescent="0.3">
      <c r="P976" t="s">
        <v>1311</v>
      </c>
    </row>
    <row r="977" spans="16:16" x14ac:dyDescent="0.3">
      <c r="P977" t="s">
        <v>1312</v>
      </c>
    </row>
    <row r="978" spans="16:16" x14ac:dyDescent="0.3">
      <c r="P978" t="s">
        <v>1313</v>
      </c>
    </row>
    <row r="979" spans="16:16" x14ac:dyDescent="0.3">
      <c r="P979" t="s">
        <v>1314</v>
      </c>
    </row>
    <row r="980" spans="16:16" x14ac:dyDescent="0.3">
      <c r="P980" t="s">
        <v>1315</v>
      </c>
    </row>
    <row r="981" spans="16:16" x14ac:dyDescent="0.3">
      <c r="P981" t="s">
        <v>1316</v>
      </c>
    </row>
    <row r="982" spans="16:16" x14ac:dyDescent="0.3">
      <c r="P982" t="s">
        <v>1317</v>
      </c>
    </row>
    <row r="983" spans="16:16" x14ac:dyDescent="0.3">
      <c r="P983" t="s">
        <v>1315</v>
      </c>
    </row>
    <row r="984" spans="16:16" x14ac:dyDescent="0.3">
      <c r="P984" t="s">
        <v>1318</v>
      </c>
    </row>
    <row r="985" spans="16:16" x14ac:dyDescent="0.3">
      <c r="P985" t="s">
        <v>1316</v>
      </c>
    </row>
    <row r="986" spans="16:16" x14ac:dyDescent="0.3">
      <c r="P986" t="s">
        <v>1319</v>
      </c>
    </row>
    <row r="987" spans="16:16" x14ac:dyDescent="0.3">
      <c r="P987" t="s">
        <v>1320</v>
      </c>
    </row>
    <row r="988" spans="16:16" x14ac:dyDescent="0.3">
      <c r="P988" t="s">
        <v>1321</v>
      </c>
    </row>
    <row r="989" spans="16:16" x14ac:dyDescent="0.3">
      <c r="P989" t="s">
        <v>1322</v>
      </c>
    </row>
    <row r="990" spans="16:16" x14ac:dyDescent="0.3">
      <c r="P990" t="s">
        <v>1323</v>
      </c>
    </row>
    <row r="991" spans="16:16" x14ac:dyDescent="0.3">
      <c r="P991" t="s">
        <v>1324</v>
      </c>
    </row>
    <row r="992" spans="16:16" x14ac:dyDescent="0.3">
      <c r="P992" t="s">
        <v>1325</v>
      </c>
    </row>
    <row r="993" spans="16:16" x14ac:dyDescent="0.3">
      <c r="P993" t="s">
        <v>1326</v>
      </c>
    </row>
    <row r="994" spans="16:16" x14ac:dyDescent="0.3">
      <c r="P994" t="s">
        <v>1327</v>
      </c>
    </row>
    <row r="995" spans="16:16" x14ac:dyDescent="0.3">
      <c r="P995" t="s">
        <v>1328</v>
      </c>
    </row>
    <row r="996" spans="16:16" x14ac:dyDescent="0.3">
      <c r="P996" t="s">
        <v>1329</v>
      </c>
    </row>
    <row r="997" spans="16:16" x14ac:dyDescent="0.3">
      <c r="P997" t="s">
        <v>1330</v>
      </c>
    </row>
    <row r="998" spans="16:16" x14ac:dyDescent="0.3">
      <c r="P998" t="s">
        <v>1331</v>
      </c>
    </row>
    <row r="999" spans="16:16" x14ac:dyDescent="0.3">
      <c r="P999" t="s">
        <v>1332</v>
      </c>
    </row>
    <row r="1000" spans="16:16" x14ac:dyDescent="0.3">
      <c r="P1000" t="s">
        <v>1333</v>
      </c>
    </row>
    <row r="1001" spans="16:16" x14ac:dyDescent="0.3">
      <c r="P1001" t="s">
        <v>1334</v>
      </c>
    </row>
    <row r="1002" spans="16:16" x14ac:dyDescent="0.3">
      <c r="P1002" t="s">
        <v>1335</v>
      </c>
    </row>
    <row r="1003" spans="16:16" x14ac:dyDescent="0.3">
      <c r="P1003" t="s">
        <v>1336</v>
      </c>
    </row>
    <row r="1004" spans="16:16" x14ac:dyDescent="0.3">
      <c r="P1004" t="s">
        <v>1337</v>
      </c>
    </row>
    <row r="1005" spans="16:16" x14ac:dyDescent="0.3">
      <c r="P1005" t="s">
        <v>1338</v>
      </c>
    </row>
    <row r="1006" spans="16:16" x14ac:dyDescent="0.3">
      <c r="P1006" t="s">
        <v>1339</v>
      </c>
    </row>
    <row r="1007" spans="16:16" x14ac:dyDescent="0.3">
      <c r="P1007" t="s">
        <v>1340</v>
      </c>
    </row>
    <row r="1008" spans="16:16" x14ac:dyDescent="0.3">
      <c r="P1008" t="s">
        <v>1341</v>
      </c>
    </row>
    <row r="1009" spans="16:16" x14ac:dyDescent="0.3">
      <c r="P1009" t="s">
        <v>1342</v>
      </c>
    </row>
    <row r="1010" spans="16:16" x14ac:dyDescent="0.3">
      <c r="P1010" t="s">
        <v>1343</v>
      </c>
    </row>
    <row r="1011" spans="16:16" x14ac:dyDescent="0.3">
      <c r="P1011" t="s">
        <v>1344</v>
      </c>
    </row>
    <row r="1012" spans="16:16" x14ac:dyDescent="0.3">
      <c r="P1012" t="s">
        <v>1345</v>
      </c>
    </row>
    <row r="1013" spans="16:16" x14ac:dyDescent="0.3">
      <c r="P1013" t="s">
        <v>1346</v>
      </c>
    </row>
    <row r="1014" spans="16:16" x14ac:dyDescent="0.3">
      <c r="P1014" t="s">
        <v>1347</v>
      </c>
    </row>
    <row r="1015" spans="16:16" x14ac:dyDescent="0.3">
      <c r="P1015" t="s">
        <v>1348</v>
      </c>
    </row>
    <row r="1016" spans="16:16" x14ac:dyDescent="0.3">
      <c r="P1016" t="s">
        <v>1349</v>
      </c>
    </row>
    <row r="1017" spans="16:16" x14ac:dyDescent="0.3">
      <c r="P1017" t="s">
        <v>1350</v>
      </c>
    </row>
    <row r="1018" spans="16:16" x14ac:dyDescent="0.3">
      <c r="P1018" t="s">
        <v>1351</v>
      </c>
    </row>
    <row r="1019" spans="16:16" x14ac:dyDescent="0.3">
      <c r="P1019" t="s">
        <v>1352</v>
      </c>
    </row>
    <row r="1020" spans="16:16" x14ac:dyDescent="0.3">
      <c r="P1020" t="s">
        <v>1353</v>
      </c>
    </row>
    <row r="1021" spans="16:16" x14ac:dyDescent="0.3">
      <c r="P1021" t="s">
        <v>1354</v>
      </c>
    </row>
    <row r="1022" spans="16:16" x14ac:dyDescent="0.3">
      <c r="P1022" t="s">
        <v>1355</v>
      </c>
    </row>
    <row r="1023" spans="16:16" x14ac:dyDescent="0.3">
      <c r="P1023" t="s">
        <v>1356</v>
      </c>
    </row>
    <row r="1024" spans="16:16" x14ac:dyDescent="0.3">
      <c r="P1024" t="s">
        <v>1357</v>
      </c>
    </row>
    <row r="1025" spans="16:16" x14ac:dyDescent="0.3">
      <c r="P1025" t="s">
        <v>1358</v>
      </c>
    </row>
    <row r="1026" spans="16:16" x14ac:dyDescent="0.3">
      <c r="P1026" t="s">
        <v>1359</v>
      </c>
    </row>
    <row r="1027" spans="16:16" x14ac:dyDescent="0.3">
      <c r="P1027" t="s">
        <v>1360</v>
      </c>
    </row>
    <row r="1028" spans="16:16" x14ac:dyDescent="0.3">
      <c r="P1028" t="s">
        <v>1361</v>
      </c>
    </row>
    <row r="1029" spans="16:16" x14ac:dyDescent="0.3">
      <c r="P1029" t="s">
        <v>1362</v>
      </c>
    </row>
    <row r="1030" spans="16:16" x14ac:dyDescent="0.3">
      <c r="P1030" t="s">
        <v>1363</v>
      </c>
    </row>
    <row r="1031" spans="16:16" x14ac:dyDescent="0.3">
      <c r="P1031" t="s">
        <v>1364</v>
      </c>
    </row>
    <row r="1032" spans="16:16" x14ac:dyDescent="0.3">
      <c r="P1032" t="s">
        <v>1312</v>
      </c>
    </row>
    <row r="1033" spans="16:16" x14ac:dyDescent="0.3">
      <c r="P1033" t="s">
        <v>1365</v>
      </c>
    </row>
    <row r="1034" spans="16:16" x14ac:dyDescent="0.3">
      <c r="P1034" t="s">
        <v>1366</v>
      </c>
    </row>
    <row r="1035" spans="16:16" x14ac:dyDescent="0.3">
      <c r="P1035" t="s">
        <v>1367</v>
      </c>
    </row>
    <row r="1036" spans="16:16" x14ac:dyDescent="0.3">
      <c r="P1036" t="s">
        <v>1368</v>
      </c>
    </row>
    <row r="1037" spans="16:16" x14ac:dyDescent="0.3">
      <c r="P1037" t="s">
        <v>1369</v>
      </c>
    </row>
    <row r="1038" spans="16:16" x14ac:dyDescent="0.3">
      <c r="P1038" t="s">
        <v>1370</v>
      </c>
    </row>
    <row r="1039" spans="16:16" x14ac:dyDescent="0.3">
      <c r="P1039" t="s">
        <v>1371</v>
      </c>
    </row>
    <row r="1040" spans="16:16" x14ac:dyDescent="0.3">
      <c r="P1040" t="s">
        <v>1353</v>
      </c>
    </row>
    <row r="1041" spans="16:16" x14ac:dyDescent="0.3">
      <c r="P1041" t="s">
        <v>1372</v>
      </c>
    </row>
    <row r="1042" spans="16:16" x14ac:dyDescent="0.3">
      <c r="P1042" t="s">
        <v>1373</v>
      </c>
    </row>
    <row r="1043" spans="16:16" x14ac:dyDescent="0.3">
      <c r="P1043" t="s">
        <v>1374</v>
      </c>
    </row>
    <row r="1044" spans="16:16" x14ac:dyDescent="0.3">
      <c r="P1044" t="s">
        <v>1375</v>
      </c>
    </row>
    <row r="1045" spans="16:16" x14ac:dyDescent="0.3">
      <c r="P1045" t="s">
        <v>1376</v>
      </c>
    </row>
    <row r="1046" spans="16:16" x14ac:dyDescent="0.3">
      <c r="P1046" t="s">
        <v>1377</v>
      </c>
    </row>
    <row r="1047" spans="16:16" x14ac:dyDescent="0.3">
      <c r="P1047" t="s">
        <v>1378</v>
      </c>
    </row>
    <row r="1048" spans="16:16" x14ac:dyDescent="0.3">
      <c r="P1048" t="s">
        <v>1379</v>
      </c>
    </row>
    <row r="1049" spans="16:16" x14ac:dyDescent="0.3">
      <c r="P1049" t="s">
        <v>1380</v>
      </c>
    </row>
    <row r="1050" spans="16:16" x14ac:dyDescent="0.3">
      <c r="P1050" t="s">
        <v>1381</v>
      </c>
    </row>
    <row r="1051" spans="16:16" x14ac:dyDescent="0.3">
      <c r="P1051" t="s">
        <v>1382</v>
      </c>
    </row>
    <row r="1052" spans="16:16" x14ac:dyDescent="0.3">
      <c r="P1052" t="s">
        <v>1383</v>
      </c>
    </row>
    <row r="1053" spans="16:16" x14ac:dyDescent="0.3">
      <c r="P1053" t="s">
        <v>1384</v>
      </c>
    </row>
    <row r="1054" spans="16:16" x14ac:dyDescent="0.3">
      <c r="P1054" t="s">
        <v>1385</v>
      </c>
    </row>
    <row r="1055" spans="16:16" x14ac:dyDescent="0.3">
      <c r="P1055" t="s">
        <v>1386</v>
      </c>
    </row>
    <row r="1056" spans="16:16" x14ac:dyDescent="0.3">
      <c r="P1056" t="s">
        <v>1387</v>
      </c>
    </row>
    <row r="1057" spans="16:16" x14ac:dyDescent="0.3">
      <c r="P1057" t="s">
        <v>1388</v>
      </c>
    </row>
    <row r="1058" spans="16:16" x14ac:dyDescent="0.3">
      <c r="P1058" t="s">
        <v>1389</v>
      </c>
    </row>
    <row r="1059" spans="16:16" x14ac:dyDescent="0.3">
      <c r="P1059" t="s">
        <v>1390</v>
      </c>
    </row>
    <row r="1060" spans="16:16" x14ac:dyDescent="0.3">
      <c r="P1060" t="s">
        <v>1391</v>
      </c>
    </row>
    <row r="1061" spans="16:16" x14ac:dyDescent="0.3">
      <c r="P1061" t="s">
        <v>1392</v>
      </c>
    </row>
    <row r="1062" spans="16:16" x14ac:dyDescent="0.3">
      <c r="P1062" t="s">
        <v>1393</v>
      </c>
    </row>
    <row r="1063" spans="16:16" x14ac:dyDescent="0.3">
      <c r="P1063" t="s">
        <v>1394</v>
      </c>
    </row>
    <row r="1064" spans="16:16" x14ac:dyDescent="0.3">
      <c r="P1064" t="s">
        <v>1395</v>
      </c>
    </row>
    <row r="1065" spans="16:16" x14ac:dyDescent="0.3">
      <c r="P1065" t="s">
        <v>1396</v>
      </c>
    </row>
    <row r="1066" spans="16:16" x14ac:dyDescent="0.3">
      <c r="P1066" t="s">
        <v>511</v>
      </c>
    </row>
    <row r="1067" spans="16:16" x14ac:dyDescent="0.3">
      <c r="P1067" t="s">
        <v>1397</v>
      </c>
    </row>
    <row r="1068" spans="16:16" x14ac:dyDescent="0.3">
      <c r="P1068" t="s">
        <v>1398</v>
      </c>
    </row>
    <row r="1069" spans="16:16" x14ac:dyDescent="0.3">
      <c r="P1069" t="s">
        <v>1399</v>
      </c>
    </row>
    <row r="1070" spans="16:16" x14ac:dyDescent="0.3">
      <c r="P1070" t="s">
        <v>1400</v>
      </c>
    </row>
    <row r="1071" spans="16:16" x14ac:dyDescent="0.3">
      <c r="P1071" t="s">
        <v>1401</v>
      </c>
    </row>
    <row r="1072" spans="16:16" x14ac:dyDescent="0.3">
      <c r="P1072" t="s">
        <v>1402</v>
      </c>
    </row>
    <row r="1073" spans="16:16" x14ac:dyDescent="0.3">
      <c r="P1073" t="s">
        <v>1403</v>
      </c>
    </row>
    <row r="1074" spans="16:16" x14ac:dyDescent="0.3">
      <c r="P1074" t="s">
        <v>1404</v>
      </c>
    </row>
    <row r="1075" spans="16:16" x14ac:dyDescent="0.3">
      <c r="P1075" t="s">
        <v>1405</v>
      </c>
    </row>
    <row r="1076" spans="16:16" x14ac:dyDescent="0.3">
      <c r="P1076" t="s">
        <v>1406</v>
      </c>
    </row>
    <row r="1077" spans="16:16" x14ac:dyDescent="0.3">
      <c r="P1077" t="s">
        <v>1407</v>
      </c>
    </row>
    <row r="1078" spans="16:16" x14ac:dyDescent="0.3">
      <c r="P1078" t="s">
        <v>1408</v>
      </c>
    </row>
    <row r="1079" spans="16:16" x14ac:dyDescent="0.3">
      <c r="P1079" t="s">
        <v>1409</v>
      </c>
    </row>
    <row r="1080" spans="16:16" x14ac:dyDescent="0.3">
      <c r="P1080" t="s">
        <v>1410</v>
      </c>
    </row>
    <row r="1081" spans="16:16" x14ac:dyDescent="0.3">
      <c r="P1081" t="s">
        <v>1411</v>
      </c>
    </row>
    <row r="1082" spans="16:16" x14ac:dyDescent="0.3">
      <c r="P1082" t="s">
        <v>1412</v>
      </c>
    </row>
    <row r="1083" spans="16:16" x14ac:dyDescent="0.3">
      <c r="P1083" t="s">
        <v>1413</v>
      </c>
    </row>
    <row r="1084" spans="16:16" x14ac:dyDescent="0.3">
      <c r="P1084" t="s">
        <v>1414</v>
      </c>
    </row>
    <row r="1085" spans="16:16" x14ac:dyDescent="0.3">
      <c r="P1085" t="s">
        <v>1415</v>
      </c>
    </row>
    <row r="1086" spans="16:16" x14ac:dyDescent="0.3">
      <c r="P1086" t="s">
        <v>1416</v>
      </c>
    </row>
    <row r="1087" spans="16:16" x14ac:dyDescent="0.3">
      <c r="P1087" t="s">
        <v>1417</v>
      </c>
    </row>
    <row r="1088" spans="16:16" x14ac:dyDescent="0.3">
      <c r="P1088" t="s">
        <v>1418</v>
      </c>
    </row>
    <row r="1089" spans="16:16" x14ac:dyDescent="0.3">
      <c r="P1089" t="s">
        <v>1419</v>
      </c>
    </row>
    <row r="1090" spans="16:16" x14ac:dyDescent="0.3">
      <c r="P1090" t="s">
        <v>1302</v>
      </c>
    </row>
    <row r="1091" spans="16:16" x14ac:dyDescent="0.3">
      <c r="P1091" t="s">
        <v>1420</v>
      </c>
    </row>
    <row r="1092" spans="16:16" x14ac:dyDescent="0.3">
      <c r="P1092" t="s">
        <v>1421</v>
      </c>
    </row>
    <row r="1093" spans="16:16" x14ac:dyDescent="0.3">
      <c r="P1093" t="s">
        <v>1421</v>
      </c>
    </row>
    <row r="1094" spans="16:16" x14ac:dyDescent="0.3">
      <c r="P1094" t="s">
        <v>1422</v>
      </c>
    </row>
    <row r="1095" spans="16:16" x14ac:dyDescent="0.3">
      <c r="P1095" t="s">
        <v>1423</v>
      </c>
    </row>
    <row r="1096" spans="16:16" x14ac:dyDescent="0.3">
      <c r="P1096" t="s">
        <v>1424</v>
      </c>
    </row>
    <row r="1097" spans="16:16" x14ac:dyDescent="0.3">
      <c r="P1097" t="s">
        <v>1425</v>
      </c>
    </row>
    <row r="1098" spans="16:16" x14ac:dyDescent="0.3">
      <c r="P1098" t="s">
        <v>1426</v>
      </c>
    </row>
    <row r="1099" spans="16:16" x14ac:dyDescent="0.3">
      <c r="P1099" t="s">
        <v>1427</v>
      </c>
    </row>
    <row r="1100" spans="16:16" x14ac:dyDescent="0.3">
      <c r="P1100" t="s">
        <v>1428</v>
      </c>
    </row>
    <row r="1101" spans="16:16" x14ac:dyDescent="0.3">
      <c r="P1101" t="s">
        <v>1429</v>
      </c>
    </row>
    <row r="1102" spans="16:16" x14ac:dyDescent="0.3">
      <c r="P1102" t="s">
        <v>1430</v>
      </c>
    </row>
    <row r="1103" spans="16:16" x14ac:dyDescent="0.3">
      <c r="P1103" t="s">
        <v>1431</v>
      </c>
    </row>
    <row r="1104" spans="16:16" x14ac:dyDescent="0.3">
      <c r="P1104" t="s">
        <v>1432</v>
      </c>
    </row>
    <row r="1105" spans="16:16" x14ac:dyDescent="0.3">
      <c r="P1105" t="s">
        <v>1433</v>
      </c>
    </row>
    <row r="1106" spans="16:16" x14ac:dyDescent="0.3">
      <c r="P1106" t="s">
        <v>1345</v>
      </c>
    </row>
    <row r="1107" spans="16:16" x14ac:dyDescent="0.3">
      <c r="P1107" t="s">
        <v>1434</v>
      </c>
    </row>
    <row r="1108" spans="16:16" x14ac:dyDescent="0.3">
      <c r="P1108" t="s">
        <v>1435</v>
      </c>
    </row>
    <row r="1109" spans="16:16" x14ac:dyDescent="0.3">
      <c r="P1109" t="s">
        <v>1436</v>
      </c>
    </row>
    <row r="1110" spans="16:16" x14ac:dyDescent="0.3">
      <c r="P1110" t="s">
        <v>1437</v>
      </c>
    </row>
    <row r="1111" spans="16:16" x14ac:dyDescent="0.3">
      <c r="P1111" t="s">
        <v>1438</v>
      </c>
    </row>
    <row r="1112" spans="16:16" x14ac:dyDescent="0.3">
      <c r="P1112" t="s">
        <v>1439</v>
      </c>
    </row>
    <row r="1113" spans="16:16" x14ac:dyDescent="0.3">
      <c r="P1113" t="s">
        <v>1440</v>
      </c>
    </row>
    <row r="1114" spans="16:16" x14ac:dyDescent="0.3">
      <c r="P1114" t="s">
        <v>1441</v>
      </c>
    </row>
    <row r="1115" spans="16:16" x14ac:dyDescent="0.3">
      <c r="P1115" t="s">
        <v>1442</v>
      </c>
    </row>
    <row r="1116" spans="16:16" x14ac:dyDescent="0.3">
      <c r="P1116" t="s">
        <v>1443</v>
      </c>
    </row>
    <row r="1117" spans="16:16" x14ac:dyDescent="0.3">
      <c r="P1117" t="s">
        <v>1444</v>
      </c>
    </row>
    <row r="1118" spans="16:16" x14ac:dyDescent="0.3">
      <c r="P1118" t="s">
        <v>1445</v>
      </c>
    </row>
    <row r="1119" spans="16:16" x14ac:dyDescent="0.3">
      <c r="P1119" t="s">
        <v>1446</v>
      </c>
    </row>
    <row r="1120" spans="16:16" x14ac:dyDescent="0.3">
      <c r="P1120" t="s">
        <v>1447</v>
      </c>
    </row>
    <row r="1121" spans="16:16" x14ac:dyDescent="0.3">
      <c r="P1121" t="s">
        <v>1448</v>
      </c>
    </row>
    <row r="1122" spans="16:16" x14ac:dyDescent="0.3">
      <c r="P1122" t="s">
        <v>1449</v>
      </c>
    </row>
    <row r="1123" spans="16:16" x14ac:dyDescent="0.3">
      <c r="P1123" t="s">
        <v>1450</v>
      </c>
    </row>
    <row r="1124" spans="16:16" x14ac:dyDescent="0.3">
      <c r="P1124" t="s">
        <v>1451</v>
      </c>
    </row>
    <row r="1125" spans="16:16" x14ac:dyDescent="0.3">
      <c r="P1125" t="s">
        <v>1452</v>
      </c>
    </row>
    <row r="1126" spans="16:16" x14ac:dyDescent="0.3">
      <c r="P1126" t="s">
        <v>1453</v>
      </c>
    </row>
    <row r="1127" spans="16:16" x14ac:dyDescent="0.3">
      <c r="P1127" t="s">
        <v>1454</v>
      </c>
    </row>
    <row r="1128" spans="16:16" x14ac:dyDescent="0.3">
      <c r="P1128" t="s">
        <v>1455</v>
      </c>
    </row>
    <row r="1129" spans="16:16" x14ac:dyDescent="0.3">
      <c r="P1129" t="s">
        <v>1456</v>
      </c>
    </row>
    <row r="1130" spans="16:16" x14ac:dyDescent="0.3">
      <c r="P1130" t="s">
        <v>1457</v>
      </c>
    </row>
    <row r="1131" spans="16:16" x14ac:dyDescent="0.3">
      <c r="P1131" t="s">
        <v>1458</v>
      </c>
    </row>
    <row r="1132" spans="16:16" x14ac:dyDescent="0.3">
      <c r="P1132" t="s">
        <v>1459</v>
      </c>
    </row>
    <row r="1133" spans="16:16" x14ac:dyDescent="0.3">
      <c r="P1133" t="s">
        <v>1460</v>
      </c>
    </row>
    <row r="1134" spans="16:16" x14ac:dyDescent="0.3">
      <c r="P1134" t="s">
        <v>1461</v>
      </c>
    </row>
    <row r="1135" spans="16:16" x14ac:dyDescent="0.3">
      <c r="P1135" t="s">
        <v>1462</v>
      </c>
    </row>
    <row r="1136" spans="16:16" x14ac:dyDescent="0.3">
      <c r="P1136" t="s">
        <v>480</v>
      </c>
    </row>
    <row r="1137" spans="16:16" x14ac:dyDescent="0.3">
      <c r="P1137" t="s">
        <v>1463</v>
      </c>
    </row>
    <row r="1138" spans="16:16" x14ac:dyDescent="0.3">
      <c r="P1138" t="s">
        <v>1464</v>
      </c>
    </row>
    <row r="1139" spans="16:16" x14ac:dyDescent="0.3">
      <c r="P1139" t="s">
        <v>1465</v>
      </c>
    </row>
    <row r="1140" spans="16:16" x14ac:dyDescent="0.3">
      <c r="P1140" t="s">
        <v>1466</v>
      </c>
    </row>
    <row r="1141" spans="16:16" x14ac:dyDescent="0.3">
      <c r="P1141" t="s">
        <v>1467</v>
      </c>
    </row>
    <row r="1142" spans="16:16" x14ac:dyDescent="0.3">
      <c r="P1142" t="s">
        <v>1468</v>
      </c>
    </row>
    <row r="1143" spans="16:16" x14ac:dyDescent="0.3">
      <c r="P1143" t="s">
        <v>1468</v>
      </c>
    </row>
    <row r="1144" spans="16:16" x14ac:dyDescent="0.3">
      <c r="P1144" t="s">
        <v>1469</v>
      </c>
    </row>
    <row r="1145" spans="16:16" x14ac:dyDescent="0.3">
      <c r="P1145" t="s">
        <v>1470</v>
      </c>
    </row>
    <row r="1146" spans="16:16" x14ac:dyDescent="0.3">
      <c r="P1146" t="s">
        <v>1471</v>
      </c>
    </row>
    <row r="1147" spans="16:16" x14ac:dyDescent="0.3">
      <c r="P1147" t="s">
        <v>1472</v>
      </c>
    </row>
    <row r="1148" spans="16:16" x14ac:dyDescent="0.3">
      <c r="P1148" t="s">
        <v>1473</v>
      </c>
    </row>
    <row r="1149" spans="16:16" x14ac:dyDescent="0.3">
      <c r="P1149" t="s">
        <v>1474</v>
      </c>
    </row>
    <row r="1150" spans="16:16" x14ac:dyDescent="0.3">
      <c r="P1150" t="s">
        <v>1475</v>
      </c>
    </row>
    <row r="1151" spans="16:16" x14ac:dyDescent="0.3">
      <c r="P1151" t="s">
        <v>1474</v>
      </c>
    </row>
    <row r="1152" spans="16:16" x14ac:dyDescent="0.3">
      <c r="P1152" t="s">
        <v>1476</v>
      </c>
    </row>
    <row r="1153" spans="16:16" x14ac:dyDescent="0.3">
      <c r="P1153" t="s">
        <v>1477</v>
      </c>
    </row>
    <row r="1154" spans="16:16" x14ac:dyDescent="0.3">
      <c r="P1154" t="s">
        <v>1475</v>
      </c>
    </row>
    <row r="1155" spans="16:16" x14ac:dyDescent="0.3">
      <c r="P1155" t="s">
        <v>1478</v>
      </c>
    </row>
    <row r="1156" spans="16:16" x14ac:dyDescent="0.3">
      <c r="P1156" t="s">
        <v>1479</v>
      </c>
    </row>
    <row r="1157" spans="16:16" x14ac:dyDescent="0.3">
      <c r="P1157" t="s">
        <v>1478</v>
      </c>
    </row>
    <row r="1158" spans="16:16" x14ac:dyDescent="0.3">
      <c r="P1158" t="s">
        <v>1426</v>
      </c>
    </row>
    <row r="1159" spans="16:16" x14ac:dyDescent="0.3">
      <c r="P1159" t="s">
        <v>1480</v>
      </c>
    </row>
    <row r="1160" spans="16:16" x14ac:dyDescent="0.3">
      <c r="P1160" t="s">
        <v>1481</v>
      </c>
    </row>
    <row r="1161" spans="16:16" x14ac:dyDescent="0.3">
      <c r="P1161" t="s">
        <v>1482</v>
      </c>
    </row>
    <row r="1162" spans="16:16" x14ac:dyDescent="0.3">
      <c r="P1162" t="s">
        <v>1483</v>
      </c>
    </row>
    <row r="1163" spans="16:16" x14ac:dyDescent="0.3">
      <c r="P1163" t="s">
        <v>1465</v>
      </c>
    </row>
    <row r="1164" spans="16:16" x14ac:dyDescent="0.3">
      <c r="P1164" t="s">
        <v>1484</v>
      </c>
    </row>
    <row r="1165" spans="16:16" x14ac:dyDescent="0.3">
      <c r="P1165" t="s">
        <v>1485</v>
      </c>
    </row>
    <row r="1166" spans="16:16" x14ac:dyDescent="0.3">
      <c r="P1166" t="s">
        <v>1486</v>
      </c>
    </row>
    <row r="1167" spans="16:16" x14ac:dyDescent="0.3">
      <c r="P1167" t="s">
        <v>1487</v>
      </c>
    </row>
    <row r="1168" spans="16:16" x14ac:dyDescent="0.3">
      <c r="P1168" t="s">
        <v>1488</v>
      </c>
    </row>
    <row r="1169" spans="16:16" x14ac:dyDescent="0.3">
      <c r="P1169" t="s">
        <v>1489</v>
      </c>
    </row>
    <row r="1170" spans="16:16" x14ac:dyDescent="0.3">
      <c r="P1170" t="s">
        <v>1490</v>
      </c>
    </row>
    <row r="1171" spans="16:16" x14ac:dyDescent="0.3">
      <c r="P1171" t="s">
        <v>1491</v>
      </c>
    </row>
    <row r="1172" spans="16:16" x14ac:dyDescent="0.3">
      <c r="P1172" t="s">
        <v>1492</v>
      </c>
    </row>
    <row r="1173" spans="16:16" x14ac:dyDescent="0.3">
      <c r="P1173" t="s">
        <v>1493</v>
      </c>
    </row>
    <row r="1174" spans="16:16" x14ac:dyDescent="0.3">
      <c r="P1174" t="s">
        <v>747</v>
      </c>
    </row>
    <row r="1175" spans="16:16" x14ac:dyDescent="0.3">
      <c r="P1175" t="s">
        <v>1494</v>
      </c>
    </row>
    <row r="1176" spans="16:16" x14ac:dyDescent="0.3">
      <c r="P1176" t="s">
        <v>1495</v>
      </c>
    </row>
    <row r="1177" spans="16:16" x14ac:dyDescent="0.3">
      <c r="P1177" t="s">
        <v>1496</v>
      </c>
    </row>
    <row r="1178" spans="16:16" x14ac:dyDescent="0.3">
      <c r="P1178" t="s">
        <v>1497</v>
      </c>
    </row>
    <row r="1179" spans="16:16" x14ac:dyDescent="0.3">
      <c r="P1179" t="s">
        <v>1498</v>
      </c>
    </row>
    <row r="1180" spans="16:16" x14ac:dyDescent="0.3">
      <c r="P1180" t="s">
        <v>1499</v>
      </c>
    </row>
    <row r="1181" spans="16:16" x14ac:dyDescent="0.3">
      <c r="P1181" t="s">
        <v>1500</v>
      </c>
    </row>
    <row r="1182" spans="16:16" x14ac:dyDescent="0.3">
      <c r="P1182" t="s">
        <v>1500</v>
      </c>
    </row>
    <row r="1183" spans="16:16" x14ac:dyDescent="0.3">
      <c r="P1183" t="s">
        <v>1501</v>
      </c>
    </row>
    <row r="1184" spans="16:16" x14ac:dyDescent="0.3">
      <c r="P1184" t="s">
        <v>1502</v>
      </c>
    </row>
    <row r="1185" spans="16:16" x14ac:dyDescent="0.3">
      <c r="P1185" t="s">
        <v>1503</v>
      </c>
    </row>
    <row r="1186" spans="16:16" x14ac:dyDescent="0.3">
      <c r="P1186" t="s">
        <v>1504</v>
      </c>
    </row>
    <row r="1187" spans="16:16" x14ac:dyDescent="0.3">
      <c r="P1187" t="s">
        <v>1505</v>
      </c>
    </row>
    <row r="1188" spans="16:16" x14ac:dyDescent="0.3">
      <c r="P1188" t="s">
        <v>1506</v>
      </c>
    </row>
    <row r="1189" spans="16:16" x14ac:dyDescent="0.3">
      <c r="P1189" t="s">
        <v>1507</v>
      </c>
    </row>
    <row r="1190" spans="16:16" x14ac:dyDescent="0.3">
      <c r="P1190" t="s">
        <v>1508</v>
      </c>
    </row>
    <row r="1191" spans="16:16" x14ac:dyDescent="0.3">
      <c r="P1191" t="s">
        <v>1509</v>
      </c>
    </row>
    <row r="1192" spans="16:16" x14ac:dyDescent="0.3">
      <c r="P1192" t="s">
        <v>1510</v>
      </c>
    </row>
    <row r="1193" spans="16:16" x14ac:dyDescent="0.3">
      <c r="P1193" t="s">
        <v>1511</v>
      </c>
    </row>
    <row r="1194" spans="16:16" x14ac:dyDescent="0.3">
      <c r="P1194" t="s">
        <v>1512</v>
      </c>
    </row>
    <row r="1195" spans="16:16" x14ac:dyDescent="0.3">
      <c r="P1195" t="s">
        <v>1513</v>
      </c>
    </row>
    <row r="1196" spans="16:16" x14ac:dyDescent="0.3">
      <c r="P1196" t="s">
        <v>1514</v>
      </c>
    </row>
    <row r="1197" spans="16:16" x14ac:dyDescent="0.3">
      <c r="P1197" t="s">
        <v>1515</v>
      </c>
    </row>
    <row r="1198" spans="16:16" x14ac:dyDescent="0.3">
      <c r="P1198" t="s">
        <v>1516</v>
      </c>
    </row>
    <row r="1199" spans="16:16" x14ac:dyDescent="0.3">
      <c r="P1199" t="s">
        <v>1517</v>
      </c>
    </row>
    <row r="1200" spans="16:16" x14ac:dyDescent="0.3">
      <c r="P1200" t="s">
        <v>1518</v>
      </c>
    </row>
    <row r="1201" spans="16:16" x14ac:dyDescent="0.3">
      <c r="P1201" t="s">
        <v>1519</v>
      </c>
    </row>
    <row r="1202" spans="16:16" x14ac:dyDescent="0.3">
      <c r="P1202" t="s">
        <v>1520</v>
      </c>
    </row>
    <row r="1203" spans="16:16" x14ac:dyDescent="0.3">
      <c r="P1203" t="s">
        <v>1521</v>
      </c>
    </row>
    <row r="1204" spans="16:16" x14ac:dyDescent="0.3">
      <c r="P1204" t="s">
        <v>1522</v>
      </c>
    </row>
    <row r="1205" spans="16:16" x14ac:dyDescent="0.3">
      <c r="P1205" t="s">
        <v>1522</v>
      </c>
    </row>
    <row r="1206" spans="16:16" x14ac:dyDescent="0.3">
      <c r="P1206" t="s">
        <v>1523</v>
      </c>
    </row>
    <row r="1207" spans="16:16" x14ac:dyDescent="0.3">
      <c r="P1207" t="s">
        <v>1524</v>
      </c>
    </row>
    <row r="1208" spans="16:16" x14ac:dyDescent="0.3">
      <c r="P1208" t="s">
        <v>1471</v>
      </c>
    </row>
    <row r="1209" spans="16:16" x14ac:dyDescent="0.3">
      <c r="P1209" t="s">
        <v>1525</v>
      </c>
    </row>
    <row r="1210" spans="16:16" x14ac:dyDescent="0.3">
      <c r="P1210" t="s">
        <v>1526</v>
      </c>
    </row>
    <row r="1211" spans="16:16" x14ac:dyDescent="0.3">
      <c r="P1211" t="s">
        <v>1527</v>
      </c>
    </row>
    <row r="1212" spans="16:16" x14ac:dyDescent="0.3">
      <c r="P1212" t="s">
        <v>1528</v>
      </c>
    </row>
    <row r="1213" spans="16:16" x14ac:dyDescent="0.3">
      <c r="P1213" t="s">
        <v>1529</v>
      </c>
    </row>
    <row r="1214" spans="16:16" x14ac:dyDescent="0.3">
      <c r="P1214" t="s">
        <v>1530</v>
      </c>
    </row>
    <row r="1215" spans="16:16" x14ac:dyDescent="0.3">
      <c r="P1215" t="s">
        <v>1530</v>
      </c>
    </row>
    <row r="1216" spans="16:16" x14ac:dyDescent="0.3">
      <c r="P1216" t="s">
        <v>1531</v>
      </c>
    </row>
    <row r="1217" spans="16:16" x14ac:dyDescent="0.3">
      <c r="P1217" t="s">
        <v>1532</v>
      </c>
    </row>
    <row r="1218" spans="16:16" x14ac:dyDescent="0.3">
      <c r="P1218" t="s">
        <v>1533</v>
      </c>
    </row>
    <row r="1219" spans="16:16" x14ac:dyDescent="0.3">
      <c r="P1219" t="s">
        <v>1467</v>
      </c>
    </row>
    <row r="1220" spans="16:16" x14ac:dyDescent="0.3">
      <c r="P1220" t="s">
        <v>1534</v>
      </c>
    </row>
    <row r="1221" spans="16:16" x14ac:dyDescent="0.3">
      <c r="P1221" t="s">
        <v>1535</v>
      </c>
    </row>
    <row r="1222" spans="16:16" x14ac:dyDescent="0.3">
      <c r="P1222" t="s">
        <v>1536</v>
      </c>
    </row>
    <row r="1223" spans="16:16" x14ac:dyDescent="0.3">
      <c r="P1223" t="s">
        <v>1537</v>
      </c>
    </row>
    <row r="1224" spans="16:16" x14ac:dyDescent="0.3">
      <c r="P1224" t="s">
        <v>1538</v>
      </c>
    </row>
    <row r="1225" spans="16:16" x14ac:dyDescent="0.3">
      <c r="P1225" t="s">
        <v>1539</v>
      </c>
    </row>
    <row r="1226" spans="16:16" x14ac:dyDescent="0.3">
      <c r="P1226" t="s">
        <v>1540</v>
      </c>
    </row>
    <row r="1227" spans="16:16" x14ac:dyDescent="0.3">
      <c r="P1227" t="s">
        <v>1541</v>
      </c>
    </row>
    <row r="1228" spans="16:16" x14ac:dyDescent="0.3">
      <c r="P1228" t="s">
        <v>1542</v>
      </c>
    </row>
    <row r="1229" spans="16:16" x14ac:dyDescent="0.3">
      <c r="P1229" t="s">
        <v>1543</v>
      </c>
    </row>
    <row r="1230" spans="16:16" x14ac:dyDescent="0.3">
      <c r="P1230" t="s">
        <v>1544</v>
      </c>
    </row>
    <row r="1231" spans="16:16" x14ac:dyDescent="0.3">
      <c r="P1231" t="s">
        <v>1545</v>
      </c>
    </row>
    <row r="1232" spans="16:16" x14ac:dyDescent="0.3">
      <c r="P1232" t="s">
        <v>1546</v>
      </c>
    </row>
    <row r="1233" spans="16:16" x14ac:dyDescent="0.3">
      <c r="P1233" t="s">
        <v>1547</v>
      </c>
    </row>
    <row r="1234" spans="16:16" x14ac:dyDescent="0.3">
      <c r="P1234" t="s">
        <v>1548</v>
      </c>
    </row>
    <row r="1235" spans="16:16" x14ac:dyDescent="0.3">
      <c r="P1235" t="s">
        <v>1549</v>
      </c>
    </row>
    <row r="1236" spans="16:16" x14ac:dyDescent="0.3">
      <c r="P1236" t="s">
        <v>1550</v>
      </c>
    </row>
    <row r="1237" spans="16:16" x14ac:dyDescent="0.3">
      <c r="P1237" t="s">
        <v>1551</v>
      </c>
    </row>
    <row r="1238" spans="16:16" x14ac:dyDescent="0.3">
      <c r="P1238" t="s">
        <v>1552</v>
      </c>
    </row>
    <row r="1239" spans="16:16" x14ac:dyDescent="0.3">
      <c r="P1239" t="s">
        <v>1553</v>
      </c>
    </row>
    <row r="1240" spans="16:16" x14ac:dyDescent="0.3">
      <c r="P1240" t="s">
        <v>1554</v>
      </c>
    </row>
    <row r="1241" spans="16:16" x14ac:dyDescent="0.3">
      <c r="P1241" t="s">
        <v>1555</v>
      </c>
    </row>
    <row r="1242" spans="16:16" x14ac:dyDescent="0.3">
      <c r="P1242" t="s">
        <v>1556</v>
      </c>
    </row>
    <row r="1243" spans="16:16" x14ac:dyDescent="0.3">
      <c r="P1243" t="s">
        <v>1557</v>
      </c>
    </row>
    <row r="1244" spans="16:16" x14ac:dyDescent="0.3">
      <c r="P1244" t="s">
        <v>1540</v>
      </c>
    </row>
    <row r="1245" spans="16:16" x14ac:dyDescent="0.3">
      <c r="P1245" t="s">
        <v>1558</v>
      </c>
    </row>
    <row r="1246" spans="16:16" x14ac:dyDescent="0.3">
      <c r="P1246" t="s">
        <v>1559</v>
      </c>
    </row>
    <row r="1247" spans="16:16" x14ac:dyDescent="0.3">
      <c r="P1247" t="s">
        <v>1560</v>
      </c>
    </row>
    <row r="1248" spans="16:16" x14ac:dyDescent="0.3">
      <c r="P1248" t="s">
        <v>1560</v>
      </c>
    </row>
    <row r="1249" spans="16:16" x14ac:dyDescent="0.3">
      <c r="P1249" t="s">
        <v>1561</v>
      </c>
    </row>
    <row r="1250" spans="16:16" x14ac:dyDescent="0.3">
      <c r="P1250" t="s">
        <v>1562</v>
      </c>
    </row>
    <row r="1251" spans="16:16" x14ac:dyDescent="0.3">
      <c r="P1251" t="s">
        <v>1563</v>
      </c>
    </row>
    <row r="1252" spans="16:16" x14ac:dyDescent="0.3">
      <c r="P1252" t="s">
        <v>1564</v>
      </c>
    </row>
    <row r="1253" spans="16:16" x14ac:dyDescent="0.3">
      <c r="P1253" t="s">
        <v>1565</v>
      </c>
    </row>
    <row r="1254" spans="16:16" x14ac:dyDescent="0.3">
      <c r="P1254" t="s">
        <v>1566</v>
      </c>
    </row>
    <row r="1255" spans="16:16" x14ac:dyDescent="0.3">
      <c r="P1255" t="s">
        <v>1508</v>
      </c>
    </row>
    <row r="1256" spans="16:16" x14ac:dyDescent="0.3">
      <c r="P1256" t="s">
        <v>1567</v>
      </c>
    </row>
    <row r="1257" spans="16:16" x14ac:dyDescent="0.3">
      <c r="P1257" t="s">
        <v>1568</v>
      </c>
    </row>
    <row r="1258" spans="16:16" x14ac:dyDescent="0.3">
      <c r="P1258" t="s">
        <v>1569</v>
      </c>
    </row>
    <row r="1259" spans="16:16" x14ac:dyDescent="0.3">
      <c r="P1259" t="s">
        <v>1551</v>
      </c>
    </row>
    <row r="1260" spans="16:16" x14ac:dyDescent="0.3">
      <c r="P1260" t="s">
        <v>1570</v>
      </c>
    </row>
    <row r="1261" spans="16:16" x14ac:dyDescent="0.3">
      <c r="P1261" t="s">
        <v>1571</v>
      </c>
    </row>
    <row r="1262" spans="16:16" x14ac:dyDescent="0.3">
      <c r="P1262" t="s">
        <v>1572</v>
      </c>
    </row>
    <row r="1263" spans="16:16" x14ac:dyDescent="0.3">
      <c r="P1263" t="s">
        <v>1573</v>
      </c>
    </row>
    <row r="1264" spans="16:16" x14ac:dyDescent="0.3">
      <c r="P1264" t="s">
        <v>1574</v>
      </c>
    </row>
    <row r="1265" spans="16:16" x14ac:dyDescent="0.3">
      <c r="P1265" t="s">
        <v>1420</v>
      </c>
    </row>
    <row r="1266" spans="16:16" x14ac:dyDescent="0.3">
      <c r="P1266" t="s">
        <v>1575</v>
      </c>
    </row>
    <row r="1267" spans="16:16" x14ac:dyDescent="0.3">
      <c r="P1267" t="s">
        <v>1576</v>
      </c>
    </row>
    <row r="1268" spans="16:16" x14ac:dyDescent="0.3">
      <c r="P1268" t="s">
        <v>1577</v>
      </c>
    </row>
    <row r="1269" spans="16:16" x14ac:dyDescent="0.3">
      <c r="P1269" t="s">
        <v>1578</v>
      </c>
    </row>
    <row r="1270" spans="16:16" x14ac:dyDescent="0.3">
      <c r="P1270" t="s">
        <v>1579</v>
      </c>
    </row>
    <row r="1271" spans="16:16" x14ac:dyDescent="0.3">
      <c r="P1271" t="s">
        <v>1580</v>
      </c>
    </row>
    <row r="1272" spans="16:16" x14ac:dyDescent="0.3">
      <c r="P1272" t="s">
        <v>1581</v>
      </c>
    </row>
    <row r="1273" spans="16:16" x14ac:dyDescent="0.3">
      <c r="P1273" t="s">
        <v>1582</v>
      </c>
    </row>
    <row r="1274" spans="16:16" x14ac:dyDescent="0.3">
      <c r="P1274" t="s">
        <v>1583</v>
      </c>
    </row>
    <row r="1275" spans="16:16" x14ac:dyDescent="0.3">
      <c r="P1275" t="s">
        <v>1584</v>
      </c>
    </row>
    <row r="1276" spans="16:16" x14ac:dyDescent="0.3">
      <c r="P1276" t="s">
        <v>1585</v>
      </c>
    </row>
    <row r="1277" spans="16:16" x14ac:dyDescent="0.3">
      <c r="P1277" t="s">
        <v>1586</v>
      </c>
    </row>
    <row r="1278" spans="16:16" x14ac:dyDescent="0.3">
      <c r="P1278" t="s">
        <v>1587</v>
      </c>
    </row>
    <row r="1279" spans="16:16" x14ac:dyDescent="0.3">
      <c r="P1279" t="s">
        <v>1588</v>
      </c>
    </row>
    <row r="1280" spans="16:16" x14ac:dyDescent="0.3">
      <c r="P1280" t="s">
        <v>1589</v>
      </c>
    </row>
    <row r="1281" spans="16:16" x14ac:dyDescent="0.3">
      <c r="P1281" t="s">
        <v>1590</v>
      </c>
    </row>
    <row r="1282" spans="16:16" x14ac:dyDescent="0.3">
      <c r="P1282" t="s">
        <v>1591</v>
      </c>
    </row>
    <row r="1283" spans="16:16" x14ac:dyDescent="0.3">
      <c r="P1283" t="s">
        <v>1592</v>
      </c>
    </row>
    <row r="1284" spans="16:16" x14ac:dyDescent="0.3">
      <c r="P1284" t="s">
        <v>1593</v>
      </c>
    </row>
    <row r="1285" spans="16:16" x14ac:dyDescent="0.3">
      <c r="P1285" t="s">
        <v>1594</v>
      </c>
    </row>
    <row r="1286" spans="16:16" x14ac:dyDescent="0.3">
      <c r="P1286" t="s">
        <v>1595</v>
      </c>
    </row>
    <row r="1287" spans="16:16" x14ac:dyDescent="0.3">
      <c r="P1287" t="s">
        <v>1596</v>
      </c>
    </row>
    <row r="1288" spans="16:16" x14ac:dyDescent="0.3">
      <c r="P1288" t="s">
        <v>1597</v>
      </c>
    </row>
    <row r="1289" spans="16:16" x14ac:dyDescent="0.3">
      <c r="P1289" t="s">
        <v>1598</v>
      </c>
    </row>
    <row r="1290" spans="16:16" x14ac:dyDescent="0.3">
      <c r="P1290" t="s">
        <v>1599</v>
      </c>
    </row>
    <row r="1291" spans="16:16" x14ac:dyDescent="0.3">
      <c r="P1291" t="s">
        <v>1599</v>
      </c>
    </row>
    <row r="1292" spans="16:16" x14ac:dyDescent="0.3">
      <c r="P1292" t="s">
        <v>1600</v>
      </c>
    </row>
    <row r="1293" spans="16:16" x14ac:dyDescent="0.3">
      <c r="P1293" t="s">
        <v>1601</v>
      </c>
    </row>
    <row r="1294" spans="16:16" x14ac:dyDescent="0.3">
      <c r="P1294" t="s">
        <v>1602</v>
      </c>
    </row>
    <row r="1295" spans="16:16" x14ac:dyDescent="0.3">
      <c r="P1295" t="s">
        <v>1603</v>
      </c>
    </row>
    <row r="1296" spans="16:16" x14ac:dyDescent="0.3">
      <c r="P1296" t="s">
        <v>1604</v>
      </c>
    </row>
    <row r="1297" spans="16:16" x14ac:dyDescent="0.3">
      <c r="P1297" t="s">
        <v>1605</v>
      </c>
    </row>
    <row r="1298" spans="16:16" x14ac:dyDescent="0.3">
      <c r="P1298" t="s">
        <v>1606</v>
      </c>
    </row>
    <row r="1299" spans="16:16" x14ac:dyDescent="0.3">
      <c r="P1299" t="s">
        <v>1607</v>
      </c>
    </row>
    <row r="1300" spans="16:16" x14ac:dyDescent="0.3">
      <c r="P1300" t="s">
        <v>1608</v>
      </c>
    </row>
    <row r="1301" spans="16:16" x14ac:dyDescent="0.3">
      <c r="P1301" t="s">
        <v>1609</v>
      </c>
    </row>
    <row r="1302" spans="16:16" x14ac:dyDescent="0.3">
      <c r="P1302" t="s">
        <v>1610</v>
      </c>
    </row>
    <row r="1303" spans="16:16" x14ac:dyDescent="0.3">
      <c r="P1303" t="s">
        <v>1611</v>
      </c>
    </row>
    <row r="1304" spans="16:16" x14ac:dyDescent="0.3">
      <c r="P1304" t="s">
        <v>1612</v>
      </c>
    </row>
    <row r="1305" spans="16:16" x14ac:dyDescent="0.3">
      <c r="P1305" t="s">
        <v>1613</v>
      </c>
    </row>
    <row r="1306" spans="16:16" x14ac:dyDescent="0.3">
      <c r="P1306" t="s">
        <v>1614</v>
      </c>
    </row>
    <row r="1307" spans="16:16" x14ac:dyDescent="0.3">
      <c r="P1307" t="s">
        <v>1615</v>
      </c>
    </row>
    <row r="1308" spans="16:16" x14ac:dyDescent="0.3">
      <c r="P1308" t="s">
        <v>1616</v>
      </c>
    </row>
    <row r="1309" spans="16:16" x14ac:dyDescent="0.3">
      <c r="P1309" t="s">
        <v>1617</v>
      </c>
    </row>
    <row r="1310" spans="16:16" x14ac:dyDescent="0.3">
      <c r="P1310" t="s">
        <v>1618</v>
      </c>
    </row>
    <row r="1311" spans="16:16" x14ac:dyDescent="0.3">
      <c r="P1311" t="s">
        <v>1619</v>
      </c>
    </row>
    <row r="1312" spans="16:16" x14ac:dyDescent="0.3">
      <c r="P1312" t="s">
        <v>1620</v>
      </c>
    </row>
    <row r="1313" spans="16:16" x14ac:dyDescent="0.3">
      <c r="P1313" t="s">
        <v>1621</v>
      </c>
    </row>
    <row r="1314" spans="16:16" x14ac:dyDescent="0.3">
      <c r="P1314" t="s">
        <v>1622</v>
      </c>
    </row>
    <row r="1315" spans="16:16" x14ac:dyDescent="0.3">
      <c r="P1315" t="s">
        <v>1623</v>
      </c>
    </row>
    <row r="1316" spans="16:16" x14ac:dyDescent="0.3">
      <c r="P1316" t="s">
        <v>1624</v>
      </c>
    </row>
    <row r="1317" spans="16:16" x14ac:dyDescent="0.3">
      <c r="P1317" t="s">
        <v>1625</v>
      </c>
    </row>
    <row r="1318" spans="16:16" x14ac:dyDescent="0.3">
      <c r="P1318" t="s">
        <v>1626</v>
      </c>
    </row>
    <row r="1319" spans="16:16" x14ac:dyDescent="0.3">
      <c r="P1319" t="s">
        <v>1627</v>
      </c>
    </row>
    <row r="1320" spans="16:16" x14ac:dyDescent="0.3">
      <c r="P1320" t="s">
        <v>1628</v>
      </c>
    </row>
    <row r="1321" spans="16:16" x14ac:dyDescent="0.3">
      <c r="P1321" t="s">
        <v>1629</v>
      </c>
    </row>
    <row r="1322" spans="16:16" x14ac:dyDescent="0.3">
      <c r="P1322" t="s">
        <v>1630</v>
      </c>
    </row>
    <row r="1323" spans="16:16" x14ac:dyDescent="0.3">
      <c r="P1323" t="s">
        <v>1631</v>
      </c>
    </row>
    <row r="1324" spans="16:16" x14ac:dyDescent="0.3">
      <c r="P1324" t="s">
        <v>1632</v>
      </c>
    </row>
    <row r="1325" spans="16:16" x14ac:dyDescent="0.3">
      <c r="P1325" t="s">
        <v>1633</v>
      </c>
    </row>
    <row r="1326" spans="16:16" x14ac:dyDescent="0.3">
      <c r="P1326" t="s">
        <v>1634</v>
      </c>
    </row>
    <row r="1327" spans="16:16" x14ac:dyDescent="0.3">
      <c r="P1327" t="s">
        <v>1635</v>
      </c>
    </row>
    <row r="1328" spans="16:16" x14ac:dyDescent="0.3">
      <c r="P1328" t="s">
        <v>1636</v>
      </c>
    </row>
    <row r="1329" spans="16:16" x14ac:dyDescent="0.3">
      <c r="P1329" t="s">
        <v>1637</v>
      </c>
    </row>
    <row r="1330" spans="16:16" x14ac:dyDescent="0.3">
      <c r="P1330" t="s">
        <v>1638</v>
      </c>
    </row>
    <row r="1331" spans="16:16" x14ac:dyDescent="0.3">
      <c r="P1331" t="s">
        <v>1639</v>
      </c>
    </row>
    <row r="1332" spans="16:16" x14ac:dyDescent="0.3">
      <c r="P1332" t="s">
        <v>1640</v>
      </c>
    </row>
    <row r="1333" spans="16:16" x14ac:dyDescent="0.3">
      <c r="P1333" t="s">
        <v>1641</v>
      </c>
    </row>
    <row r="1334" spans="16:16" x14ac:dyDescent="0.3">
      <c r="P1334" t="s">
        <v>1642</v>
      </c>
    </row>
    <row r="1335" spans="16:16" x14ac:dyDescent="0.3">
      <c r="P1335" t="s">
        <v>1643</v>
      </c>
    </row>
    <row r="1336" spans="16:16" x14ac:dyDescent="0.3">
      <c r="P1336" t="s">
        <v>1644</v>
      </c>
    </row>
    <row r="1337" spans="16:16" x14ac:dyDescent="0.3">
      <c r="P1337" t="s">
        <v>1645</v>
      </c>
    </row>
    <row r="1338" spans="16:16" x14ac:dyDescent="0.3">
      <c r="P1338" t="s">
        <v>1646</v>
      </c>
    </row>
    <row r="1339" spans="16:16" x14ac:dyDescent="0.3">
      <c r="P1339" t="s">
        <v>1647</v>
      </c>
    </row>
    <row r="1340" spans="16:16" x14ac:dyDescent="0.3">
      <c r="P1340" t="s">
        <v>1648</v>
      </c>
    </row>
    <row r="1341" spans="16:16" x14ac:dyDescent="0.3">
      <c r="P1341" t="s">
        <v>1649</v>
      </c>
    </row>
    <row r="1342" spans="16:16" x14ac:dyDescent="0.3">
      <c r="P1342" t="s">
        <v>1649</v>
      </c>
    </row>
    <row r="1343" spans="16:16" x14ac:dyDescent="0.3">
      <c r="P1343" t="s">
        <v>1650</v>
      </c>
    </row>
    <row r="1344" spans="16:16" x14ac:dyDescent="0.3">
      <c r="P1344" t="s">
        <v>1651</v>
      </c>
    </row>
    <row r="1345" spans="16:16" x14ac:dyDescent="0.3">
      <c r="P1345" t="s">
        <v>1652</v>
      </c>
    </row>
    <row r="1346" spans="16:16" x14ac:dyDescent="0.3">
      <c r="P1346" t="s">
        <v>1653</v>
      </c>
    </row>
    <row r="1347" spans="16:16" x14ac:dyDescent="0.3">
      <c r="P1347" t="s">
        <v>1654</v>
      </c>
    </row>
    <row r="1348" spans="16:16" x14ac:dyDescent="0.3">
      <c r="P1348" t="s">
        <v>1655</v>
      </c>
    </row>
    <row r="1349" spans="16:16" x14ac:dyDescent="0.3">
      <c r="P1349" t="s">
        <v>1656</v>
      </c>
    </row>
    <row r="1350" spans="16:16" x14ac:dyDescent="0.3">
      <c r="P1350" t="s">
        <v>1657</v>
      </c>
    </row>
    <row r="1351" spans="16:16" x14ac:dyDescent="0.3">
      <c r="P1351" t="s">
        <v>1658</v>
      </c>
    </row>
    <row r="1352" spans="16:16" x14ac:dyDescent="0.3">
      <c r="P1352" t="s">
        <v>1659</v>
      </c>
    </row>
    <row r="1353" spans="16:16" x14ac:dyDescent="0.3">
      <c r="P1353" t="s">
        <v>1660</v>
      </c>
    </row>
    <row r="1354" spans="16:16" x14ac:dyDescent="0.3">
      <c r="P1354" t="s">
        <v>1661</v>
      </c>
    </row>
    <row r="1355" spans="16:16" x14ac:dyDescent="0.3">
      <c r="P1355" t="s">
        <v>1662</v>
      </c>
    </row>
    <row r="1356" spans="16:16" x14ac:dyDescent="0.3">
      <c r="P1356" t="s">
        <v>1663</v>
      </c>
    </row>
    <row r="1357" spans="16:16" x14ac:dyDescent="0.3">
      <c r="P1357" t="s">
        <v>1664</v>
      </c>
    </row>
    <row r="1358" spans="16:16" x14ac:dyDescent="0.3">
      <c r="P1358" t="s">
        <v>1665</v>
      </c>
    </row>
    <row r="1359" spans="16:16" x14ac:dyDescent="0.3">
      <c r="P1359" t="s">
        <v>1666</v>
      </c>
    </row>
    <row r="1360" spans="16:16" x14ac:dyDescent="0.3">
      <c r="P1360" t="s">
        <v>1667</v>
      </c>
    </row>
    <row r="1361" spans="16:16" x14ac:dyDescent="0.3">
      <c r="P1361" t="s">
        <v>1668</v>
      </c>
    </row>
    <row r="1362" spans="16:16" x14ac:dyDescent="0.3">
      <c r="P1362" t="s">
        <v>1669</v>
      </c>
    </row>
    <row r="1363" spans="16:16" x14ac:dyDescent="0.3">
      <c r="P1363" t="s">
        <v>1670</v>
      </c>
    </row>
    <row r="1364" spans="16:16" x14ac:dyDescent="0.3">
      <c r="P1364" t="s">
        <v>1671</v>
      </c>
    </row>
    <row r="1365" spans="16:16" x14ac:dyDescent="0.3">
      <c r="P1365" t="s">
        <v>1672</v>
      </c>
    </row>
    <row r="1366" spans="16:16" x14ac:dyDescent="0.3">
      <c r="P1366" t="s">
        <v>1673</v>
      </c>
    </row>
    <row r="1367" spans="16:16" x14ac:dyDescent="0.3">
      <c r="P1367" t="s">
        <v>1674</v>
      </c>
    </row>
    <row r="1368" spans="16:16" x14ac:dyDescent="0.3">
      <c r="P1368" t="s">
        <v>1675</v>
      </c>
    </row>
    <row r="1369" spans="16:16" x14ac:dyDescent="0.3">
      <c r="P1369" t="s">
        <v>1670</v>
      </c>
    </row>
    <row r="1370" spans="16:16" x14ac:dyDescent="0.3">
      <c r="P1370" t="s">
        <v>1670</v>
      </c>
    </row>
    <row r="1371" spans="16:16" x14ac:dyDescent="0.3">
      <c r="P1371" t="s">
        <v>1676</v>
      </c>
    </row>
    <row r="1372" spans="16:16" x14ac:dyDescent="0.3">
      <c r="P1372" t="s">
        <v>1677</v>
      </c>
    </row>
    <row r="1373" spans="16:16" x14ac:dyDescent="0.3">
      <c r="P1373" t="s">
        <v>1678</v>
      </c>
    </row>
    <row r="1374" spans="16:16" x14ac:dyDescent="0.3">
      <c r="P1374" t="s">
        <v>1679</v>
      </c>
    </row>
    <row r="1375" spans="16:16" x14ac:dyDescent="0.3">
      <c r="P1375" t="s">
        <v>1680</v>
      </c>
    </row>
    <row r="1376" spans="16:16" x14ac:dyDescent="0.3">
      <c r="P1376" t="s">
        <v>1681</v>
      </c>
    </row>
    <row r="1377" spans="16:16" x14ac:dyDescent="0.3">
      <c r="P1377" t="s">
        <v>1682</v>
      </c>
    </row>
    <row r="1378" spans="16:16" x14ac:dyDescent="0.3">
      <c r="P1378" t="s">
        <v>1683</v>
      </c>
    </row>
    <row r="1379" spans="16:16" x14ac:dyDescent="0.3">
      <c r="P1379" t="s">
        <v>1684</v>
      </c>
    </row>
    <row r="1380" spans="16:16" x14ac:dyDescent="0.3">
      <c r="P1380" t="s">
        <v>1685</v>
      </c>
    </row>
    <row r="1381" spans="16:16" x14ac:dyDescent="0.3">
      <c r="P1381" t="s">
        <v>1686</v>
      </c>
    </row>
    <row r="1382" spans="16:16" x14ac:dyDescent="0.3">
      <c r="P1382" t="s">
        <v>1687</v>
      </c>
    </row>
    <row r="1383" spans="16:16" x14ac:dyDescent="0.3">
      <c r="P1383" t="s">
        <v>1688</v>
      </c>
    </row>
    <row r="1384" spans="16:16" x14ac:dyDescent="0.3">
      <c r="P1384" t="s">
        <v>1689</v>
      </c>
    </row>
    <row r="1385" spans="16:16" x14ac:dyDescent="0.3">
      <c r="P1385" t="s">
        <v>1690</v>
      </c>
    </row>
    <row r="1386" spans="16:16" x14ac:dyDescent="0.3">
      <c r="P1386" t="s">
        <v>1670</v>
      </c>
    </row>
    <row r="1387" spans="16:16" x14ac:dyDescent="0.3">
      <c r="P1387" t="s">
        <v>1691</v>
      </c>
    </row>
    <row r="1388" spans="16:16" x14ac:dyDescent="0.3">
      <c r="P1388" t="s">
        <v>1689</v>
      </c>
    </row>
    <row r="1389" spans="16:16" x14ac:dyDescent="0.3">
      <c r="P1389" t="s">
        <v>1692</v>
      </c>
    </row>
    <row r="1390" spans="16:16" x14ac:dyDescent="0.3">
      <c r="P1390" t="s">
        <v>1689</v>
      </c>
    </row>
    <row r="1391" spans="16:16" x14ac:dyDescent="0.3">
      <c r="P1391" t="s">
        <v>1690</v>
      </c>
    </row>
    <row r="1392" spans="16:16" x14ac:dyDescent="0.3">
      <c r="P1392" t="s">
        <v>1675</v>
      </c>
    </row>
    <row r="1393" spans="16:16" x14ac:dyDescent="0.3">
      <c r="P1393" t="s">
        <v>1691</v>
      </c>
    </row>
    <row r="1394" spans="16:16" x14ac:dyDescent="0.3">
      <c r="P1394" t="s">
        <v>1670</v>
      </c>
    </row>
    <row r="1395" spans="16:16" x14ac:dyDescent="0.3">
      <c r="P1395" t="s">
        <v>1671</v>
      </c>
    </row>
    <row r="1396" spans="16:16" x14ac:dyDescent="0.3">
      <c r="P1396" t="s">
        <v>1692</v>
      </c>
    </row>
    <row r="1397" spans="16:16" x14ac:dyDescent="0.3">
      <c r="P1397" t="s">
        <v>1690</v>
      </c>
    </row>
    <row r="1398" spans="16:16" x14ac:dyDescent="0.3">
      <c r="P1398" t="s">
        <v>1693</v>
      </c>
    </row>
    <row r="1399" spans="16:16" x14ac:dyDescent="0.3">
      <c r="P1399" t="s">
        <v>1671</v>
      </c>
    </row>
    <row r="1400" spans="16:16" x14ac:dyDescent="0.3">
      <c r="P1400" t="s">
        <v>1693</v>
      </c>
    </row>
    <row r="1401" spans="16:16" x14ac:dyDescent="0.3">
      <c r="P1401" t="s">
        <v>1673</v>
      </c>
    </row>
    <row r="1402" spans="16:16" x14ac:dyDescent="0.3">
      <c r="P1402" t="s">
        <v>1673</v>
      </c>
    </row>
    <row r="1403" spans="16:16" x14ac:dyDescent="0.3">
      <c r="P1403" t="s">
        <v>1669</v>
      </c>
    </row>
    <row r="1404" spans="16:16" x14ac:dyDescent="0.3">
      <c r="P1404" t="s">
        <v>1671</v>
      </c>
    </row>
    <row r="1405" spans="16:16" x14ac:dyDescent="0.3">
      <c r="P1405" t="s">
        <v>1692</v>
      </c>
    </row>
    <row r="1406" spans="16:16" x14ac:dyDescent="0.3">
      <c r="P1406" t="s">
        <v>1670</v>
      </c>
    </row>
    <row r="1407" spans="16:16" x14ac:dyDescent="0.3">
      <c r="P1407" t="s">
        <v>1675</v>
      </c>
    </row>
    <row r="1408" spans="16:16" x14ac:dyDescent="0.3">
      <c r="P1408" t="s">
        <v>1673</v>
      </c>
    </row>
    <row r="1409" spans="16:16" x14ac:dyDescent="0.3">
      <c r="P1409" t="s">
        <v>1673</v>
      </c>
    </row>
    <row r="1410" spans="16:16" x14ac:dyDescent="0.3">
      <c r="P1410" t="s">
        <v>1671</v>
      </c>
    </row>
    <row r="1411" spans="16:16" x14ac:dyDescent="0.3">
      <c r="P1411" t="s">
        <v>1673</v>
      </c>
    </row>
    <row r="1412" spans="16:16" x14ac:dyDescent="0.3">
      <c r="P1412" t="s">
        <v>1670</v>
      </c>
    </row>
    <row r="1413" spans="16:16" x14ac:dyDescent="0.3">
      <c r="P1413" t="s">
        <v>1694</v>
      </c>
    </row>
    <row r="1414" spans="16:16" x14ac:dyDescent="0.3">
      <c r="P1414" t="s">
        <v>1695</v>
      </c>
    </row>
    <row r="1415" spans="16:16" x14ac:dyDescent="0.3">
      <c r="P1415" t="s">
        <v>1696</v>
      </c>
    </row>
    <row r="1416" spans="16:16" x14ac:dyDescent="0.3">
      <c r="P1416" t="s">
        <v>1697</v>
      </c>
    </row>
    <row r="1417" spans="16:16" x14ac:dyDescent="0.3">
      <c r="P1417" t="s">
        <v>1698</v>
      </c>
    </row>
    <row r="1418" spans="16:16" x14ac:dyDescent="0.3">
      <c r="P1418" t="s">
        <v>1699</v>
      </c>
    </row>
    <row r="1419" spans="16:16" x14ac:dyDescent="0.3">
      <c r="P1419" t="s">
        <v>1700</v>
      </c>
    </row>
    <row r="1420" spans="16:16" x14ac:dyDescent="0.3">
      <c r="P1420" t="s">
        <v>1701</v>
      </c>
    </row>
    <row r="1421" spans="16:16" x14ac:dyDescent="0.3">
      <c r="P1421" t="s">
        <v>1702</v>
      </c>
    </row>
    <row r="1422" spans="16:16" x14ac:dyDescent="0.3">
      <c r="P1422" t="s">
        <v>1703</v>
      </c>
    </row>
    <row r="1423" spans="16:16" x14ac:dyDescent="0.3">
      <c r="P1423" t="s">
        <v>1704</v>
      </c>
    </row>
    <row r="1424" spans="16:16" x14ac:dyDescent="0.3">
      <c r="P1424" t="s">
        <v>1705</v>
      </c>
    </row>
    <row r="1425" spans="16:16" x14ac:dyDescent="0.3">
      <c r="P1425" t="s">
        <v>1706</v>
      </c>
    </row>
    <row r="1426" spans="16:16" x14ac:dyDescent="0.3">
      <c r="P1426" t="s">
        <v>1698</v>
      </c>
    </row>
    <row r="1427" spans="16:16" x14ac:dyDescent="0.3">
      <c r="P1427" t="s">
        <v>1707</v>
      </c>
    </row>
    <row r="1428" spans="16:16" x14ac:dyDescent="0.3">
      <c r="P1428" t="s">
        <v>1708</v>
      </c>
    </row>
    <row r="1429" spans="16:16" x14ac:dyDescent="0.3">
      <c r="P1429" t="s">
        <v>1709</v>
      </c>
    </row>
    <row r="1430" spans="16:16" x14ac:dyDescent="0.3">
      <c r="P1430" t="s">
        <v>1710</v>
      </c>
    </row>
    <row r="1431" spans="16:16" x14ac:dyDescent="0.3">
      <c r="P1431" t="s">
        <v>1711</v>
      </c>
    </row>
    <row r="1432" spans="16:16" x14ac:dyDescent="0.3">
      <c r="P1432" t="s">
        <v>1712</v>
      </c>
    </row>
    <row r="1433" spans="16:16" x14ac:dyDescent="0.3">
      <c r="P1433" t="s">
        <v>1710</v>
      </c>
    </row>
    <row r="1434" spans="16:16" x14ac:dyDescent="0.3">
      <c r="P1434" t="s">
        <v>1713</v>
      </c>
    </row>
    <row r="1435" spans="16:16" x14ac:dyDescent="0.3">
      <c r="P1435" t="s">
        <v>1714</v>
      </c>
    </row>
    <row r="1436" spans="16:16" x14ac:dyDescent="0.3">
      <c r="P1436" t="s">
        <v>1715</v>
      </c>
    </row>
    <row r="1437" spans="16:16" x14ac:dyDescent="0.3">
      <c r="P1437" t="s">
        <v>1716</v>
      </c>
    </row>
    <row r="1438" spans="16:16" x14ac:dyDescent="0.3">
      <c r="P1438" t="s">
        <v>1717</v>
      </c>
    </row>
    <row r="1439" spans="16:16" x14ac:dyDescent="0.3">
      <c r="P1439" t="s">
        <v>1718</v>
      </c>
    </row>
    <row r="1440" spans="16:16" x14ac:dyDescent="0.3">
      <c r="P1440" t="s">
        <v>1719</v>
      </c>
    </row>
    <row r="1441" spans="16:16" x14ac:dyDescent="0.3">
      <c r="P1441" t="s">
        <v>1720</v>
      </c>
    </row>
    <row r="1442" spans="16:16" x14ac:dyDescent="0.3">
      <c r="P1442" t="s">
        <v>1721</v>
      </c>
    </row>
    <row r="1443" spans="16:16" x14ac:dyDescent="0.3">
      <c r="P1443" t="s">
        <v>1714</v>
      </c>
    </row>
    <row r="1444" spans="16:16" x14ac:dyDescent="0.3">
      <c r="P1444" t="s">
        <v>1722</v>
      </c>
    </row>
    <row r="1445" spans="16:16" x14ac:dyDescent="0.3">
      <c r="P1445" t="s">
        <v>1723</v>
      </c>
    </row>
    <row r="1446" spans="16:16" x14ac:dyDescent="0.3">
      <c r="P1446" t="s">
        <v>1724</v>
      </c>
    </row>
    <row r="1447" spans="16:16" x14ac:dyDescent="0.3">
      <c r="P1447" t="s">
        <v>1725</v>
      </c>
    </row>
    <row r="1448" spans="16:16" x14ac:dyDescent="0.3">
      <c r="P1448" t="s">
        <v>1726</v>
      </c>
    </row>
    <row r="1449" spans="16:16" x14ac:dyDescent="0.3">
      <c r="P1449" t="s">
        <v>1727</v>
      </c>
    </row>
    <row r="1450" spans="16:16" x14ac:dyDescent="0.3">
      <c r="P1450" t="s">
        <v>1728</v>
      </c>
    </row>
    <row r="1451" spans="16:16" x14ac:dyDescent="0.3">
      <c r="P1451" t="s">
        <v>1729</v>
      </c>
    </row>
    <row r="1452" spans="16:16" x14ac:dyDescent="0.3">
      <c r="P1452" t="s">
        <v>1730</v>
      </c>
    </row>
    <row r="1453" spans="16:16" x14ac:dyDescent="0.3">
      <c r="P1453" t="s">
        <v>1731</v>
      </c>
    </row>
    <row r="1454" spans="16:16" x14ac:dyDescent="0.3">
      <c r="P1454" t="s">
        <v>1732</v>
      </c>
    </row>
    <row r="1455" spans="16:16" x14ac:dyDescent="0.3">
      <c r="P1455" t="s">
        <v>1733</v>
      </c>
    </row>
    <row r="1456" spans="16:16" x14ac:dyDescent="0.3">
      <c r="P1456" t="s">
        <v>1734</v>
      </c>
    </row>
    <row r="1457" spans="16:16" x14ac:dyDescent="0.3">
      <c r="P1457" t="s">
        <v>1735</v>
      </c>
    </row>
    <row r="1458" spans="16:16" x14ac:dyDescent="0.3">
      <c r="P1458" t="s">
        <v>1736</v>
      </c>
    </row>
    <row r="1459" spans="16:16" x14ac:dyDescent="0.3">
      <c r="P1459" t="s">
        <v>1737</v>
      </c>
    </row>
    <row r="1460" spans="16:16" x14ac:dyDescent="0.3">
      <c r="P1460" t="s">
        <v>1738</v>
      </c>
    </row>
    <row r="1461" spans="16:16" x14ac:dyDescent="0.3">
      <c r="P1461" t="s">
        <v>1739</v>
      </c>
    </row>
    <row r="1462" spans="16:16" x14ac:dyDescent="0.3">
      <c r="P1462" t="s">
        <v>1740</v>
      </c>
    </row>
    <row r="1463" spans="16:16" x14ac:dyDescent="0.3">
      <c r="P1463" t="s">
        <v>1741</v>
      </c>
    </row>
    <row r="1464" spans="16:16" x14ac:dyDescent="0.3">
      <c r="P1464" t="s">
        <v>1742</v>
      </c>
    </row>
    <row r="1465" spans="16:16" x14ac:dyDescent="0.3">
      <c r="P1465" t="s">
        <v>1743</v>
      </c>
    </row>
    <row r="1466" spans="16:16" x14ac:dyDescent="0.3">
      <c r="P1466" t="s">
        <v>1744</v>
      </c>
    </row>
    <row r="1467" spans="16:16" x14ac:dyDescent="0.3">
      <c r="P1467" t="s">
        <v>1745</v>
      </c>
    </row>
    <row r="1468" spans="16:16" x14ac:dyDescent="0.3">
      <c r="P1468" t="s">
        <v>1746</v>
      </c>
    </row>
    <row r="1469" spans="16:16" x14ac:dyDescent="0.3">
      <c r="P1469" t="s">
        <v>1612</v>
      </c>
    </row>
    <row r="1470" spans="16:16" x14ac:dyDescent="0.3">
      <c r="P1470" t="s">
        <v>1747</v>
      </c>
    </row>
    <row r="1471" spans="16:16" x14ac:dyDescent="0.3">
      <c r="P1471" t="s">
        <v>1748</v>
      </c>
    </row>
    <row r="1472" spans="16:16" x14ac:dyDescent="0.3">
      <c r="P1472" t="s">
        <v>1749</v>
      </c>
    </row>
    <row r="1473" spans="16:16" x14ac:dyDescent="0.3">
      <c r="P1473" t="s">
        <v>1750</v>
      </c>
    </row>
    <row r="1474" spans="16:16" x14ac:dyDescent="0.3">
      <c r="P1474" t="s">
        <v>1751</v>
      </c>
    </row>
    <row r="1475" spans="16:16" x14ac:dyDescent="0.3">
      <c r="P1475" t="s">
        <v>1752</v>
      </c>
    </row>
    <row r="1476" spans="16:16" x14ac:dyDescent="0.3">
      <c r="P1476" t="s">
        <v>1753</v>
      </c>
    </row>
    <row r="1477" spans="16:16" x14ac:dyDescent="0.3">
      <c r="P1477" t="s">
        <v>1754</v>
      </c>
    </row>
    <row r="1478" spans="16:16" x14ac:dyDescent="0.3">
      <c r="P1478" t="s">
        <v>1755</v>
      </c>
    </row>
    <row r="1479" spans="16:16" x14ac:dyDescent="0.3">
      <c r="P1479" t="s">
        <v>1749</v>
      </c>
    </row>
    <row r="1480" spans="16:16" x14ac:dyDescent="0.3">
      <c r="P1480" t="s">
        <v>1738</v>
      </c>
    </row>
    <row r="1481" spans="16:16" x14ac:dyDescent="0.3">
      <c r="P1481" t="s">
        <v>1715</v>
      </c>
    </row>
    <row r="1482" spans="16:16" x14ac:dyDescent="0.3">
      <c r="P1482" t="s">
        <v>1756</v>
      </c>
    </row>
    <row r="1483" spans="16:16" x14ac:dyDescent="0.3">
      <c r="P1483" t="s">
        <v>1757</v>
      </c>
    </row>
    <row r="1484" spans="16:16" x14ac:dyDescent="0.3">
      <c r="P1484" t="s">
        <v>1758</v>
      </c>
    </row>
    <row r="1485" spans="16:16" x14ac:dyDescent="0.3">
      <c r="P1485" t="s">
        <v>1759</v>
      </c>
    </row>
    <row r="1486" spans="16:16" x14ac:dyDescent="0.3">
      <c r="P1486" t="s">
        <v>1760</v>
      </c>
    </row>
    <row r="1487" spans="16:16" x14ac:dyDescent="0.3">
      <c r="P1487" t="s">
        <v>1761</v>
      </c>
    </row>
    <row r="1488" spans="16:16" x14ac:dyDescent="0.3">
      <c r="P1488" t="s">
        <v>1762</v>
      </c>
    </row>
    <row r="1489" spans="16:16" x14ac:dyDescent="0.3">
      <c r="P1489" t="s">
        <v>1716</v>
      </c>
    </row>
    <row r="1490" spans="16:16" x14ac:dyDescent="0.3">
      <c r="P1490" t="s">
        <v>1763</v>
      </c>
    </row>
    <row r="1491" spans="16:16" x14ac:dyDescent="0.3">
      <c r="P1491" t="s">
        <v>1764</v>
      </c>
    </row>
    <row r="1492" spans="16:16" x14ac:dyDescent="0.3">
      <c r="P1492" t="s">
        <v>1716</v>
      </c>
    </row>
    <row r="1493" spans="16:16" x14ac:dyDescent="0.3">
      <c r="P1493" t="s">
        <v>1763</v>
      </c>
    </row>
    <row r="1494" spans="16:16" x14ac:dyDescent="0.3">
      <c r="P1494" t="s">
        <v>1765</v>
      </c>
    </row>
    <row r="1495" spans="16:16" x14ac:dyDescent="0.3">
      <c r="P1495" t="s">
        <v>1766</v>
      </c>
    </row>
    <row r="1496" spans="16:16" x14ac:dyDescent="0.3">
      <c r="P1496" t="s">
        <v>1767</v>
      </c>
    </row>
    <row r="1497" spans="16:16" x14ac:dyDescent="0.3">
      <c r="P1497" t="s">
        <v>1768</v>
      </c>
    </row>
    <row r="1498" spans="16:16" x14ac:dyDescent="0.3">
      <c r="P1498" t="s">
        <v>1769</v>
      </c>
    </row>
    <row r="1499" spans="16:16" x14ac:dyDescent="0.3">
      <c r="P1499" t="s">
        <v>1770</v>
      </c>
    </row>
    <row r="1500" spans="16:16" x14ac:dyDescent="0.3">
      <c r="P1500" t="s">
        <v>1771</v>
      </c>
    </row>
    <row r="1501" spans="16:16" x14ac:dyDescent="0.3">
      <c r="P1501" t="s">
        <v>1772</v>
      </c>
    </row>
    <row r="1502" spans="16:16" x14ac:dyDescent="0.3">
      <c r="P1502" t="s">
        <v>1711</v>
      </c>
    </row>
    <row r="1503" spans="16:16" x14ac:dyDescent="0.3">
      <c r="P1503" t="s">
        <v>1773</v>
      </c>
    </row>
    <row r="1504" spans="16:16" x14ac:dyDescent="0.3">
      <c r="P1504" t="s">
        <v>1774</v>
      </c>
    </row>
    <row r="1505" spans="16:16" x14ac:dyDescent="0.3">
      <c r="P1505" t="s">
        <v>1775</v>
      </c>
    </row>
    <row r="1506" spans="16:16" x14ac:dyDescent="0.3">
      <c r="P1506" t="s">
        <v>1776</v>
      </c>
    </row>
    <row r="1507" spans="16:16" x14ac:dyDescent="0.3">
      <c r="P1507" t="s">
        <v>1777</v>
      </c>
    </row>
    <row r="1508" spans="16:16" x14ac:dyDescent="0.3">
      <c r="P1508" t="s">
        <v>1778</v>
      </c>
    </row>
    <row r="1509" spans="16:16" x14ac:dyDescent="0.3">
      <c r="P1509" t="s">
        <v>1779</v>
      </c>
    </row>
    <row r="1510" spans="16:16" x14ac:dyDescent="0.3">
      <c r="P1510" t="s">
        <v>1780</v>
      </c>
    </row>
    <row r="1511" spans="16:16" x14ac:dyDescent="0.3">
      <c r="P1511" t="s">
        <v>1781</v>
      </c>
    </row>
    <row r="1512" spans="16:16" x14ac:dyDescent="0.3">
      <c r="P1512" t="s">
        <v>1782</v>
      </c>
    </row>
    <row r="1513" spans="16:16" x14ac:dyDescent="0.3">
      <c r="P1513" t="s">
        <v>1783</v>
      </c>
    </row>
    <row r="1514" spans="16:16" x14ac:dyDescent="0.3">
      <c r="P1514" t="s">
        <v>1784</v>
      </c>
    </row>
    <row r="1515" spans="16:16" x14ac:dyDescent="0.3">
      <c r="P1515" t="s">
        <v>1785</v>
      </c>
    </row>
    <row r="1516" spans="16:16" x14ac:dyDescent="0.3">
      <c r="P1516" t="s">
        <v>1786</v>
      </c>
    </row>
    <row r="1517" spans="16:16" x14ac:dyDescent="0.3">
      <c r="P1517" t="s">
        <v>1787</v>
      </c>
    </row>
    <row r="1518" spans="16:16" x14ac:dyDescent="0.3">
      <c r="P1518" t="s">
        <v>1788</v>
      </c>
    </row>
    <row r="1519" spans="16:16" x14ac:dyDescent="0.3">
      <c r="P1519" t="s">
        <v>1789</v>
      </c>
    </row>
    <row r="1520" spans="16:16" x14ac:dyDescent="0.3">
      <c r="P1520" t="s">
        <v>1790</v>
      </c>
    </row>
    <row r="1521" spans="16:16" x14ac:dyDescent="0.3">
      <c r="P1521" t="s">
        <v>1791</v>
      </c>
    </row>
    <row r="1522" spans="16:16" x14ac:dyDescent="0.3">
      <c r="P1522" t="s">
        <v>1792</v>
      </c>
    </row>
    <row r="1523" spans="16:16" x14ac:dyDescent="0.3">
      <c r="P1523" t="s">
        <v>1793</v>
      </c>
    </row>
    <row r="1524" spans="16:16" x14ac:dyDescent="0.3">
      <c r="P1524" t="s">
        <v>1794</v>
      </c>
    </row>
    <row r="1525" spans="16:16" x14ac:dyDescent="0.3">
      <c r="P1525" t="s">
        <v>1795</v>
      </c>
    </row>
    <row r="1526" spans="16:16" x14ac:dyDescent="0.3">
      <c r="P1526" t="s">
        <v>1796</v>
      </c>
    </row>
    <row r="1527" spans="16:16" x14ac:dyDescent="0.3">
      <c r="P1527" t="s">
        <v>1797</v>
      </c>
    </row>
    <row r="1528" spans="16:16" x14ac:dyDescent="0.3">
      <c r="P1528" t="s">
        <v>1798</v>
      </c>
    </row>
    <row r="1529" spans="16:16" x14ac:dyDescent="0.3">
      <c r="P1529" t="s">
        <v>1799</v>
      </c>
    </row>
    <row r="1530" spans="16:16" x14ac:dyDescent="0.3">
      <c r="P1530" t="s">
        <v>1800</v>
      </c>
    </row>
    <row r="1531" spans="16:16" x14ac:dyDescent="0.3">
      <c r="P1531" t="s">
        <v>1542</v>
      </c>
    </row>
    <row r="1532" spans="16:16" x14ac:dyDescent="0.3">
      <c r="P1532" t="s">
        <v>1801</v>
      </c>
    </row>
    <row r="1533" spans="16:16" x14ac:dyDescent="0.3">
      <c r="P1533" t="s">
        <v>1802</v>
      </c>
    </row>
    <row r="1534" spans="16:16" x14ac:dyDescent="0.3">
      <c r="P1534" t="s">
        <v>1803</v>
      </c>
    </row>
    <row r="1535" spans="16:16" x14ac:dyDescent="0.3">
      <c r="P1535" t="s">
        <v>1804</v>
      </c>
    </row>
    <row r="1536" spans="16:16" x14ac:dyDescent="0.3">
      <c r="P1536" t="s">
        <v>1805</v>
      </c>
    </row>
    <row r="1537" spans="16:16" x14ac:dyDescent="0.3">
      <c r="P1537" t="s">
        <v>1806</v>
      </c>
    </row>
    <row r="1538" spans="16:16" x14ac:dyDescent="0.3">
      <c r="P1538" t="s">
        <v>1807</v>
      </c>
    </row>
    <row r="1539" spans="16:16" x14ac:dyDescent="0.3">
      <c r="P1539" t="s">
        <v>1808</v>
      </c>
    </row>
    <row r="1540" spans="16:16" x14ac:dyDescent="0.3">
      <c r="P1540" t="s">
        <v>1809</v>
      </c>
    </row>
    <row r="1541" spans="16:16" x14ac:dyDescent="0.3">
      <c r="P1541" t="s">
        <v>1810</v>
      </c>
    </row>
    <row r="1542" spans="16:16" x14ac:dyDescent="0.3">
      <c r="P1542" t="s">
        <v>1684</v>
      </c>
    </row>
    <row r="1543" spans="16:16" x14ac:dyDescent="0.3">
      <c r="P1543" t="s">
        <v>1811</v>
      </c>
    </row>
    <row r="1544" spans="16:16" x14ac:dyDescent="0.3">
      <c r="P1544" t="s">
        <v>1812</v>
      </c>
    </row>
    <row r="1545" spans="16:16" x14ac:dyDescent="0.3">
      <c r="P1545" t="s">
        <v>1813</v>
      </c>
    </row>
    <row r="1546" spans="16:16" x14ac:dyDescent="0.3">
      <c r="P1546" t="s">
        <v>1814</v>
      </c>
    </row>
    <row r="1547" spans="16:16" x14ac:dyDescent="0.3">
      <c r="P1547" t="s">
        <v>1815</v>
      </c>
    </row>
    <row r="1548" spans="16:16" x14ac:dyDescent="0.3">
      <c r="P1548" t="s">
        <v>1816</v>
      </c>
    </row>
    <row r="1549" spans="16:16" x14ac:dyDescent="0.3">
      <c r="P1549" t="s">
        <v>1817</v>
      </c>
    </row>
    <row r="1550" spans="16:16" x14ac:dyDescent="0.3">
      <c r="P1550" t="s">
        <v>1818</v>
      </c>
    </row>
    <row r="1551" spans="16:16" x14ac:dyDescent="0.3">
      <c r="P1551" t="s">
        <v>1819</v>
      </c>
    </row>
    <row r="1552" spans="16:16" x14ac:dyDescent="0.3">
      <c r="P1552" t="s">
        <v>1820</v>
      </c>
    </row>
    <row r="1553" spans="16:16" x14ac:dyDescent="0.3">
      <c r="P1553" t="s">
        <v>1821</v>
      </c>
    </row>
    <row r="1554" spans="16:16" x14ac:dyDescent="0.3">
      <c r="P1554" t="s">
        <v>1822</v>
      </c>
    </row>
    <row r="1555" spans="16:16" x14ac:dyDescent="0.3">
      <c r="P1555" t="s">
        <v>1823</v>
      </c>
    </row>
    <row r="1556" spans="16:16" x14ac:dyDescent="0.3">
      <c r="P1556" t="s">
        <v>1824</v>
      </c>
    </row>
    <row r="1557" spans="16:16" x14ac:dyDescent="0.3">
      <c r="P1557" t="s">
        <v>1825</v>
      </c>
    </row>
    <row r="1558" spans="16:16" x14ac:dyDescent="0.3">
      <c r="P1558" t="s">
        <v>1826</v>
      </c>
    </row>
    <row r="1559" spans="16:16" x14ac:dyDescent="0.3">
      <c r="P1559" t="s">
        <v>1827</v>
      </c>
    </row>
    <row r="1560" spans="16:16" x14ac:dyDescent="0.3">
      <c r="P1560" t="s">
        <v>1828</v>
      </c>
    </row>
    <row r="1561" spans="16:16" x14ac:dyDescent="0.3">
      <c r="P1561" t="s">
        <v>1829</v>
      </c>
    </row>
    <row r="1562" spans="16:16" x14ac:dyDescent="0.3">
      <c r="P1562" t="s">
        <v>1830</v>
      </c>
    </row>
    <row r="1563" spans="16:16" x14ac:dyDescent="0.3">
      <c r="P1563" t="s">
        <v>1831</v>
      </c>
    </row>
    <row r="1564" spans="16:16" x14ac:dyDescent="0.3">
      <c r="P1564" t="s">
        <v>1832</v>
      </c>
    </row>
    <row r="1565" spans="16:16" x14ac:dyDescent="0.3">
      <c r="P1565" t="s">
        <v>1833</v>
      </c>
    </row>
    <row r="1566" spans="16:16" x14ac:dyDescent="0.3">
      <c r="P1566" t="s">
        <v>1834</v>
      </c>
    </row>
    <row r="1567" spans="16:16" x14ac:dyDescent="0.3">
      <c r="P1567" t="s">
        <v>1835</v>
      </c>
    </row>
    <row r="1568" spans="16:16" x14ac:dyDescent="0.3">
      <c r="P1568" t="s">
        <v>1836</v>
      </c>
    </row>
    <row r="1569" spans="16:16" x14ac:dyDescent="0.3">
      <c r="P1569" t="s">
        <v>1834</v>
      </c>
    </row>
    <row r="1570" spans="16:16" x14ac:dyDescent="0.3">
      <c r="P1570" t="s">
        <v>1837</v>
      </c>
    </row>
    <row r="1571" spans="16:16" x14ac:dyDescent="0.3">
      <c r="P1571" t="s">
        <v>1838</v>
      </c>
    </row>
    <row r="1572" spans="16:16" x14ac:dyDescent="0.3">
      <c r="P1572" t="s">
        <v>1839</v>
      </c>
    </row>
    <row r="1573" spans="16:16" x14ac:dyDescent="0.3">
      <c r="P1573" t="s">
        <v>1840</v>
      </c>
    </row>
    <row r="1574" spans="16:16" x14ac:dyDescent="0.3">
      <c r="P1574" t="s">
        <v>1841</v>
      </c>
    </row>
    <row r="1575" spans="16:16" x14ac:dyDescent="0.3">
      <c r="P1575" t="s">
        <v>1837</v>
      </c>
    </row>
    <row r="1576" spans="16:16" x14ac:dyDescent="0.3">
      <c r="P1576" t="s">
        <v>1842</v>
      </c>
    </row>
    <row r="1577" spans="16:16" x14ac:dyDescent="0.3">
      <c r="P1577" t="s">
        <v>1843</v>
      </c>
    </row>
    <row r="1578" spans="16:16" x14ac:dyDescent="0.3">
      <c r="P1578" t="s">
        <v>1844</v>
      </c>
    </row>
    <row r="1579" spans="16:16" x14ac:dyDescent="0.3">
      <c r="P1579" t="s">
        <v>1845</v>
      </c>
    </row>
    <row r="1580" spans="16:16" x14ac:dyDescent="0.3">
      <c r="P1580" t="s">
        <v>1835</v>
      </c>
    </row>
    <row r="1581" spans="16:16" x14ac:dyDescent="0.3">
      <c r="P1581" t="s">
        <v>1842</v>
      </c>
    </row>
    <row r="1582" spans="16:16" x14ac:dyDescent="0.3">
      <c r="P1582" t="s">
        <v>1846</v>
      </c>
    </row>
    <row r="1583" spans="16:16" x14ac:dyDescent="0.3">
      <c r="P1583" t="s">
        <v>1847</v>
      </c>
    </row>
    <row r="1584" spans="16:16" x14ac:dyDescent="0.3">
      <c r="P1584" t="s">
        <v>1848</v>
      </c>
    </row>
    <row r="1585" spans="16:16" x14ac:dyDescent="0.3">
      <c r="P1585" t="s">
        <v>1849</v>
      </c>
    </row>
    <row r="1586" spans="16:16" x14ac:dyDescent="0.3">
      <c r="P1586" t="s">
        <v>1850</v>
      </c>
    </row>
    <row r="1587" spans="16:16" x14ac:dyDescent="0.3">
      <c r="P1587" t="s">
        <v>1851</v>
      </c>
    </row>
    <row r="1588" spans="16:16" x14ac:dyDescent="0.3">
      <c r="P1588" t="s">
        <v>1852</v>
      </c>
    </row>
    <row r="1589" spans="16:16" x14ac:dyDescent="0.3">
      <c r="P1589" t="s">
        <v>1853</v>
      </c>
    </row>
    <row r="1590" spans="16:16" x14ac:dyDescent="0.3">
      <c r="P1590" t="s">
        <v>1854</v>
      </c>
    </row>
    <row r="1591" spans="16:16" x14ac:dyDescent="0.3">
      <c r="P1591" t="s">
        <v>1855</v>
      </c>
    </row>
    <row r="1592" spans="16:16" x14ac:dyDescent="0.3">
      <c r="P1592" t="s">
        <v>1611</v>
      </c>
    </row>
    <row r="1593" spans="16:16" x14ac:dyDescent="0.3">
      <c r="P1593" t="s">
        <v>1746</v>
      </c>
    </row>
    <row r="1594" spans="16:16" x14ac:dyDescent="0.3">
      <c r="P1594" t="s">
        <v>1856</v>
      </c>
    </row>
    <row r="1595" spans="16:16" x14ac:dyDescent="0.3">
      <c r="P1595" t="s">
        <v>1629</v>
      </c>
    </row>
    <row r="1596" spans="16:16" x14ac:dyDescent="0.3">
      <c r="P1596" t="s">
        <v>1623</v>
      </c>
    </row>
    <row r="1597" spans="16:16" x14ac:dyDescent="0.3">
      <c r="P1597" t="s">
        <v>1857</v>
      </c>
    </row>
    <row r="1598" spans="16:16" x14ac:dyDescent="0.3">
      <c r="P1598" t="s">
        <v>1858</v>
      </c>
    </row>
    <row r="1599" spans="16:16" x14ac:dyDescent="0.3">
      <c r="P1599" t="s">
        <v>1859</v>
      </c>
    </row>
    <row r="1600" spans="16:16" x14ac:dyDescent="0.3">
      <c r="P1600" t="s">
        <v>1860</v>
      </c>
    </row>
    <row r="1601" spans="16:16" x14ac:dyDescent="0.3">
      <c r="P1601" t="s">
        <v>1861</v>
      </c>
    </row>
    <row r="1602" spans="16:16" x14ac:dyDescent="0.3">
      <c r="P1602" t="s">
        <v>1862</v>
      </c>
    </row>
    <row r="1603" spans="16:16" x14ac:dyDescent="0.3">
      <c r="P1603" t="s">
        <v>1863</v>
      </c>
    </row>
    <row r="1604" spans="16:16" x14ac:dyDescent="0.3">
      <c r="P1604" t="s">
        <v>1864</v>
      </c>
    </row>
    <row r="1605" spans="16:16" x14ac:dyDescent="0.3">
      <c r="P1605" t="s">
        <v>1865</v>
      </c>
    </row>
    <row r="1606" spans="16:16" x14ac:dyDescent="0.3">
      <c r="P1606" t="s">
        <v>1866</v>
      </c>
    </row>
    <row r="1607" spans="16:16" x14ac:dyDescent="0.3">
      <c r="P1607" t="s">
        <v>1867</v>
      </c>
    </row>
    <row r="1608" spans="16:16" x14ac:dyDescent="0.3">
      <c r="P1608" t="s">
        <v>1868</v>
      </c>
    </row>
    <row r="1609" spans="16:16" x14ac:dyDescent="0.3">
      <c r="P1609" t="s">
        <v>1869</v>
      </c>
    </row>
    <row r="1610" spans="16:16" x14ac:dyDescent="0.3">
      <c r="P1610" t="s">
        <v>1870</v>
      </c>
    </row>
    <row r="1611" spans="16:16" x14ac:dyDescent="0.3">
      <c r="P1611" t="s">
        <v>1871</v>
      </c>
    </row>
    <row r="1612" spans="16:16" x14ac:dyDescent="0.3">
      <c r="P1612" t="s">
        <v>1872</v>
      </c>
    </row>
    <row r="1613" spans="16:16" x14ac:dyDescent="0.3">
      <c r="P1613" t="s">
        <v>1873</v>
      </c>
    </row>
    <row r="1614" spans="16:16" x14ac:dyDescent="0.3">
      <c r="P1614" t="s">
        <v>1874</v>
      </c>
    </row>
    <row r="1615" spans="16:16" x14ac:dyDescent="0.3">
      <c r="P1615" t="s">
        <v>1875</v>
      </c>
    </row>
    <row r="1616" spans="16:16" x14ac:dyDescent="0.3">
      <c r="P1616" t="s">
        <v>1870</v>
      </c>
    </row>
    <row r="1617" spans="16:16" x14ac:dyDescent="0.3">
      <c r="P1617" t="s">
        <v>1876</v>
      </c>
    </row>
    <row r="1618" spans="16:16" x14ac:dyDescent="0.3">
      <c r="P1618" t="s">
        <v>1877</v>
      </c>
    </row>
    <row r="1619" spans="16:16" x14ac:dyDescent="0.3">
      <c r="P1619" t="s">
        <v>1878</v>
      </c>
    </row>
    <row r="1620" spans="16:16" x14ac:dyDescent="0.3">
      <c r="P1620" t="s">
        <v>1879</v>
      </c>
    </row>
    <row r="1621" spans="16:16" x14ac:dyDescent="0.3">
      <c r="P1621" t="s">
        <v>1880</v>
      </c>
    </row>
    <row r="1622" spans="16:16" x14ac:dyDescent="0.3">
      <c r="P1622" t="s">
        <v>1881</v>
      </c>
    </row>
    <row r="1623" spans="16:16" x14ac:dyDescent="0.3">
      <c r="P1623" t="s">
        <v>1882</v>
      </c>
    </row>
    <row r="1624" spans="16:16" x14ac:dyDescent="0.3">
      <c r="P1624" t="s">
        <v>1883</v>
      </c>
    </row>
    <row r="1625" spans="16:16" x14ac:dyDescent="0.3">
      <c r="P1625" t="s">
        <v>1884</v>
      </c>
    </row>
    <row r="1626" spans="16:16" x14ac:dyDescent="0.3">
      <c r="P1626" t="s">
        <v>1834</v>
      </c>
    </row>
    <row r="1627" spans="16:16" x14ac:dyDescent="0.3">
      <c r="P1627" t="s">
        <v>1885</v>
      </c>
    </row>
    <row r="1628" spans="16:16" x14ac:dyDescent="0.3">
      <c r="P1628" t="s">
        <v>1886</v>
      </c>
    </row>
    <row r="1629" spans="16:16" x14ac:dyDescent="0.3">
      <c r="P1629" t="s">
        <v>1887</v>
      </c>
    </row>
    <row r="1630" spans="16:16" x14ac:dyDescent="0.3">
      <c r="P1630" t="s">
        <v>1854</v>
      </c>
    </row>
    <row r="1631" spans="16:16" x14ac:dyDescent="0.3">
      <c r="P1631" t="s">
        <v>1888</v>
      </c>
    </row>
    <row r="1632" spans="16:16" x14ac:dyDescent="0.3">
      <c r="P1632" t="s">
        <v>1827</v>
      </c>
    </row>
    <row r="1633" spans="16:16" x14ac:dyDescent="0.3">
      <c r="P1633" t="s">
        <v>1828</v>
      </c>
    </row>
    <row r="1634" spans="16:16" x14ac:dyDescent="0.3">
      <c r="P1634" t="s">
        <v>1825</v>
      </c>
    </row>
    <row r="1635" spans="16:16" x14ac:dyDescent="0.3">
      <c r="P1635" t="s">
        <v>1889</v>
      </c>
    </row>
    <row r="1636" spans="16:16" x14ac:dyDescent="0.3">
      <c r="P1636" t="s">
        <v>1890</v>
      </c>
    </row>
    <row r="1637" spans="16:16" x14ac:dyDescent="0.3">
      <c r="P1637" t="s">
        <v>1891</v>
      </c>
    </row>
    <row r="1638" spans="16:16" x14ac:dyDescent="0.3">
      <c r="P1638" t="s">
        <v>1892</v>
      </c>
    </row>
    <row r="1639" spans="16:16" x14ac:dyDescent="0.3">
      <c r="P1639" t="s">
        <v>1893</v>
      </c>
    </row>
    <row r="1640" spans="16:16" x14ac:dyDescent="0.3">
      <c r="P1640" t="s">
        <v>1894</v>
      </c>
    </row>
    <row r="1641" spans="16:16" x14ac:dyDescent="0.3">
      <c r="P1641" t="s">
        <v>1895</v>
      </c>
    </row>
    <row r="1642" spans="16:16" x14ac:dyDescent="0.3">
      <c r="P1642" t="s">
        <v>1896</v>
      </c>
    </row>
    <row r="1643" spans="16:16" x14ac:dyDescent="0.3">
      <c r="P1643" t="s">
        <v>1897</v>
      </c>
    </row>
    <row r="1644" spans="16:16" x14ac:dyDescent="0.3">
      <c r="P1644" t="s">
        <v>1898</v>
      </c>
    </row>
    <row r="1645" spans="16:16" x14ac:dyDescent="0.3">
      <c r="P1645" t="s">
        <v>1899</v>
      </c>
    </row>
    <row r="1646" spans="16:16" x14ac:dyDescent="0.3">
      <c r="P1646" t="s">
        <v>1900</v>
      </c>
    </row>
    <row r="1647" spans="16:16" x14ac:dyDescent="0.3">
      <c r="P1647" t="s">
        <v>1901</v>
      </c>
    </row>
    <row r="1648" spans="16:16" x14ac:dyDescent="0.3">
      <c r="P1648" t="s">
        <v>1902</v>
      </c>
    </row>
    <row r="1649" spans="16:16" x14ac:dyDescent="0.3">
      <c r="P1649" t="s">
        <v>1903</v>
      </c>
    </row>
    <row r="1650" spans="16:16" x14ac:dyDescent="0.3">
      <c r="P1650" t="s">
        <v>1904</v>
      </c>
    </row>
    <row r="1651" spans="16:16" x14ac:dyDescent="0.3">
      <c r="P1651" t="s">
        <v>470</v>
      </c>
    </row>
    <row r="1652" spans="16:16" x14ac:dyDescent="0.3">
      <c r="P1652" t="s">
        <v>1905</v>
      </c>
    </row>
    <row r="1653" spans="16:16" x14ac:dyDescent="0.3">
      <c r="P1653" t="s">
        <v>1906</v>
      </c>
    </row>
    <row r="1654" spans="16:16" x14ac:dyDescent="0.3">
      <c r="P1654" t="s">
        <v>1907</v>
      </c>
    </row>
    <row r="1655" spans="16:16" x14ac:dyDescent="0.3">
      <c r="P1655" t="s">
        <v>1908</v>
      </c>
    </row>
    <row r="1656" spans="16:16" x14ac:dyDescent="0.3">
      <c r="P1656" t="s">
        <v>1909</v>
      </c>
    </row>
    <row r="1657" spans="16:16" x14ac:dyDescent="0.3">
      <c r="P1657" t="s">
        <v>1910</v>
      </c>
    </row>
    <row r="1658" spans="16:16" x14ac:dyDescent="0.3">
      <c r="P1658" t="s">
        <v>1911</v>
      </c>
    </row>
    <row r="1659" spans="16:16" x14ac:dyDescent="0.3">
      <c r="P1659" t="s">
        <v>1912</v>
      </c>
    </row>
    <row r="1660" spans="16:16" x14ac:dyDescent="0.3">
      <c r="P1660" t="s">
        <v>1913</v>
      </c>
    </row>
    <row r="1661" spans="16:16" x14ac:dyDescent="0.3">
      <c r="P1661" t="s">
        <v>1914</v>
      </c>
    </row>
    <row r="1662" spans="16:16" x14ac:dyDescent="0.3">
      <c r="P1662" t="s">
        <v>1915</v>
      </c>
    </row>
    <row r="1663" spans="16:16" x14ac:dyDescent="0.3">
      <c r="P1663" t="s">
        <v>1916</v>
      </c>
    </row>
    <row r="1664" spans="16:16" x14ac:dyDescent="0.3">
      <c r="P1664" t="s">
        <v>1917</v>
      </c>
    </row>
    <row r="1665" spans="16:16" x14ac:dyDescent="0.3">
      <c r="P1665" t="s">
        <v>1918</v>
      </c>
    </row>
    <row r="1666" spans="16:16" x14ac:dyDescent="0.3">
      <c r="P1666" t="s">
        <v>1919</v>
      </c>
    </row>
    <row r="1667" spans="16:16" x14ac:dyDescent="0.3">
      <c r="P1667" t="s">
        <v>1920</v>
      </c>
    </row>
    <row r="1668" spans="16:16" x14ac:dyDescent="0.3">
      <c r="P1668" t="s">
        <v>1921</v>
      </c>
    </row>
    <row r="1669" spans="16:16" x14ac:dyDescent="0.3">
      <c r="P1669" t="s">
        <v>1922</v>
      </c>
    </row>
    <row r="1670" spans="16:16" x14ac:dyDescent="0.3">
      <c r="P1670" t="s">
        <v>1923</v>
      </c>
    </row>
    <row r="1671" spans="16:16" x14ac:dyDescent="0.3">
      <c r="P1671" t="s">
        <v>1924</v>
      </c>
    </row>
    <row r="1672" spans="16:16" x14ac:dyDescent="0.3">
      <c r="P1672" t="s">
        <v>1925</v>
      </c>
    </row>
    <row r="1673" spans="16:16" x14ac:dyDescent="0.3">
      <c r="P1673" t="s">
        <v>1926</v>
      </c>
    </row>
    <row r="1674" spans="16:16" x14ac:dyDescent="0.3">
      <c r="P1674" t="s">
        <v>1927</v>
      </c>
    </row>
    <row r="1675" spans="16:16" x14ac:dyDescent="0.3">
      <c r="P1675" t="s">
        <v>1928</v>
      </c>
    </row>
    <row r="1676" spans="16:16" x14ac:dyDescent="0.3">
      <c r="P1676" t="s">
        <v>1929</v>
      </c>
    </row>
    <row r="1677" spans="16:16" x14ac:dyDescent="0.3">
      <c r="P1677" t="s">
        <v>1930</v>
      </c>
    </row>
    <row r="1678" spans="16:16" x14ac:dyDescent="0.3">
      <c r="P1678" t="s">
        <v>1931</v>
      </c>
    </row>
    <row r="1679" spans="16:16" x14ac:dyDescent="0.3">
      <c r="P1679" t="s">
        <v>1932</v>
      </c>
    </row>
    <row r="1680" spans="16:16" x14ac:dyDescent="0.3">
      <c r="P1680" t="s">
        <v>1933</v>
      </c>
    </row>
    <row r="1681" spans="16:16" x14ac:dyDescent="0.3">
      <c r="P1681" t="s">
        <v>1934</v>
      </c>
    </row>
    <row r="1682" spans="16:16" x14ac:dyDescent="0.3">
      <c r="P1682" t="s">
        <v>1935</v>
      </c>
    </row>
    <row r="1683" spans="16:16" x14ac:dyDescent="0.3">
      <c r="P1683" t="s">
        <v>1936</v>
      </c>
    </row>
    <row r="1684" spans="16:16" x14ac:dyDescent="0.3">
      <c r="P1684" t="s">
        <v>1937</v>
      </c>
    </row>
    <row r="1685" spans="16:16" x14ac:dyDescent="0.3">
      <c r="P1685" t="s">
        <v>1938</v>
      </c>
    </row>
    <row r="1686" spans="16:16" x14ac:dyDescent="0.3">
      <c r="P1686" t="s">
        <v>1939</v>
      </c>
    </row>
    <row r="1687" spans="16:16" x14ac:dyDescent="0.3">
      <c r="P1687" t="s">
        <v>1940</v>
      </c>
    </row>
    <row r="1688" spans="16:16" x14ac:dyDescent="0.3">
      <c r="P1688" t="s">
        <v>1941</v>
      </c>
    </row>
    <row r="1689" spans="16:16" x14ac:dyDescent="0.3">
      <c r="P1689" t="s">
        <v>1942</v>
      </c>
    </row>
    <row r="1690" spans="16:16" x14ac:dyDescent="0.3">
      <c r="P1690" t="s">
        <v>1943</v>
      </c>
    </row>
    <row r="1691" spans="16:16" x14ac:dyDescent="0.3">
      <c r="P1691" t="s">
        <v>1944</v>
      </c>
    </row>
    <row r="1692" spans="16:16" x14ac:dyDescent="0.3">
      <c r="P1692" t="s">
        <v>1945</v>
      </c>
    </row>
    <row r="1693" spans="16:16" x14ac:dyDescent="0.3">
      <c r="P1693" t="s">
        <v>1946</v>
      </c>
    </row>
    <row r="1694" spans="16:16" x14ac:dyDescent="0.3">
      <c r="P1694" t="s">
        <v>1947</v>
      </c>
    </row>
    <row r="1695" spans="16:16" x14ac:dyDescent="0.3">
      <c r="P1695" t="s">
        <v>1948</v>
      </c>
    </row>
    <row r="1696" spans="16:16" x14ac:dyDescent="0.3">
      <c r="P1696" t="s">
        <v>1949</v>
      </c>
    </row>
    <row r="1697" spans="16:16" x14ac:dyDescent="0.3">
      <c r="P1697" t="s">
        <v>1950</v>
      </c>
    </row>
    <row r="1698" spans="16:16" x14ac:dyDescent="0.3">
      <c r="P1698" t="s">
        <v>1951</v>
      </c>
    </row>
    <row r="1699" spans="16:16" x14ac:dyDescent="0.3">
      <c r="P1699" t="s">
        <v>1952</v>
      </c>
    </row>
    <row r="1700" spans="16:16" x14ac:dyDescent="0.3">
      <c r="P1700" t="s">
        <v>1953</v>
      </c>
    </row>
    <row r="1701" spans="16:16" x14ac:dyDescent="0.3">
      <c r="P1701" t="s">
        <v>1954</v>
      </c>
    </row>
    <row r="1702" spans="16:16" x14ac:dyDescent="0.3">
      <c r="P1702" t="s">
        <v>1955</v>
      </c>
    </row>
    <row r="1703" spans="16:16" x14ac:dyDescent="0.3">
      <c r="P1703" t="s">
        <v>1956</v>
      </c>
    </row>
    <row r="1704" spans="16:16" x14ac:dyDescent="0.3">
      <c r="P1704" t="s">
        <v>1957</v>
      </c>
    </row>
    <row r="1705" spans="16:16" x14ac:dyDescent="0.3">
      <c r="P1705" t="s">
        <v>1958</v>
      </c>
    </row>
    <row r="1706" spans="16:16" x14ac:dyDescent="0.3">
      <c r="P1706" t="s">
        <v>1959</v>
      </c>
    </row>
    <row r="1707" spans="16:16" x14ac:dyDescent="0.3">
      <c r="P1707" t="s">
        <v>1960</v>
      </c>
    </row>
    <row r="1708" spans="16:16" x14ac:dyDescent="0.3">
      <c r="P1708" t="s">
        <v>1961</v>
      </c>
    </row>
    <row r="1709" spans="16:16" x14ac:dyDescent="0.3">
      <c r="P1709" t="s">
        <v>1962</v>
      </c>
    </row>
    <row r="1710" spans="16:16" x14ac:dyDescent="0.3">
      <c r="P1710" t="s">
        <v>1963</v>
      </c>
    </row>
    <row r="1711" spans="16:16" x14ac:dyDescent="0.3">
      <c r="P1711" t="s">
        <v>1964</v>
      </c>
    </row>
    <row r="1712" spans="16:16" x14ac:dyDescent="0.3">
      <c r="P1712" t="s">
        <v>1952</v>
      </c>
    </row>
    <row r="1713" spans="16:16" x14ac:dyDescent="0.3">
      <c r="P1713" t="s">
        <v>1965</v>
      </c>
    </row>
    <row r="1714" spans="16:16" x14ac:dyDescent="0.3">
      <c r="P1714" t="s">
        <v>1966</v>
      </c>
    </row>
    <row r="1715" spans="16:16" x14ac:dyDescent="0.3">
      <c r="P1715" t="s">
        <v>1962</v>
      </c>
    </row>
    <row r="1716" spans="16:16" x14ac:dyDescent="0.3">
      <c r="P1716" t="s">
        <v>1967</v>
      </c>
    </row>
    <row r="1717" spans="16:16" x14ac:dyDescent="0.3">
      <c r="P1717" t="s">
        <v>1968</v>
      </c>
    </row>
    <row r="1718" spans="16:16" x14ac:dyDescent="0.3">
      <c r="P1718" t="s">
        <v>1953</v>
      </c>
    </row>
    <row r="1719" spans="16:16" x14ac:dyDescent="0.3">
      <c r="P1719" t="s">
        <v>1965</v>
      </c>
    </row>
    <row r="1720" spans="16:16" x14ac:dyDescent="0.3">
      <c r="P1720" t="s">
        <v>1964</v>
      </c>
    </row>
    <row r="1721" spans="16:16" x14ac:dyDescent="0.3">
      <c r="P1721" t="s">
        <v>1969</v>
      </c>
    </row>
    <row r="1722" spans="16:16" x14ac:dyDescent="0.3">
      <c r="P1722" t="s">
        <v>1970</v>
      </c>
    </row>
    <row r="1723" spans="16:16" x14ac:dyDescent="0.3">
      <c r="P1723" t="s">
        <v>1971</v>
      </c>
    </row>
    <row r="1724" spans="16:16" x14ac:dyDescent="0.3">
      <c r="P1724" t="s">
        <v>1957</v>
      </c>
    </row>
    <row r="1725" spans="16:16" x14ac:dyDescent="0.3">
      <c r="P1725" t="s">
        <v>1972</v>
      </c>
    </row>
    <row r="1726" spans="16:16" x14ac:dyDescent="0.3">
      <c r="P1726" t="s">
        <v>1973</v>
      </c>
    </row>
    <row r="1727" spans="16:16" x14ac:dyDescent="0.3">
      <c r="P1727" t="s">
        <v>1974</v>
      </c>
    </row>
    <row r="1728" spans="16:16" x14ac:dyDescent="0.3">
      <c r="P1728" t="s">
        <v>1975</v>
      </c>
    </row>
    <row r="1729" spans="16:16" x14ac:dyDescent="0.3">
      <c r="P1729" t="s">
        <v>1976</v>
      </c>
    </row>
    <row r="1730" spans="16:16" x14ac:dyDescent="0.3">
      <c r="P1730" t="s">
        <v>1977</v>
      </c>
    </row>
    <row r="1731" spans="16:16" x14ac:dyDescent="0.3">
      <c r="P1731" t="s">
        <v>1978</v>
      </c>
    </row>
    <row r="1732" spans="16:16" x14ac:dyDescent="0.3">
      <c r="P1732" t="s">
        <v>1979</v>
      </c>
    </row>
    <row r="1733" spans="16:16" x14ac:dyDescent="0.3">
      <c r="P1733" t="s">
        <v>1980</v>
      </c>
    </row>
    <row r="1734" spans="16:16" x14ac:dyDescent="0.3">
      <c r="P1734" t="s">
        <v>1981</v>
      </c>
    </row>
    <row r="1735" spans="16:16" x14ac:dyDescent="0.3">
      <c r="P1735" t="s">
        <v>1178</v>
      </c>
    </row>
    <row r="1736" spans="16:16" x14ac:dyDescent="0.3">
      <c r="P1736" t="s">
        <v>1982</v>
      </c>
    </row>
    <row r="1737" spans="16:16" x14ac:dyDescent="0.3">
      <c r="P1737" t="s">
        <v>1983</v>
      </c>
    </row>
    <row r="1738" spans="16:16" x14ac:dyDescent="0.3">
      <c r="P1738" t="s">
        <v>1951</v>
      </c>
    </row>
    <row r="1739" spans="16:16" x14ac:dyDescent="0.3">
      <c r="P1739" t="s">
        <v>1984</v>
      </c>
    </row>
    <row r="1740" spans="16:16" x14ac:dyDescent="0.3">
      <c r="P1740" t="s">
        <v>1985</v>
      </c>
    </row>
    <row r="1741" spans="16:16" x14ac:dyDescent="0.3">
      <c r="P1741" t="s">
        <v>1986</v>
      </c>
    </row>
    <row r="1742" spans="16:16" x14ac:dyDescent="0.3">
      <c r="P1742" t="s">
        <v>1987</v>
      </c>
    </row>
    <row r="1743" spans="16:16" x14ac:dyDescent="0.3">
      <c r="P1743" t="s">
        <v>1979</v>
      </c>
    </row>
    <row r="1744" spans="16:16" x14ac:dyDescent="0.3">
      <c r="P1744" t="s">
        <v>1983</v>
      </c>
    </row>
    <row r="1745" spans="16:16" x14ac:dyDescent="0.3">
      <c r="P1745" t="s">
        <v>1988</v>
      </c>
    </row>
    <row r="1746" spans="16:16" x14ac:dyDescent="0.3">
      <c r="P1746" t="s">
        <v>1989</v>
      </c>
    </row>
    <row r="1747" spans="16:16" x14ac:dyDescent="0.3">
      <c r="P1747" t="s">
        <v>1990</v>
      </c>
    </row>
    <row r="1748" spans="16:16" x14ac:dyDescent="0.3">
      <c r="P1748" t="s">
        <v>1991</v>
      </c>
    </row>
    <row r="1749" spans="16:16" x14ac:dyDescent="0.3">
      <c r="P1749" t="s">
        <v>1992</v>
      </c>
    </row>
    <row r="1750" spans="16:16" x14ac:dyDescent="0.3">
      <c r="P1750" t="s">
        <v>1993</v>
      </c>
    </row>
    <row r="1751" spans="16:16" x14ac:dyDescent="0.3">
      <c r="P1751" t="s">
        <v>1994</v>
      </c>
    </row>
    <row r="1752" spans="16:16" x14ac:dyDescent="0.3">
      <c r="P1752" t="s">
        <v>1995</v>
      </c>
    </row>
    <row r="1753" spans="16:16" x14ac:dyDescent="0.3">
      <c r="P1753" t="s">
        <v>1978</v>
      </c>
    </row>
    <row r="1754" spans="16:16" x14ac:dyDescent="0.3">
      <c r="P1754" t="s">
        <v>1979</v>
      </c>
    </row>
    <row r="1755" spans="16:16" x14ac:dyDescent="0.3">
      <c r="P1755" t="s">
        <v>1996</v>
      </c>
    </row>
    <row r="1756" spans="16:16" x14ac:dyDescent="0.3">
      <c r="P1756" t="s">
        <v>1997</v>
      </c>
    </row>
    <row r="1757" spans="16:16" x14ac:dyDescent="0.3">
      <c r="P1757" t="s">
        <v>1998</v>
      </c>
    </row>
    <row r="1758" spans="16:16" x14ac:dyDescent="0.3">
      <c r="P1758" t="s">
        <v>1999</v>
      </c>
    </row>
    <row r="1759" spans="16:16" x14ac:dyDescent="0.3">
      <c r="P1759" t="s">
        <v>2000</v>
      </c>
    </row>
    <row r="1760" spans="16:16" x14ac:dyDescent="0.3">
      <c r="P1760" t="s">
        <v>2001</v>
      </c>
    </row>
    <row r="1761" spans="16:16" x14ac:dyDescent="0.3">
      <c r="P1761" t="s">
        <v>2002</v>
      </c>
    </row>
    <row r="1762" spans="16:16" x14ac:dyDescent="0.3">
      <c r="P1762" t="s">
        <v>1955</v>
      </c>
    </row>
    <row r="1763" spans="16:16" x14ac:dyDescent="0.3">
      <c r="P1763" t="s">
        <v>2003</v>
      </c>
    </row>
    <row r="1764" spans="16:16" x14ac:dyDescent="0.3">
      <c r="P1764" t="s">
        <v>2004</v>
      </c>
    </row>
    <row r="1765" spans="16:16" x14ac:dyDescent="0.3">
      <c r="P1765" t="s">
        <v>2005</v>
      </c>
    </row>
    <row r="1766" spans="16:16" x14ac:dyDescent="0.3">
      <c r="P1766" t="s">
        <v>2006</v>
      </c>
    </row>
    <row r="1767" spans="16:16" x14ac:dyDescent="0.3">
      <c r="P1767" t="s">
        <v>2007</v>
      </c>
    </row>
    <row r="1768" spans="16:16" x14ac:dyDescent="0.3">
      <c r="P1768" t="s">
        <v>2008</v>
      </c>
    </row>
    <row r="1769" spans="16:16" x14ac:dyDescent="0.3">
      <c r="P1769" t="s">
        <v>1986</v>
      </c>
    </row>
    <row r="1770" spans="16:16" x14ac:dyDescent="0.3">
      <c r="P1770" t="s">
        <v>2009</v>
      </c>
    </row>
    <row r="1771" spans="16:16" x14ac:dyDescent="0.3">
      <c r="P1771" t="s">
        <v>2010</v>
      </c>
    </row>
    <row r="1772" spans="16:16" x14ac:dyDescent="0.3">
      <c r="P1772" t="s">
        <v>2011</v>
      </c>
    </row>
    <row r="1773" spans="16:16" x14ac:dyDescent="0.3">
      <c r="P1773" t="s">
        <v>2012</v>
      </c>
    </row>
    <row r="1774" spans="16:16" x14ac:dyDescent="0.3">
      <c r="P1774" t="s">
        <v>2013</v>
      </c>
    </row>
    <row r="1775" spans="16:16" x14ac:dyDescent="0.3">
      <c r="P1775" t="s">
        <v>2014</v>
      </c>
    </row>
    <row r="1776" spans="16:16" x14ac:dyDescent="0.3">
      <c r="P1776" t="s">
        <v>2015</v>
      </c>
    </row>
    <row r="1777" spans="16:16" x14ac:dyDescent="0.3">
      <c r="P1777" t="s">
        <v>2016</v>
      </c>
    </row>
    <row r="1778" spans="16:16" x14ac:dyDescent="0.3">
      <c r="P1778" t="s">
        <v>2017</v>
      </c>
    </row>
    <row r="1779" spans="16:16" x14ac:dyDescent="0.3">
      <c r="P1779" t="s">
        <v>2018</v>
      </c>
    </row>
    <row r="1780" spans="16:16" x14ac:dyDescent="0.3">
      <c r="P1780" t="s">
        <v>2019</v>
      </c>
    </row>
    <row r="1781" spans="16:16" x14ac:dyDescent="0.3">
      <c r="P1781" t="s">
        <v>2020</v>
      </c>
    </row>
    <row r="1782" spans="16:16" x14ac:dyDescent="0.3">
      <c r="P1782" t="s">
        <v>2021</v>
      </c>
    </row>
    <row r="1783" spans="16:16" x14ac:dyDescent="0.3">
      <c r="P1783" t="s">
        <v>2022</v>
      </c>
    </row>
    <row r="1784" spans="16:16" x14ac:dyDescent="0.3">
      <c r="P1784" t="s">
        <v>2023</v>
      </c>
    </row>
    <row r="1785" spans="16:16" x14ac:dyDescent="0.3">
      <c r="P1785" t="s">
        <v>2024</v>
      </c>
    </row>
    <row r="1786" spans="16:16" x14ac:dyDescent="0.3">
      <c r="P1786" t="s">
        <v>2025</v>
      </c>
    </row>
    <row r="1787" spans="16:16" x14ac:dyDescent="0.3">
      <c r="P1787" t="s">
        <v>2026</v>
      </c>
    </row>
    <row r="1788" spans="16:16" x14ac:dyDescent="0.3">
      <c r="P1788" t="s">
        <v>1996</v>
      </c>
    </row>
    <row r="1789" spans="16:16" x14ac:dyDescent="0.3">
      <c r="P1789" t="s">
        <v>2027</v>
      </c>
    </row>
    <row r="1790" spans="16:16" x14ac:dyDescent="0.3">
      <c r="P1790" t="s">
        <v>2028</v>
      </c>
    </row>
    <row r="1791" spans="16:16" x14ac:dyDescent="0.3">
      <c r="P1791" t="s">
        <v>2029</v>
      </c>
    </row>
    <row r="1792" spans="16:16" x14ac:dyDescent="0.3">
      <c r="P1792" t="s">
        <v>2030</v>
      </c>
    </row>
    <row r="1793" spans="16:16" x14ac:dyDescent="0.3">
      <c r="P1793" t="s">
        <v>2031</v>
      </c>
    </row>
    <row r="1794" spans="16:16" x14ac:dyDescent="0.3">
      <c r="P1794" t="s">
        <v>2028</v>
      </c>
    </row>
    <row r="1795" spans="16:16" x14ac:dyDescent="0.3">
      <c r="P1795" t="s">
        <v>2032</v>
      </c>
    </row>
    <row r="1796" spans="16:16" x14ac:dyDescent="0.3">
      <c r="P1796" t="s">
        <v>2033</v>
      </c>
    </row>
    <row r="1797" spans="16:16" x14ac:dyDescent="0.3">
      <c r="P1797" t="s">
        <v>2034</v>
      </c>
    </row>
    <row r="1798" spans="16:16" x14ac:dyDescent="0.3">
      <c r="P1798" t="s">
        <v>2035</v>
      </c>
    </row>
    <row r="1799" spans="16:16" x14ac:dyDescent="0.3">
      <c r="P1799" t="s">
        <v>2036</v>
      </c>
    </row>
    <row r="1800" spans="16:16" x14ac:dyDescent="0.3">
      <c r="P1800" t="s">
        <v>2037</v>
      </c>
    </row>
    <row r="1801" spans="16:16" x14ac:dyDescent="0.3">
      <c r="P1801" t="s">
        <v>2038</v>
      </c>
    </row>
    <row r="1802" spans="16:16" x14ac:dyDescent="0.3">
      <c r="P1802" t="s">
        <v>2039</v>
      </c>
    </row>
    <row r="1803" spans="16:16" x14ac:dyDescent="0.3">
      <c r="P1803" t="s">
        <v>2040</v>
      </c>
    </row>
    <row r="1804" spans="16:16" x14ac:dyDescent="0.3">
      <c r="P1804" t="s">
        <v>2041</v>
      </c>
    </row>
    <row r="1805" spans="16:16" x14ac:dyDescent="0.3">
      <c r="P1805" t="s">
        <v>2042</v>
      </c>
    </row>
    <row r="1806" spans="16:16" x14ac:dyDescent="0.3">
      <c r="P1806" t="s">
        <v>2043</v>
      </c>
    </row>
    <row r="1807" spans="16:16" x14ac:dyDescent="0.3">
      <c r="P1807" t="s">
        <v>2044</v>
      </c>
    </row>
    <row r="1808" spans="16:16" x14ac:dyDescent="0.3">
      <c r="P1808" t="s">
        <v>2042</v>
      </c>
    </row>
    <row r="1809" spans="16:16" x14ac:dyDescent="0.3">
      <c r="P1809" t="s">
        <v>2045</v>
      </c>
    </row>
    <row r="1810" spans="16:16" x14ac:dyDescent="0.3">
      <c r="P1810" t="s">
        <v>2046</v>
      </c>
    </row>
    <row r="1811" spans="16:16" x14ac:dyDescent="0.3">
      <c r="P1811" t="s">
        <v>2047</v>
      </c>
    </row>
    <row r="1812" spans="16:16" x14ac:dyDescent="0.3">
      <c r="P1812" t="s">
        <v>2048</v>
      </c>
    </row>
    <row r="1813" spans="16:16" x14ac:dyDescent="0.3">
      <c r="P1813" t="s">
        <v>468</v>
      </c>
    </row>
    <row r="1814" spans="16:16" x14ac:dyDescent="0.3">
      <c r="P1814" t="s">
        <v>2049</v>
      </c>
    </row>
    <row r="1815" spans="16:16" x14ac:dyDescent="0.3">
      <c r="P1815" t="s">
        <v>2050</v>
      </c>
    </row>
    <row r="1816" spans="16:16" x14ac:dyDescent="0.3">
      <c r="P1816" t="s">
        <v>2051</v>
      </c>
    </row>
    <row r="1817" spans="16:16" x14ac:dyDescent="0.3">
      <c r="P1817" t="s">
        <v>2052</v>
      </c>
    </row>
    <row r="1818" spans="16:16" x14ac:dyDescent="0.3">
      <c r="P1818" t="s">
        <v>2053</v>
      </c>
    </row>
    <row r="1819" spans="16:16" x14ac:dyDescent="0.3">
      <c r="P1819" t="s">
        <v>2054</v>
      </c>
    </row>
    <row r="1820" spans="16:16" x14ac:dyDescent="0.3">
      <c r="P1820" t="s">
        <v>2055</v>
      </c>
    </row>
    <row r="1821" spans="16:16" x14ac:dyDescent="0.3">
      <c r="P1821" t="s">
        <v>2034</v>
      </c>
    </row>
    <row r="1822" spans="16:16" x14ac:dyDescent="0.3">
      <c r="P1822" t="s">
        <v>2056</v>
      </c>
    </row>
    <row r="1823" spans="16:16" x14ac:dyDescent="0.3">
      <c r="P1823" t="s">
        <v>2057</v>
      </c>
    </row>
    <row r="1824" spans="16:16" x14ac:dyDescent="0.3">
      <c r="P1824" t="s">
        <v>2058</v>
      </c>
    </row>
    <row r="1825" spans="16:16" x14ac:dyDescent="0.3">
      <c r="P1825" t="s">
        <v>2059</v>
      </c>
    </row>
    <row r="1826" spans="16:16" x14ac:dyDescent="0.3">
      <c r="P1826" t="s">
        <v>2060</v>
      </c>
    </row>
    <row r="1827" spans="16:16" x14ac:dyDescent="0.3">
      <c r="P1827" t="s">
        <v>2061</v>
      </c>
    </row>
    <row r="1828" spans="16:16" x14ac:dyDescent="0.3">
      <c r="P1828" t="s">
        <v>2062</v>
      </c>
    </row>
    <row r="1829" spans="16:16" x14ac:dyDescent="0.3">
      <c r="P1829" t="s">
        <v>2063</v>
      </c>
    </row>
    <row r="1830" spans="16:16" x14ac:dyDescent="0.3">
      <c r="P1830" t="s">
        <v>2064</v>
      </c>
    </row>
    <row r="1831" spans="16:16" x14ac:dyDescent="0.3">
      <c r="P1831" t="s">
        <v>2065</v>
      </c>
    </row>
    <row r="1832" spans="16:16" x14ac:dyDescent="0.3">
      <c r="P1832" t="s">
        <v>2016</v>
      </c>
    </row>
    <row r="1833" spans="16:16" x14ac:dyDescent="0.3">
      <c r="P1833" t="s">
        <v>2066</v>
      </c>
    </row>
    <row r="1834" spans="16:16" x14ac:dyDescent="0.3">
      <c r="P1834" t="s">
        <v>2067</v>
      </c>
    </row>
    <row r="1835" spans="16:16" x14ac:dyDescent="0.3">
      <c r="P1835" t="s">
        <v>2068</v>
      </c>
    </row>
    <row r="1836" spans="16:16" x14ac:dyDescent="0.3">
      <c r="P1836" t="s">
        <v>2069</v>
      </c>
    </row>
    <row r="1837" spans="16:16" x14ac:dyDescent="0.3">
      <c r="P1837" t="s">
        <v>2070</v>
      </c>
    </row>
    <row r="1838" spans="16:16" x14ac:dyDescent="0.3">
      <c r="P1838" t="s">
        <v>2068</v>
      </c>
    </row>
    <row r="1839" spans="16:16" x14ac:dyDescent="0.3">
      <c r="P1839" t="s">
        <v>2070</v>
      </c>
    </row>
    <row r="1840" spans="16:16" x14ac:dyDescent="0.3">
      <c r="P1840" t="s">
        <v>2071</v>
      </c>
    </row>
    <row r="1841" spans="16:16" x14ac:dyDescent="0.3">
      <c r="P1841" t="s">
        <v>2072</v>
      </c>
    </row>
    <row r="1842" spans="16:16" x14ac:dyDescent="0.3">
      <c r="P1842" t="s">
        <v>2073</v>
      </c>
    </row>
    <row r="1843" spans="16:16" x14ac:dyDescent="0.3">
      <c r="P1843" t="s">
        <v>2074</v>
      </c>
    </row>
    <row r="1844" spans="16:16" x14ac:dyDescent="0.3">
      <c r="P1844" t="s">
        <v>2075</v>
      </c>
    </row>
    <row r="1845" spans="16:16" x14ac:dyDescent="0.3">
      <c r="P1845" t="s">
        <v>2076</v>
      </c>
    </row>
    <row r="1846" spans="16:16" x14ac:dyDescent="0.3">
      <c r="P1846" t="s">
        <v>2076</v>
      </c>
    </row>
    <row r="1847" spans="16:16" x14ac:dyDescent="0.3">
      <c r="P1847" t="s">
        <v>2077</v>
      </c>
    </row>
    <row r="1848" spans="16:16" x14ac:dyDescent="0.3">
      <c r="P1848" t="s">
        <v>2078</v>
      </c>
    </row>
    <row r="1849" spans="16:16" x14ac:dyDescent="0.3">
      <c r="P1849" t="s">
        <v>2074</v>
      </c>
    </row>
    <row r="1850" spans="16:16" x14ac:dyDescent="0.3">
      <c r="P1850" t="s">
        <v>2079</v>
      </c>
    </row>
    <row r="1851" spans="16:16" x14ac:dyDescent="0.3">
      <c r="P1851" t="s">
        <v>2080</v>
      </c>
    </row>
    <row r="1852" spans="16:16" x14ac:dyDescent="0.3">
      <c r="P1852" t="s">
        <v>2081</v>
      </c>
    </row>
    <row r="1853" spans="16:16" x14ac:dyDescent="0.3">
      <c r="P1853" t="s">
        <v>2082</v>
      </c>
    </row>
    <row r="1854" spans="16:16" x14ac:dyDescent="0.3">
      <c r="P1854" t="s">
        <v>2083</v>
      </c>
    </row>
    <row r="1855" spans="16:16" x14ac:dyDescent="0.3">
      <c r="P1855" t="s">
        <v>2084</v>
      </c>
    </row>
    <row r="1856" spans="16:16" x14ac:dyDescent="0.3">
      <c r="P1856" t="s">
        <v>2085</v>
      </c>
    </row>
    <row r="1857" spans="16:16" x14ac:dyDescent="0.3">
      <c r="P1857" t="s">
        <v>2086</v>
      </c>
    </row>
    <row r="1858" spans="16:16" x14ac:dyDescent="0.3">
      <c r="P1858" t="s">
        <v>2087</v>
      </c>
    </row>
    <row r="1859" spans="16:16" x14ac:dyDescent="0.3">
      <c r="P1859" t="s">
        <v>2088</v>
      </c>
    </row>
    <row r="1860" spans="16:16" x14ac:dyDescent="0.3">
      <c r="P1860" t="s">
        <v>2089</v>
      </c>
    </row>
    <row r="1861" spans="16:16" x14ac:dyDescent="0.3">
      <c r="P1861" t="s">
        <v>2090</v>
      </c>
    </row>
    <row r="1862" spans="16:16" x14ac:dyDescent="0.3">
      <c r="P1862" t="s">
        <v>2091</v>
      </c>
    </row>
    <row r="1863" spans="16:16" x14ac:dyDescent="0.3">
      <c r="P1863" t="s">
        <v>2092</v>
      </c>
    </row>
    <row r="1864" spans="16:16" x14ac:dyDescent="0.3">
      <c r="P1864" t="s">
        <v>2093</v>
      </c>
    </row>
    <row r="1865" spans="16:16" x14ac:dyDescent="0.3">
      <c r="P1865" t="s">
        <v>2094</v>
      </c>
    </row>
    <row r="1866" spans="16:16" x14ac:dyDescent="0.3">
      <c r="P1866" t="s">
        <v>2095</v>
      </c>
    </row>
    <row r="1867" spans="16:16" x14ac:dyDescent="0.3">
      <c r="P1867" t="s">
        <v>2096</v>
      </c>
    </row>
    <row r="1868" spans="16:16" x14ac:dyDescent="0.3">
      <c r="P1868" t="s">
        <v>2097</v>
      </c>
    </row>
    <row r="1869" spans="16:16" x14ac:dyDescent="0.3">
      <c r="P1869" t="s">
        <v>2098</v>
      </c>
    </row>
    <row r="1870" spans="16:16" x14ac:dyDescent="0.3">
      <c r="P1870" t="s">
        <v>2099</v>
      </c>
    </row>
    <row r="1871" spans="16:16" x14ac:dyDescent="0.3">
      <c r="P1871" t="s">
        <v>2100</v>
      </c>
    </row>
    <row r="1872" spans="16:16" x14ac:dyDescent="0.3">
      <c r="P1872" t="s">
        <v>2099</v>
      </c>
    </row>
    <row r="1873" spans="16:16" x14ac:dyDescent="0.3">
      <c r="P1873" t="s">
        <v>2101</v>
      </c>
    </row>
    <row r="1874" spans="16:16" x14ac:dyDescent="0.3">
      <c r="P1874" t="s">
        <v>2102</v>
      </c>
    </row>
    <row r="1875" spans="16:16" x14ac:dyDescent="0.3">
      <c r="P1875" t="s">
        <v>2103</v>
      </c>
    </row>
    <row r="1876" spans="16:16" x14ac:dyDescent="0.3">
      <c r="P1876" t="s">
        <v>518</v>
      </c>
    </row>
    <row r="1877" spans="16:16" x14ac:dyDescent="0.3">
      <c r="P1877" t="s">
        <v>2104</v>
      </c>
    </row>
    <row r="1878" spans="16:16" x14ac:dyDescent="0.3">
      <c r="P1878" t="s">
        <v>2105</v>
      </c>
    </row>
    <row r="1879" spans="16:16" x14ac:dyDescent="0.3">
      <c r="P1879" t="s">
        <v>2106</v>
      </c>
    </row>
    <row r="1880" spans="16:16" x14ac:dyDescent="0.3">
      <c r="P1880" t="s">
        <v>2107</v>
      </c>
    </row>
    <row r="1881" spans="16:16" x14ac:dyDescent="0.3">
      <c r="P1881" t="s">
        <v>2108</v>
      </c>
    </row>
    <row r="1882" spans="16:16" x14ac:dyDescent="0.3">
      <c r="P1882" t="s">
        <v>2109</v>
      </c>
    </row>
    <row r="1883" spans="16:16" x14ac:dyDescent="0.3">
      <c r="P1883" t="s">
        <v>2110</v>
      </c>
    </row>
    <row r="1884" spans="16:16" x14ac:dyDescent="0.3">
      <c r="P1884" t="s">
        <v>2111</v>
      </c>
    </row>
    <row r="1885" spans="16:16" x14ac:dyDescent="0.3">
      <c r="P1885" t="s">
        <v>2112</v>
      </c>
    </row>
    <row r="1886" spans="16:16" x14ac:dyDescent="0.3">
      <c r="P1886" t="s">
        <v>2113</v>
      </c>
    </row>
    <row r="1887" spans="16:16" x14ac:dyDescent="0.3">
      <c r="P1887" t="s">
        <v>2114</v>
      </c>
    </row>
    <row r="1888" spans="16:16" x14ac:dyDescent="0.3">
      <c r="P1888" t="s">
        <v>2115</v>
      </c>
    </row>
    <row r="1889" spans="16:16" x14ac:dyDescent="0.3">
      <c r="P1889" t="s">
        <v>2116</v>
      </c>
    </row>
    <row r="1890" spans="16:16" x14ac:dyDescent="0.3">
      <c r="P1890" t="s">
        <v>2117</v>
      </c>
    </row>
    <row r="1891" spans="16:16" x14ac:dyDescent="0.3">
      <c r="P1891" t="s">
        <v>2118</v>
      </c>
    </row>
    <row r="1892" spans="16:16" x14ac:dyDescent="0.3">
      <c r="P1892" t="s">
        <v>2119</v>
      </c>
    </row>
    <row r="1893" spans="16:16" x14ac:dyDescent="0.3">
      <c r="P1893" t="s">
        <v>2120</v>
      </c>
    </row>
    <row r="1894" spans="16:16" x14ac:dyDescent="0.3">
      <c r="P1894" t="s">
        <v>2121</v>
      </c>
    </row>
    <row r="1895" spans="16:16" x14ac:dyDescent="0.3">
      <c r="P1895" t="s">
        <v>2122</v>
      </c>
    </row>
    <row r="1896" spans="16:16" x14ac:dyDescent="0.3">
      <c r="P1896" t="s">
        <v>2123</v>
      </c>
    </row>
    <row r="1897" spans="16:16" x14ac:dyDescent="0.3">
      <c r="P1897" t="s">
        <v>2124</v>
      </c>
    </row>
    <row r="1898" spans="16:16" x14ac:dyDescent="0.3">
      <c r="P1898" t="s">
        <v>2021</v>
      </c>
    </row>
    <row r="1899" spans="16:16" x14ac:dyDescent="0.3">
      <c r="P1899" t="s">
        <v>2125</v>
      </c>
    </row>
    <row r="1900" spans="16:16" x14ac:dyDescent="0.3">
      <c r="P1900" t="s">
        <v>2126</v>
      </c>
    </row>
    <row r="1901" spans="16:16" x14ac:dyDescent="0.3">
      <c r="P1901" t="s">
        <v>2095</v>
      </c>
    </row>
    <row r="1902" spans="16:16" x14ac:dyDescent="0.3">
      <c r="P1902" t="s">
        <v>2127</v>
      </c>
    </row>
    <row r="1903" spans="16:16" x14ac:dyDescent="0.3">
      <c r="P1903" t="s">
        <v>2128</v>
      </c>
    </row>
    <row r="1904" spans="16:16" x14ac:dyDescent="0.3">
      <c r="P1904" t="s">
        <v>2129</v>
      </c>
    </row>
    <row r="1905" spans="16:16" x14ac:dyDescent="0.3">
      <c r="P1905" t="s">
        <v>2107</v>
      </c>
    </row>
    <row r="1906" spans="16:16" x14ac:dyDescent="0.3">
      <c r="P1906" t="s">
        <v>2105</v>
      </c>
    </row>
    <row r="1907" spans="16:16" x14ac:dyDescent="0.3">
      <c r="P1907" t="s">
        <v>2130</v>
      </c>
    </row>
    <row r="1908" spans="16:16" x14ac:dyDescent="0.3">
      <c r="P1908" t="s">
        <v>2131</v>
      </c>
    </row>
    <row r="1909" spans="16:16" x14ac:dyDescent="0.3">
      <c r="P1909" t="s">
        <v>2129</v>
      </c>
    </row>
    <row r="1910" spans="16:16" x14ac:dyDescent="0.3">
      <c r="P1910" t="s">
        <v>2132</v>
      </c>
    </row>
    <row r="1911" spans="16:16" x14ac:dyDescent="0.3">
      <c r="P1911" t="s">
        <v>2133</v>
      </c>
    </row>
    <row r="1912" spans="16:16" x14ac:dyDescent="0.3">
      <c r="P1912" t="s">
        <v>2134</v>
      </c>
    </row>
    <row r="1913" spans="16:16" x14ac:dyDescent="0.3">
      <c r="P1913" t="s">
        <v>2135</v>
      </c>
    </row>
    <row r="1914" spans="16:16" x14ac:dyDescent="0.3">
      <c r="P1914" t="s">
        <v>2136</v>
      </c>
    </row>
    <row r="1915" spans="16:16" x14ac:dyDescent="0.3">
      <c r="P1915" t="s">
        <v>2137</v>
      </c>
    </row>
    <row r="1916" spans="16:16" x14ac:dyDescent="0.3">
      <c r="P1916" t="s">
        <v>2138</v>
      </c>
    </row>
    <row r="1917" spans="16:16" x14ac:dyDescent="0.3">
      <c r="P1917" t="s">
        <v>2139</v>
      </c>
    </row>
    <row r="1918" spans="16:16" x14ac:dyDescent="0.3">
      <c r="P1918" t="s">
        <v>2140</v>
      </c>
    </row>
    <row r="1919" spans="16:16" x14ac:dyDescent="0.3">
      <c r="P1919" t="s">
        <v>2141</v>
      </c>
    </row>
    <row r="1920" spans="16:16" x14ac:dyDescent="0.3">
      <c r="P1920" t="s">
        <v>2142</v>
      </c>
    </row>
    <row r="1921" spans="16:16" x14ac:dyDescent="0.3">
      <c r="P1921" t="s">
        <v>2125</v>
      </c>
    </row>
    <row r="1922" spans="16:16" x14ac:dyDescent="0.3">
      <c r="P1922" t="s">
        <v>2143</v>
      </c>
    </row>
    <row r="1923" spans="16:16" x14ac:dyDescent="0.3">
      <c r="P1923" t="s">
        <v>2144</v>
      </c>
    </row>
    <row r="1924" spans="16:16" x14ac:dyDescent="0.3">
      <c r="P1924" t="s">
        <v>2145</v>
      </c>
    </row>
    <row r="1925" spans="16:16" x14ac:dyDescent="0.3">
      <c r="P1925" t="s">
        <v>2146</v>
      </c>
    </row>
    <row r="1926" spans="16:16" x14ac:dyDescent="0.3">
      <c r="P1926" t="s">
        <v>2147</v>
      </c>
    </row>
    <row r="1927" spans="16:16" x14ac:dyDescent="0.3">
      <c r="P1927" t="s">
        <v>2148</v>
      </c>
    </row>
    <row r="1928" spans="16:16" x14ac:dyDescent="0.3">
      <c r="P1928" t="s">
        <v>2149</v>
      </c>
    </row>
    <row r="1929" spans="16:16" x14ac:dyDescent="0.3">
      <c r="P1929" t="s">
        <v>2150</v>
      </c>
    </row>
    <row r="1930" spans="16:16" x14ac:dyDescent="0.3">
      <c r="P1930" t="s">
        <v>2151</v>
      </c>
    </row>
    <row r="1931" spans="16:16" x14ac:dyDescent="0.3">
      <c r="P1931" t="s">
        <v>2152</v>
      </c>
    </row>
    <row r="1932" spans="16:16" x14ac:dyDescent="0.3">
      <c r="P1932" t="s">
        <v>2153</v>
      </c>
    </row>
    <row r="1933" spans="16:16" x14ac:dyDescent="0.3">
      <c r="P1933" t="s">
        <v>2154</v>
      </c>
    </row>
    <row r="1934" spans="16:16" x14ac:dyDescent="0.3">
      <c r="P1934" t="s">
        <v>1393</v>
      </c>
    </row>
    <row r="1935" spans="16:16" x14ac:dyDescent="0.3">
      <c r="P1935" t="s">
        <v>2155</v>
      </c>
    </row>
    <row r="1936" spans="16:16" x14ac:dyDescent="0.3">
      <c r="P1936" t="s">
        <v>2156</v>
      </c>
    </row>
    <row r="1937" spans="16:16" x14ac:dyDescent="0.3">
      <c r="P1937" t="s">
        <v>2157</v>
      </c>
    </row>
    <row r="1938" spans="16:16" x14ac:dyDescent="0.3">
      <c r="P1938" t="s">
        <v>2158</v>
      </c>
    </row>
    <row r="1939" spans="16:16" x14ac:dyDescent="0.3">
      <c r="P1939" t="s">
        <v>2159</v>
      </c>
    </row>
    <row r="1940" spans="16:16" x14ac:dyDescent="0.3">
      <c r="P1940" t="s">
        <v>2160</v>
      </c>
    </row>
    <row r="1941" spans="16:16" x14ac:dyDescent="0.3">
      <c r="P1941" t="s">
        <v>2161</v>
      </c>
    </row>
    <row r="1942" spans="16:16" x14ac:dyDescent="0.3">
      <c r="P1942" t="s">
        <v>2162</v>
      </c>
    </row>
    <row r="1943" spans="16:16" x14ac:dyDescent="0.3">
      <c r="P1943" t="s">
        <v>2163</v>
      </c>
    </row>
    <row r="1944" spans="16:16" x14ac:dyDescent="0.3">
      <c r="P1944" t="s">
        <v>2164</v>
      </c>
    </row>
    <row r="1945" spans="16:16" x14ac:dyDescent="0.3">
      <c r="P1945" t="s">
        <v>2165</v>
      </c>
    </row>
    <row r="1946" spans="16:16" x14ac:dyDescent="0.3">
      <c r="P1946" t="s">
        <v>2166</v>
      </c>
    </row>
    <row r="1947" spans="16:16" x14ac:dyDescent="0.3">
      <c r="P1947" t="s">
        <v>2167</v>
      </c>
    </row>
    <row r="1948" spans="16:16" x14ac:dyDescent="0.3">
      <c r="P1948" t="s">
        <v>2168</v>
      </c>
    </row>
    <row r="1949" spans="16:16" x14ac:dyDescent="0.3">
      <c r="P1949" t="s">
        <v>2169</v>
      </c>
    </row>
    <row r="1950" spans="16:16" x14ac:dyDescent="0.3">
      <c r="P1950" t="s">
        <v>2170</v>
      </c>
    </row>
    <row r="1951" spans="16:16" x14ac:dyDescent="0.3">
      <c r="P1951" t="s">
        <v>2171</v>
      </c>
    </row>
    <row r="1952" spans="16:16" x14ac:dyDescent="0.3">
      <c r="P1952" t="s">
        <v>2172</v>
      </c>
    </row>
    <row r="1953" spans="16:16" x14ac:dyDescent="0.3">
      <c r="P1953" t="s">
        <v>2173</v>
      </c>
    </row>
    <row r="1954" spans="16:16" x14ac:dyDescent="0.3">
      <c r="P1954" t="s">
        <v>2174</v>
      </c>
    </row>
    <row r="1955" spans="16:16" x14ac:dyDescent="0.3">
      <c r="P1955" t="s">
        <v>2175</v>
      </c>
    </row>
    <row r="1956" spans="16:16" x14ac:dyDescent="0.3">
      <c r="P1956" t="s">
        <v>2176</v>
      </c>
    </row>
    <row r="1957" spans="16:16" x14ac:dyDescent="0.3">
      <c r="P1957" t="s">
        <v>2177</v>
      </c>
    </row>
    <row r="1958" spans="16:16" x14ac:dyDescent="0.3">
      <c r="P1958" t="s">
        <v>2178</v>
      </c>
    </row>
    <row r="1959" spans="16:16" x14ac:dyDescent="0.3">
      <c r="P1959" t="s">
        <v>2179</v>
      </c>
    </row>
    <row r="1960" spans="16:16" x14ac:dyDescent="0.3">
      <c r="P1960" t="s">
        <v>2180</v>
      </c>
    </row>
    <row r="1961" spans="16:16" x14ac:dyDescent="0.3">
      <c r="P1961" t="s">
        <v>2181</v>
      </c>
    </row>
    <row r="1962" spans="16:16" x14ac:dyDescent="0.3">
      <c r="P1962" t="s">
        <v>2182</v>
      </c>
    </row>
    <row r="1963" spans="16:16" x14ac:dyDescent="0.3">
      <c r="P1963" t="s">
        <v>2183</v>
      </c>
    </row>
    <row r="1964" spans="16:16" x14ac:dyDescent="0.3">
      <c r="P1964" t="s">
        <v>2184</v>
      </c>
    </row>
    <row r="1965" spans="16:16" x14ac:dyDescent="0.3">
      <c r="P1965" t="s">
        <v>2185</v>
      </c>
    </row>
    <row r="1966" spans="16:16" x14ac:dyDescent="0.3">
      <c r="P1966" t="s">
        <v>2186</v>
      </c>
    </row>
    <row r="1967" spans="16:16" x14ac:dyDescent="0.3">
      <c r="P1967" t="s">
        <v>2185</v>
      </c>
    </row>
    <row r="1968" spans="16:16" x14ac:dyDescent="0.3">
      <c r="P1968" t="s">
        <v>2187</v>
      </c>
    </row>
    <row r="1969" spans="16:16" x14ac:dyDescent="0.3">
      <c r="P1969" t="s">
        <v>2186</v>
      </c>
    </row>
    <row r="1970" spans="16:16" x14ac:dyDescent="0.3">
      <c r="P1970" t="s">
        <v>2188</v>
      </c>
    </row>
    <row r="1971" spans="16:16" x14ac:dyDescent="0.3">
      <c r="P1971" t="s">
        <v>2189</v>
      </c>
    </row>
    <row r="1972" spans="16:16" x14ac:dyDescent="0.3">
      <c r="P1972" t="s">
        <v>2190</v>
      </c>
    </row>
    <row r="1973" spans="16:16" x14ac:dyDescent="0.3">
      <c r="P1973" t="s">
        <v>2191</v>
      </c>
    </row>
    <row r="1974" spans="16:16" x14ac:dyDescent="0.3">
      <c r="P1974" t="s">
        <v>2192</v>
      </c>
    </row>
    <row r="1975" spans="16:16" x14ac:dyDescent="0.3">
      <c r="P1975" t="s">
        <v>2193</v>
      </c>
    </row>
    <row r="1976" spans="16:16" x14ac:dyDescent="0.3">
      <c r="P1976" t="s">
        <v>2194</v>
      </c>
    </row>
    <row r="1977" spans="16:16" x14ac:dyDescent="0.3">
      <c r="P1977" t="s">
        <v>2195</v>
      </c>
    </row>
    <row r="1978" spans="16:16" x14ac:dyDescent="0.3">
      <c r="P1978" t="s">
        <v>2196</v>
      </c>
    </row>
    <row r="1979" spans="16:16" x14ac:dyDescent="0.3">
      <c r="P1979" t="s">
        <v>2197</v>
      </c>
    </row>
    <row r="1980" spans="16:16" x14ac:dyDescent="0.3">
      <c r="P1980" t="s">
        <v>2198</v>
      </c>
    </row>
    <row r="1981" spans="16:16" x14ac:dyDescent="0.3">
      <c r="P1981" t="s">
        <v>2199</v>
      </c>
    </row>
    <row r="1982" spans="16:16" x14ac:dyDescent="0.3">
      <c r="P1982" t="s">
        <v>2200</v>
      </c>
    </row>
    <row r="1983" spans="16:16" x14ac:dyDescent="0.3">
      <c r="P1983" t="s">
        <v>2201</v>
      </c>
    </row>
    <row r="1984" spans="16:16" x14ac:dyDescent="0.3">
      <c r="P1984" t="s">
        <v>2202</v>
      </c>
    </row>
    <row r="1985" spans="16:16" x14ac:dyDescent="0.3">
      <c r="P1985" t="s">
        <v>2203</v>
      </c>
    </row>
    <row r="1986" spans="16:16" x14ac:dyDescent="0.3">
      <c r="P1986" t="s">
        <v>2204</v>
      </c>
    </row>
    <row r="1987" spans="16:16" x14ac:dyDescent="0.3">
      <c r="P1987" t="s">
        <v>2205</v>
      </c>
    </row>
    <row r="1988" spans="16:16" x14ac:dyDescent="0.3">
      <c r="P1988" t="s">
        <v>2206</v>
      </c>
    </row>
    <row r="1989" spans="16:16" x14ac:dyDescent="0.3">
      <c r="P1989" t="s">
        <v>2207</v>
      </c>
    </row>
    <row r="1990" spans="16:16" x14ac:dyDescent="0.3">
      <c r="P1990" t="s">
        <v>2208</v>
      </c>
    </row>
    <row r="1991" spans="16:16" x14ac:dyDescent="0.3">
      <c r="P1991" t="s">
        <v>2209</v>
      </c>
    </row>
    <row r="1992" spans="16:16" x14ac:dyDescent="0.3">
      <c r="P1992" t="s">
        <v>2210</v>
      </c>
    </row>
    <row r="1993" spans="16:16" x14ac:dyDescent="0.3">
      <c r="P1993" t="s">
        <v>2211</v>
      </c>
    </row>
    <row r="1994" spans="16:16" x14ac:dyDescent="0.3">
      <c r="P1994" t="s">
        <v>2212</v>
      </c>
    </row>
    <row r="1995" spans="16:16" x14ac:dyDescent="0.3">
      <c r="P1995" t="s">
        <v>2213</v>
      </c>
    </row>
    <row r="1996" spans="16:16" x14ac:dyDescent="0.3">
      <c r="P1996" t="s">
        <v>2214</v>
      </c>
    </row>
    <row r="1997" spans="16:16" x14ac:dyDescent="0.3">
      <c r="P1997" t="s">
        <v>2215</v>
      </c>
    </row>
    <row r="1998" spans="16:16" x14ac:dyDescent="0.3">
      <c r="P1998" t="s">
        <v>2214</v>
      </c>
    </row>
    <row r="1999" spans="16:16" x14ac:dyDescent="0.3">
      <c r="P1999" t="s">
        <v>2216</v>
      </c>
    </row>
    <row r="2000" spans="16:16" x14ac:dyDescent="0.3">
      <c r="P2000" t="s">
        <v>2217</v>
      </c>
    </row>
    <row r="2001" spans="16:16" x14ac:dyDescent="0.3">
      <c r="P2001" t="s">
        <v>2218</v>
      </c>
    </row>
    <row r="2002" spans="16:16" x14ac:dyDescent="0.3">
      <c r="P2002" t="s">
        <v>2219</v>
      </c>
    </row>
    <row r="2003" spans="16:16" x14ac:dyDescent="0.3">
      <c r="P2003" t="s">
        <v>2220</v>
      </c>
    </row>
    <row r="2004" spans="16:16" x14ac:dyDescent="0.3">
      <c r="P2004" t="s">
        <v>2221</v>
      </c>
    </row>
    <row r="2005" spans="16:16" x14ac:dyDescent="0.3">
      <c r="P2005" t="s">
        <v>2222</v>
      </c>
    </row>
    <row r="2006" spans="16:16" x14ac:dyDescent="0.3">
      <c r="P2006" t="s">
        <v>2223</v>
      </c>
    </row>
    <row r="2007" spans="16:16" x14ac:dyDescent="0.3">
      <c r="P2007" t="s">
        <v>2223</v>
      </c>
    </row>
    <row r="2008" spans="16:16" x14ac:dyDescent="0.3">
      <c r="P2008" t="s">
        <v>2224</v>
      </c>
    </row>
    <row r="2009" spans="16:16" x14ac:dyDescent="0.3">
      <c r="P2009" t="s">
        <v>2225</v>
      </c>
    </row>
    <row r="2010" spans="16:16" x14ac:dyDescent="0.3">
      <c r="P2010" t="s">
        <v>2226</v>
      </c>
    </row>
    <row r="2011" spans="16:16" x14ac:dyDescent="0.3">
      <c r="P2011" t="s">
        <v>2222</v>
      </c>
    </row>
    <row r="2012" spans="16:16" x14ac:dyDescent="0.3">
      <c r="P2012" t="s">
        <v>2227</v>
      </c>
    </row>
    <row r="2013" spans="16:16" x14ac:dyDescent="0.3">
      <c r="P2013" t="s">
        <v>2228</v>
      </c>
    </row>
    <row r="2014" spans="16:16" x14ac:dyDescent="0.3">
      <c r="P2014" t="s">
        <v>2222</v>
      </c>
    </row>
    <row r="2015" spans="16:16" x14ac:dyDescent="0.3">
      <c r="P2015" t="s">
        <v>2226</v>
      </c>
    </row>
    <row r="2016" spans="16:16" x14ac:dyDescent="0.3">
      <c r="P2016" t="s">
        <v>2226</v>
      </c>
    </row>
    <row r="2017" spans="16:16" x14ac:dyDescent="0.3">
      <c r="P2017" t="s">
        <v>2229</v>
      </c>
    </row>
    <row r="2018" spans="16:16" x14ac:dyDescent="0.3">
      <c r="P2018" t="s">
        <v>2230</v>
      </c>
    </row>
    <row r="2019" spans="16:16" x14ac:dyDescent="0.3">
      <c r="P2019" t="s">
        <v>2231</v>
      </c>
    </row>
    <row r="2020" spans="16:16" x14ac:dyDescent="0.3">
      <c r="P2020" t="s">
        <v>2232</v>
      </c>
    </row>
    <row r="2021" spans="16:16" x14ac:dyDescent="0.3">
      <c r="P2021" t="s">
        <v>2233</v>
      </c>
    </row>
    <row r="2022" spans="16:16" x14ac:dyDescent="0.3">
      <c r="P2022" t="s">
        <v>2234</v>
      </c>
    </row>
    <row r="2023" spans="16:16" x14ac:dyDescent="0.3">
      <c r="P2023" t="s">
        <v>2235</v>
      </c>
    </row>
    <row r="2024" spans="16:16" x14ac:dyDescent="0.3">
      <c r="P2024" t="s">
        <v>2236</v>
      </c>
    </row>
    <row r="2025" spans="16:16" x14ac:dyDescent="0.3">
      <c r="P2025" t="s">
        <v>2237</v>
      </c>
    </row>
    <row r="2026" spans="16:16" x14ac:dyDescent="0.3">
      <c r="P2026" t="s">
        <v>2238</v>
      </c>
    </row>
    <row r="2027" spans="16:16" x14ac:dyDescent="0.3">
      <c r="P2027" t="s">
        <v>2239</v>
      </c>
    </row>
    <row r="2028" spans="16:16" x14ac:dyDescent="0.3">
      <c r="P2028" t="s">
        <v>2240</v>
      </c>
    </row>
    <row r="2029" spans="16:16" x14ac:dyDescent="0.3">
      <c r="P2029" t="s">
        <v>2241</v>
      </c>
    </row>
    <row r="2030" spans="16:16" x14ac:dyDescent="0.3">
      <c r="P2030" t="s">
        <v>2213</v>
      </c>
    </row>
    <row r="2031" spans="16:16" x14ac:dyDescent="0.3">
      <c r="P2031" t="s">
        <v>2216</v>
      </c>
    </row>
    <row r="2032" spans="16:16" x14ac:dyDescent="0.3">
      <c r="P2032" t="s">
        <v>2242</v>
      </c>
    </row>
    <row r="2033" spans="16:16" x14ac:dyDescent="0.3">
      <c r="P2033" t="s">
        <v>2243</v>
      </c>
    </row>
    <row r="2034" spans="16:16" x14ac:dyDescent="0.3">
      <c r="P2034" t="s">
        <v>2170</v>
      </c>
    </row>
    <row r="2035" spans="16:16" x14ac:dyDescent="0.3">
      <c r="P2035" t="s">
        <v>2244</v>
      </c>
    </row>
    <row r="2036" spans="16:16" x14ac:dyDescent="0.3">
      <c r="P2036" t="s">
        <v>2230</v>
      </c>
    </row>
    <row r="2037" spans="16:16" x14ac:dyDescent="0.3">
      <c r="P2037" t="s">
        <v>2245</v>
      </c>
    </row>
    <row r="2038" spans="16:16" x14ac:dyDescent="0.3">
      <c r="P2038" t="s">
        <v>2246</v>
      </c>
    </row>
    <row r="2039" spans="16:16" x14ac:dyDescent="0.3">
      <c r="P2039" t="s">
        <v>2247</v>
      </c>
    </row>
    <row r="2040" spans="16:16" x14ac:dyDescent="0.3">
      <c r="P2040" t="s">
        <v>2248</v>
      </c>
    </row>
    <row r="2041" spans="16:16" x14ac:dyDescent="0.3">
      <c r="P2041" t="s">
        <v>2249</v>
      </c>
    </row>
    <row r="2042" spans="16:16" x14ac:dyDescent="0.3">
      <c r="P2042" t="s">
        <v>2250</v>
      </c>
    </row>
    <row r="2043" spans="16:16" x14ac:dyDescent="0.3">
      <c r="P2043" t="s">
        <v>2251</v>
      </c>
    </row>
    <row r="2044" spans="16:16" x14ac:dyDescent="0.3">
      <c r="P2044" t="s">
        <v>2252</v>
      </c>
    </row>
    <row r="2045" spans="16:16" x14ac:dyDescent="0.3">
      <c r="P2045" t="s">
        <v>2253</v>
      </c>
    </row>
    <row r="2046" spans="16:16" x14ac:dyDescent="0.3">
      <c r="P2046" t="s">
        <v>2254</v>
      </c>
    </row>
    <row r="2047" spans="16:16" x14ac:dyDescent="0.3">
      <c r="P2047" t="s">
        <v>2255</v>
      </c>
    </row>
    <row r="2048" spans="16:16" x14ac:dyDescent="0.3">
      <c r="P2048" t="s">
        <v>2256</v>
      </c>
    </row>
    <row r="2049" spans="16:16" x14ac:dyDescent="0.3">
      <c r="P2049" t="s">
        <v>2256</v>
      </c>
    </row>
    <row r="2050" spans="16:16" x14ac:dyDescent="0.3">
      <c r="P2050" t="s">
        <v>2255</v>
      </c>
    </row>
    <row r="2051" spans="16:16" x14ac:dyDescent="0.3">
      <c r="P2051" t="s">
        <v>2250</v>
      </c>
    </row>
    <row r="2052" spans="16:16" x14ac:dyDescent="0.3">
      <c r="P2052" t="s">
        <v>2257</v>
      </c>
    </row>
    <row r="2053" spans="16:16" x14ac:dyDescent="0.3">
      <c r="P2053" t="s">
        <v>2252</v>
      </c>
    </row>
    <row r="2054" spans="16:16" x14ac:dyDescent="0.3">
      <c r="P2054" t="s">
        <v>2254</v>
      </c>
    </row>
    <row r="2055" spans="16:16" x14ac:dyDescent="0.3">
      <c r="P2055" t="s">
        <v>2258</v>
      </c>
    </row>
    <row r="2056" spans="16:16" x14ac:dyDescent="0.3">
      <c r="P2056" t="s">
        <v>2257</v>
      </c>
    </row>
    <row r="2057" spans="16:16" x14ac:dyDescent="0.3">
      <c r="P2057" t="s">
        <v>2251</v>
      </c>
    </row>
    <row r="2058" spans="16:16" x14ac:dyDescent="0.3">
      <c r="P2058" t="s">
        <v>2251</v>
      </c>
    </row>
    <row r="2059" spans="16:16" x14ac:dyDescent="0.3">
      <c r="P2059" t="s">
        <v>2255</v>
      </c>
    </row>
    <row r="2060" spans="16:16" x14ac:dyDescent="0.3">
      <c r="P2060" t="s">
        <v>2248</v>
      </c>
    </row>
    <row r="2061" spans="16:16" x14ac:dyDescent="0.3">
      <c r="P2061" t="s">
        <v>2252</v>
      </c>
    </row>
    <row r="2062" spans="16:16" x14ac:dyDescent="0.3">
      <c r="P2062" t="s">
        <v>2253</v>
      </c>
    </row>
    <row r="2063" spans="16:16" x14ac:dyDescent="0.3">
      <c r="P2063" t="s">
        <v>2250</v>
      </c>
    </row>
    <row r="2064" spans="16:16" x14ac:dyDescent="0.3">
      <c r="P2064" t="s">
        <v>2253</v>
      </c>
    </row>
    <row r="2065" spans="16:16" x14ac:dyDescent="0.3">
      <c r="P2065" t="s">
        <v>2254</v>
      </c>
    </row>
    <row r="2066" spans="16:16" x14ac:dyDescent="0.3">
      <c r="P2066" t="s">
        <v>2258</v>
      </c>
    </row>
    <row r="2067" spans="16:16" x14ac:dyDescent="0.3">
      <c r="P2067" t="s">
        <v>2248</v>
      </c>
    </row>
    <row r="2068" spans="16:16" x14ac:dyDescent="0.3">
      <c r="P2068" t="s">
        <v>2259</v>
      </c>
    </row>
    <row r="2069" spans="16:16" x14ac:dyDescent="0.3">
      <c r="P2069" t="s">
        <v>2260</v>
      </c>
    </row>
    <row r="2070" spans="16:16" x14ac:dyDescent="0.3">
      <c r="P2070" t="s">
        <v>2261</v>
      </c>
    </row>
    <row r="2071" spans="16:16" x14ac:dyDescent="0.3">
      <c r="P2071" t="s">
        <v>2262</v>
      </c>
    </row>
    <row r="2072" spans="16:16" x14ac:dyDescent="0.3">
      <c r="P2072" t="s">
        <v>2263</v>
      </c>
    </row>
    <row r="2073" spans="16:16" x14ac:dyDescent="0.3">
      <c r="P2073" t="s">
        <v>2264</v>
      </c>
    </row>
    <row r="2074" spans="16:16" x14ac:dyDescent="0.3">
      <c r="P2074" t="s">
        <v>2265</v>
      </c>
    </row>
    <row r="2075" spans="16:16" x14ac:dyDescent="0.3">
      <c r="P2075" t="s">
        <v>2266</v>
      </c>
    </row>
    <row r="2076" spans="16:16" x14ac:dyDescent="0.3">
      <c r="P2076" t="s">
        <v>2267</v>
      </c>
    </row>
    <row r="2077" spans="16:16" x14ac:dyDescent="0.3">
      <c r="P2077" t="s">
        <v>2268</v>
      </c>
    </row>
    <row r="2078" spans="16:16" x14ac:dyDescent="0.3">
      <c r="P2078" t="s">
        <v>2269</v>
      </c>
    </row>
    <row r="2079" spans="16:16" x14ac:dyDescent="0.3">
      <c r="P2079" t="s">
        <v>2270</v>
      </c>
    </row>
    <row r="2080" spans="16:16" x14ac:dyDescent="0.3">
      <c r="P2080" t="s">
        <v>2271</v>
      </c>
    </row>
    <row r="2081" spans="16:16" x14ac:dyDescent="0.3">
      <c r="P2081" t="s">
        <v>2259</v>
      </c>
    </row>
    <row r="2082" spans="16:16" x14ac:dyDescent="0.3">
      <c r="P2082" t="s">
        <v>2256</v>
      </c>
    </row>
    <row r="2083" spans="16:16" x14ac:dyDescent="0.3">
      <c r="P2083" t="s">
        <v>2272</v>
      </c>
    </row>
    <row r="2084" spans="16:16" x14ac:dyDescent="0.3">
      <c r="P2084" t="s">
        <v>2273</v>
      </c>
    </row>
    <row r="2085" spans="16:16" x14ac:dyDescent="0.3">
      <c r="P2085" t="s">
        <v>2274</v>
      </c>
    </row>
    <row r="2086" spans="16:16" x14ac:dyDescent="0.3">
      <c r="P2086" t="s">
        <v>2275</v>
      </c>
    </row>
    <row r="2087" spans="16:16" x14ac:dyDescent="0.3">
      <c r="P2087" t="s">
        <v>2197</v>
      </c>
    </row>
    <row r="2088" spans="16:16" x14ac:dyDescent="0.3">
      <c r="P2088" t="s">
        <v>2276</v>
      </c>
    </row>
    <row r="2089" spans="16:16" x14ac:dyDescent="0.3">
      <c r="P2089" t="s">
        <v>2277</v>
      </c>
    </row>
    <row r="2090" spans="16:16" x14ac:dyDescent="0.3">
      <c r="P2090" t="s">
        <v>2278</v>
      </c>
    </row>
    <row r="2091" spans="16:16" x14ac:dyDescent="0.3">
      <c r="P2091" t="s">
        <v>2279</v>
      </c>
    </row>
    <row r="2092" spans="16:16" x14ac:dyDescent="0.3">
      <c r="P2092" t="s">
        <v>2280</v>
      </c>
    </row>
    <row r="2093" spans="16:16" x14ac:dyDescent="0.3">
      <c r="P2093" t="s">
        <v>2281</v>
      </c>
    </row>
    <row r="2094" spans="16:16" x14ac:dyDescent="0.3">
      <c r="P2094" t="s">
        <v>2282</v>
      </c>
    </row>
    <row r="2095" spans="16:16" x14ac:dyDescent="0.3">
      <c r="P2095" t="s">
        <v>2283</v>
      </c>
    </row>
    <row r="2096" spans="16:16" x14ac:dyDescent="0.3">
      <c r="P2096" t="s">
        <v>2284</v>
      </c>
    </row>
    <row r="2097" spans="16:16" x14ac:dyDescent="0.3">
      <c r="P2097" t="s">
        <v>2285</v>
      </c>
    </row>
    <row r="2098" spans="16:16" x14ac:dyDescent="0.3">
      <c r="P2098" t="s">
        <v>2286</v>
      </c>
    </row>
    <row r="2099" spans="16:16" x14ac:dyDescent="0.3">
      <c r="P2099" t="s">
        <v>2287</v>
      </c>
    </row>
    <row r="2100" spans="16:16" x14ac:dyDescent="0.3">
      <c r="P2100" t="s">
        <v>2288</v>
      </c>
    </row>
    <row r="2101" spans="16:16" x14ac:dyDescent="0.3">
      <c r="P2101" t="s">
        <v>2286</v>
      </c>
    </row>
    <row r="2102" spans="16:16" x14ac:dyDescent="0.3">
      <c r="P2102" t="s">
        <v>2289</v>
      </c>
    </row>
    <row r="2103" spans="16:16" x14ac:dyDescent="0.3">
      <c r="P2103" t="s">
        <v>2290</v>
      </c>
    </row>
    <row r="2104" spans="16:16" x14ac:dyDescent="0.3">
      <c r="P2104" t="s">
        <v>2291</v>
      </c>
    </row>
    <row r="2105" spans="16:16" x14ac:dyDescent="0.3">
      <c r="P2105" t="s">
        <v>2292</v>
      </c>
    </row>
    <row r="2106" spans="16:16" x14ac:dyDescent="0.3">
      <c r="P2106" t="s">
        <v>2293</v>
      </c>
    </row>
    <row r="2107" spans="16:16" x14ac:dyDescent="0.3">
      <c r="P2107" t="s">
        <v>2276</v>
      </c>
    </row>
    <row r="2108" spans="16:16" x14ac:dyDescent="0.3">
      <c r="P2108" t="s">
        <v>2294</v>
      </c>
    </row>
    <row r="2109" spans="16:16" x14ac:dyDescent="0.3">
      <c r="P2109" t="s">
        <v>2295</v>
      </c>
    </row>
    <row r="2110" spans="16:16" x14ac:dyDescent="0.3">
      <c r="P2110" t="s">
        <v>2274</v>
      </c>
    </row>
    <row r="2111" spans="16:16" x14ac:dyDescent="0.3">
      <c r="P2111" t="s">
        <v>2209</v>
      </c>
    </row>
    <row r="2112" spans="16:16" x14ac:dyDescent="0.3">
      <c r="P2112" t="s">
        <v>2296</v>
      </c>
    </row>
    <row r="2113" spans="16:16" x14ac:dyDescent="0.3">
      <c r="P2113" t="s">
        <v>2197</v>
      </c>
    </row>
    <row r="2114" spans="16:16" x14ac:dyDescent="0.3">
      <c r="P2114" t="s">
        <v>2297</v>
      </c>
    </row>
    <row r="2115" spans="16:16" x14ac:dyDescent="0.3">
      <c r="P2115" t="s">
        <v>2298</v>
      </c>
    </row>
    <row r="2116" spans="16:16" x14ac:dyDescent="0.3">
      <c r="P2116" t="s">
        <v>2299</v>
      </c>
    </row>
    <row r="2117" spans="16:16" x14ac:dyDescent="0.3">
      <c r="P2117" t="s">
        <v>2300</v>
      </c>
    </row>
    <row r="2118" spans="16:16" x14ac:dyDescent="0.3">
      <c r="P2118" t="s">
        <v>2296</v>
      </c>
    </row>
    <row r="2119" spans="16:16" x14ac:dyDescent="0.3">
      <c r="P2119" t="s">
        <v>2301</v>
      </c>
    </row>
    <row r="2120" spans="16:16" x14ac:dyDescent="0.3">
      <c r="P2120" t="s">
        <v>2302</v>
      </c>
    </row>
    <row r="2121" spans="16:16" x14ac:dyDescent="0.3">
      <c r="P2121" t="s">
        <v>2303</v>
      </c>
    </row>
    <row r="2122" spans="16:16" x14ac:dyDescent="0.3">
      <c r="P2122" t="s">
        <v>2304</v>
      </c>
    </row>
    <row r="2123" spans="16:16" x14ac:dyDescent="0.3">
      <c r="P2123" t="s">
        <v>2305</v>
      </c>
    </row>
    <row r="2124" spans="16:16" x14ac:dyDescent="0.3">
      <c r="P2124" t="s">
        <v>2306</v>
      </c>
    </row>
    <row r="2125" spans="16:16" x14ac:dyDescent="0.3">
      <c r="P2125" t="s">
        <v>2307</v>
      </c>
    </row>
    <row r="2126" spans="16:16" x14ac:dyDescent="0.3">
      <c r="P2126" t="s">
        <v>2308</v>
      </c>
    </row>
    <row r="2127" spans="16:16" x14ac:dyDescent="0.3">
      <c r="P2127" t="s">
        <v>2309</v>
      </c>
    </row>
    <row r="2128" spans="16:16" x14ac:dyDescent="0.3">
      <c r="P2128" t="s">
        <v>2310</v>
      </c>
    </row>
    <row r="2129" spans="16:16" x14ac:dyDescent="0.3">
      <c r="P2129" t="s">
        <v>2311</v>
      </c>
    </row>
    <row r="2130" spans="16:16" x14ac:dyDescent="0.3">
      <c r="P2130" t="s">
        <v>2312</v>
      </c>
    </row>
    <row r="2131" spans="16:16" x14ac:dyDescent="0.3">
      <c r="P2131" t="s">
        <v>2313</v>
      </c>
    </row>
    <row r="2132" spans="16:16" x14ac:dyDescent="0.3">
      <c r="P2132" t="s">
        <v>2314</v>
      </c>
    </row>
    <row r="2133" spans="16:16" x14ac:dyDescent="0.3">
      <c r="P2133" t="s">
        <v>2315</v>
      </c>
    </row>
    <row r="2134" spans="16:16" x14ac:dyDescent="0.3">
      <c r="P2134" t="s">
        <v>2316</v>
      </c>
    </row>
    <row r="2135" spans="16:16" x14ac:dyDescent="0.3">
      <c r="P2135" t="s">
        <v>2317</v>
      </c>
    </row>
    <row r="2136" spans="16:16" x14ac:dyDescent="0.3">
      <c r="P2136" t="s">
        <v>2318</v>
      </c>
    </row>
    <row r="2137" spans="16:16" x14ac:dyDescent="0.3">
      <c r="P2137" t="s">
        <v>2319</v>
      </c>
    </row>
    <row r="2138" spans="16:16" x14ac:dyDescent="0.3">
      <c r="P2138" t="s">
        <v>2319</v>
      </c>
    </row>
    <row r="2139" spans="16:16" x14ac:dyDescent="0.3">
      <c r="P2139" t="s">
        <v>2320</v>
      </c>
    </row>
    <row r="2140" spans="16:16" x14ac:dyDescent="0.3">
      <c r="P2140" t="s">
        <v>2321</v>
      </c>
    </row>
    <row r="2141" spans="16:16" x14ac:dyDescent="0.3">
      <c r="P2141" t="s">
        <v>2322</v>
      </c>
    </row>
    <row r="2142" spans="16:16" x14ac:dyDescent="0.3">
      <c r="P2142" t="s">
        <v>2323</v>
      </c>
    </row>
    <row r="2143" spans="16:16" x14ac:dyDescent="0.3">
      <c r="P2143" t="s">
        <v>2324</v>
      </c>
    </row>
    <row r="2144" spans="16:16" x14ac:dyDescent="0.3">
      <c r="P2144" t="s">
        <v>2325</v>
      </c>
    </row>
    <row r="2145" spans="16:16" x14ac:dyDescent="0.3">
      <c r="P2145" t="s">
        <v>2326</v>
      </c>
    </row>
    <row r="2146" spans="16:16" x14ac:dyDescent="0.3">
      <c r="P2146" t="s">
        <v>2210</v>
      </c>
    </row>
    <row r="2147" spans="16:16" x14ac:dyDescent="0.3">
      <c r="P2147" t="s">
        <v>2327</v>
      </c>
    </row>
    <row r="2148" spans="16:16" x14ac:dyDescent="0.3">
      <c r="P2148" t="s">
        <v>2328</v>
      </c>
    </row>
    <row r="2149" spans="16:16" x14ac:dyDescent="0.3">
      <c r="P2149" t="s">
        <v>2329</v>
      </c>
    </row>
    <row r="2150" spans="16:16" x14ac:dyDescent="0.3">
      <c r="P2150" t="s">
        <v>2330</v>
      </c>
    </row>
    <row r="2151" spans="16:16" x14ac:dyDescent="0.3">
      <c r="P2151" t="s">
        <v>2207</v>
      </c>
    </row>
    <row r="2152" spans="16:16" x14ac:dyDescent="0.3">
      <c r="P2152" t="s">
        <v>2331</v>
      </c>
    </row>
    <row r="2153" spans="16:16" x14ac:dyDescent="0.3">
      <c r="P2153" t="s">
        <v>2332</v>
      </c>
    </row>
    <row r="2154" spans="16:16" x14ac:dyDescent="0.3">
      <c r="P2154" t="s">
        <v>2333</v>
      </c>
    </row>
    <row r="2155" spans="16:16" x14ac:dyDescent="0.3">
      <c r="P2155" t="s">
        <v>2334</v>
      </c>
    </row>
    <row r="2156" spans="16:16" x14ac:dyDescent="0.3">
      <c r="P2156" t="s">
        <v>2335</v>
      </c>
    </row>
    <row r="2157" spans="16:16" x14ac:dyDescent="0.3">
      <c r="P2157" t="s">
        <v>2336</v>
      </c>
    </row>
    <row r="2158" spans="16:16" x14ac:dyDescent="0.3">
      <c r="P2158" t="s">
        <v>2337</v>
      </c>
    </row>
    <row r="2159" spans="16:16" x14ac:dyDescent="0.3">
      <c r="P2159" t="s">
        <v>2338</v>
      </c>
    </row>
    <row r="2160" spans="16:16" x14ac:dyDescent="0.3">
      <c r="P2160" t="s">
        <v>2339</v>
      </c>
    </row>
    <row r="2161" spans="16:16" x14ac:dyDescent="0.3">
      <c r="P2161" t="s">
        <v>2340</v>
      </c>
    </row>
    <row r="2162" spans="16:16" x14ac:dyDescent="0.3">
      <c r="P2162" t="s">
        <v>2341</v>
      </c>
    </row>
    <row r="2163" spans="16:16" x14ac:dyDescent="0.3">
      <c r="P2163" t="s">
        <v>2342</v>
      </c>
    </row>
    <row r="2164" spans="16:16" x14ac:dyDescent="0.3">
      <c r="P2164" t="s">
        <v>2343</v>
      </c>
    </row>
    <row r="2165" spans="16:16" x14ac:dyDescent="0.3">
      <c r="P2165" t="s">
        <v>2344</v>
      </c>
    </row>
    <row r="2166" spans="16:16" x14ac:dyDescent="0.3">
      <c r="P2166" t="s">
        <v>2345</v>
      </c>
    </row>
    <row r="2167" spans="16:16" x14ac:dyDescent="0.3">
      <c r="P2167" t="s">
        <v>2346</v>
      </c>
    </row>
    <row r="2168" spans="16:16" x14ac:dyDescent="0.3">
      <c r="P2168" t="s">
        <v>2347</v>
      </c>
    </row>
    <row r="2169" spans="16:16" x14ac:dyDescent="0.3">
      <c r="P2169" t="s">
        <v>2251</v>
      </c>
    </row>
    <row r="2170" spans="16:16" x14ac:dyDescent="0.3">
      <c r="P2170" t="s">
        <v>2253</v>
      </c>
    </row>
    <row r="2171" spans="16:16" x14ac:dyDescent="0.3">
      <c r="P2171" t="s">
        <v>2248</v>
      </c>
    </row>
    <row r="2172" spans="16:16" x14ac:dyDescent="0.3">
      <c r="P2172" t="s">
        <v>2253</v>
      </c>
    </row>
    <row r="2173" spans="16:16" x14ac:dyDescent="0.3">
      <c r="P2173" t="s">
        <v>2250</v>
      </c>
    </row>
    <row r="2174" spans="16:16" x14ac:dyDescent="0.3">
      <c r="P2174" t="s">
        <v>2348</v>
      </c>
    </row>
    <row r="2175" spans="16:16" x14ac:dyDescent="0.3">
      <c r="P2175" t="s">
        <v>2349</v>
      </c>
    </row>
    <row r="2176" spans="16:16" x14ac:dyDescent="0.3">
      <c r="P2176" t="s">
        <v>2350</v>
      </c>
    </row>
    <row r="2177" spans="16:16" x14ac:dyDescent="0.3">
      <c r="P2177" t="s">
        <v>2351</v>
      </c>
    </row>
    <row r="2178" spans="16:16" x14ac:dyDescent="0.3">
      <c r="P2178" t="s">
        <v>2352</v>
      </c>
    </row>
    <row r="2179" spans="16:16" x14ac:dyDescent="0.3">
      <c r="P2179" t="s">
        <v>2353</v>
      </c>
    </row>
    <row r="2180" spans="16:16" x14ac:dyDescent="0.3">
      <c r="P2180" t="s">
        <v>2354</v>
      </c>
    </row>
    <row r="2181" spans="16:16" x14ac:dyDescent="0.3">
      <c r="P2181" t="s">
        <v>2355</v>
      </c>
    </row>
    <row r="2182" spans="16:16" x14ac:dyDescent="0.3">
      <c r="P2182" t="s">
        <v>2356</v>
      </c>
    </row>
    <row r="2183" spans="16:16" x14ac:dyDescent="0.3">
      <c r="P2183" t="s">
        <v>2357</v>
      </c>
    </row>
    <row r="2184" spans="16:16" x14ac:dyDescent="0.3">
      <c r="P2184" t="s">
        <v>2358</v>
      </c>
    </row>
    <row r="2185" spans="16:16" x14ac:dyDescent="0.3">
      <c r="P2185" t="s">
        <v>2359</v>
      </c>
    </row>
    <row r="2186" spans="16:16" x14ac:dyDescent="0.3">
      <c r="P2186" t="s">
        <v>2360</v>
      </c>
    </row>
    <row r="2187" spans="16:16" x14ac:dyDescent="0.3">
      <c r="P2187" t="s">
        <v>2361</v>
      </c>
    </row>
    <row r="2188" spans="16:16" x14ac:dyDescent="0.3">
      <c r="P2188" t="s">
        <v>2362</v>
      </c>
    </row>
    <row r="2189" spans="16:16" x14ac:dyDescent="0.3">
      <c r="P2189" t="s">
        <v>2363</v>
      </c>
    </row>
    <row r="2190" spans="16:16" x14ac:dyDescent="0.3">
      <c r="P2190" t="s">
        <v>2364</v>
      </c>
    </row>
    <row r="2191" spans="16:16" x14ac:dyDescent="0.3">
      <c r="P2191" t="s">
        <v>2365</v>
      </c>
    </row>
    <row r="2192" spans="16:16" x14ac:dyDescent="0.3">
      <c r="P2192" t="s">
        <v>2366</v>
      </c>
    </row>
    <row r="2193" spans="16:16" x14ac:dyDescent="0.3">
      <c r="P2193" t="s">
        <v>2367</v>
      </c>
    </row>
    <row r="2194" spans="16:16" x14ac:dyDescent="0.3">
      <c r="P2194" t="s">
        <v>2368</v>
      </c>
    </row>
    <row r="2195" spans="16:16" x14ac:dyDescent="0.3">
      <c r="P2195" t="s">
        <v>2369</v>
      </c>
    </row>
    <row r="2196" spans="16:16" x14ac:dyDescent="0.3">
      <c r="P2196" t="s">
        <v>2370</v>
      </c>
    </row>
    <row r="2197" spans="16:16" x14ac:dyDescent="0.3">
      <c r="P2197" t="s">
        <v>2371</v>
      </c>
    </row>
    <row r="2198" spans="16:16" x14ac:dyDescent="0.3">
      <c r="P2198" t="s">
        <v>2372</v>
      </c>
    </row>
    <row r="2199" spans="16:16" x14ac:dyDescent="0.3">
      <c r="P2199" t="s">
        <v>2373</v>
      </c>
    </row>
    <row r="2200" spans="16:16" x14ac:dyDescent="0.3">
      <c r="P2200" t="s">
        <v>2374</v>
      </c>
    </row>
    <row r="2201" spans="16:16" x14ac:dyDescent="0.3">
      <c r="P2201" t="s">
        <v>2375</v>
      </c>
    </row>
    <row r="2202" spans="16:16" x14ac:dyDescent="0.3">
      <c r="P2202" t="s">
        <v>2376</v>
      </c>
    </row>
    <row r="2203" spans="16:16" x14ac:dyDescent="0.3">
      <c r="P2203" t="s">
        <v>2375</v>
      </c>
    </row>
    <row r="2204" spans="16:16" x14ac:dyDescent="0.3">
      <c r="P2204" t="s">
        <v>2377</v>
      </c>
    </row>
    <row r="2205" spans="16:16" x14ac:dyDescent="0.3">
      <c r="P2205" t="s">
        <v>2378</v>
      </c>
    </row>
    <row r="2206" spans="16:16" x14ac:dyDescent="0.3">
      <c r="P2206" t="s">
        <v>2379</v>
      </c>
    </row>
    <row r="2207" spans="16:16" x14ac:dyDescent="0.3">
      <c r="P2207" t="s">
        <v>2380</v>
      </c>
    </row>
    <row r="2208" spans="16:16" x14ac:dyDescent="0.3">
      <c r="P2208" t="s">
        <v>2377</v>
      </c>
    </row>
    <row r="2209" spans="16:16" x14ac:dyDescent="0.3">
      <c r="P2209" t="s">
        <v>2375</v>
      </c>
    </row>
    <row r="2210" spans="16:16" x14ac:dyDescent="0.3">
      <c r="P2210" t="s">
        <v>2374</v>
      </c>
    </row>
    <row r="2211" spans="16:16" x14ac:dyDescent="0.3">
      <c r="P2211" t="s">
        <v>2376</v>
      </c>
    </row>
    <row r="2212" spans="16:16" x14ac:dyDescent="0.3">
      <c r="P2212" t="s">
        <v>2373</v>
      </c>
    </row>
    <row r="2213" spans="16:16" x14ac:dyDescent="0.3">
      <c r="P2213" t="s">
        <v>2371</v>
      </c>
    </row>
    <row r="2214" spans="16:16" x14ac:dyDescent="0.3">
      <c r="P2214" t="s">
        <v>2381</v>
      </c>
    </row>
    <row r="2215" spans="16:16" x14ac:dyDescent="0.3">
      <c r="P2215" t="s">
        <v>2382</v>
      </c>
    </row>
    <row r="2216" spans="16:16" x14ac:dyDescent="0.3">
      <c r="P2216" t="s">
        <v>2383</v>
      </c>
    </row>
    <row r="2217" spans="16:16" x14ac:dyDescent="0.3">
      <c r="P2217" t="s">
        <v>2384</v>
      </c>
    </row>
    <row r="2218" spans="16:16" x14ac:dyDescent="0.3">
      <c r="P2218" t="s">
        <v>2385</v>
      </c>
    </row>
    <row r="2219" spans="16:16" x14ac:dyDescent="0.3">
      <c r="P2219" t="s">
        <v>2386</v>
      </c>
    </row>
    <row r="2220" spans="16:16" x14ac:dyDescent="0.3">
      <c r="P2220" t="s">
        <v>2387</v>
      </c>
    </row>
    <row r="2221" spans="16:16" x14ac:dyDescent="0.3">
      <c r="P2221" t="s">
        <v>2388</v>
      </c>
    </row>
    <row r="2222" spans="16:16" x14ac:dyDescent="0.3">
      <c r="P2222" t="s">
        <v>2389</v>
      </c>
    </row>
    <row r="2223" spans="16:16" x14ac:dyDescent="0.3">
      <c r="P2223" t="s">
        <v>2390</v>
      </c>
    </row>
    <row r="2224" spans="16:16" x14ac:dyDescent="0.3">
      <c r="P2224" t="s">
        <v>2391</v>
      </c>
    </row>
    <row r="2225" spans="16:16" x14ac:dyDescent="0.3">
      <c r="P2225" t="s">
        <v>2392</v>
      </c>
    </row>
    <row r="2226" spans="16:16" x14ac:dyDescent="0.3">
      <c r="P2226" t="s">
        <v>2393</v>
      </c>
    </row>
    <row r="2227" spans="16:16" x14ac:dyDescent="0.3">
      <c r="P2227" t="s">
        <v>2394</v>
      </c>
    </row>
    <row r="2228" spans="16:16" x14ac:dyDescent="0.3">
      <c r="P2228" t="s">
        <v>2395</v>
      </c>
    </row>
    <row r="2229" spans="16:16" x14ac:dyDescent="0.3">
      <c r="P2229" t="s">
        <v>2396</v>
      </c>
    </row>
    <row r="2230" spans="16:16" x14ac:dyDescent="0.3">
      <c r="P2230" t="s">
        <v>2397</v>
      </c>
    </row>
    <row r="2231" spans="16:16" x14ac:dyDescent="0.3">
      <c r="P2231" t="s">
        <v>2349</v>
      </c>
    </row>
    <row r="2232" spans="16:16" x14ac:dyDescent="0.3">
      <c r="P2232" t="s">
        <v>2398</v>
      </c>
    </row>
    <row r="2233" spans="16:16" x14ac:dyDescent="0.3">
      <c r="P2233" t="s">
        <v>2399</v>
      </c>
    </row>
    <row r="2234" spans="16:16" x14ac:dyDescent="0.3">
      <c r="P2234" t="s">
        <v>2400</v>
      </c>
    </row>
    <row r="2235" spans="16:16" x14ac:dyDescent="0.3">
      <c r="P2235" t="s">
        <v>2398</v>
      </c>
    </row>
    <row r="2236" spans="16:16" x14ac:dyDescent="0.3">
      <c r="P2236" t="s">
        <v>2399</v>
      </c>
    </row>
    <row r="2237" spans="16:16" x14ac:dyDescent="0.3">
      <c r="P2237" t="s">
        <v>2401</v>
      </c>
    </row>
    <row r="2238" spans="16:16" x14ac:dyDescent="0.3">
      <c r="P2238" t="s">
        <v>2402</v>
      </c>
    </row>
    <row r="2239" spans="16:16" x14ac:dyDescent="0.3">
      <c r="P2239" t="s">
        <v>2383</v>
      </c>
    </row>
    <row r="2240" spans="16:16" x14ac:dyDescent="0.3">
      <c r="P2240" t="s">
        <v>2403</v>
      </c>
    </row>
    <row r="2241" spans="16:16" x14ac:dyDescent="0.3">
      <c r="P2241" t="s">
        <v>2404</v>
      </c>
    </row>
    <row r="2242" spans="16:16" x14ac:dyDescent="0.3">
      <c r="P2242" t="s">
        <v>2405</v>
      </c>
    </row>
    <row r="2243" spans="16:16" x14ac:dyDescent="0.3">
      <c r="P2243" t="s">
        <v>2406</v>
      </c>
    </row>
    <row r="2244" spans="16:16" x14ac:dyDescent="0.3">
      <c r="P2244" t="s">
        <v>2407</v>
      </c>
    </row>
    <row r="2245" spans="16:16" x14ac:dyDescent="0.3">
      <c r="P2245" t="s">
        <v>2408</v>
      </c>
    </row>
    <row r="2246" spans="16:16" x14ac:dyDescent="0.3">
      <c r="P2246" t="s">
        <v>2408</v>
      </c>
    </row>
    <row r="2247" spans="16:16" x14ac:dyDescent="0.3">
      <c r="P2247" t="s">
        <v>2409</v>
      </c>
    </row>
    <row r="2248" spans="16:16" x14ac:dyDescent="0.3">
      <c r="P2248" t="s">
        <v>2410</v>
      </c>
    </row>
    <row r="2249" spans="16:16" x14ac:dyDescent="0.3">
      <c r="P2249" t="s">
        <v>2306</v>
      </c>
    </row>
    <row r="2250" spans="16:16" x14ac:dyDescent="0.3">
      <c r="P2250" t="s">
        <v>2411</v>
      </c>
    </row>
    <row r="2251" spans="16:16" x14ac:dyDescent="0.3">
      <c r="P2251" t="s">
        <v>2412</v>
      </c>
    </row>
    <row r="2252" spans="16:16" x14ac:dyDescent="0.3">
      <c r="P2252" t="s">
        <v>2413</v>
      </c>
    </row>
    <row r="2253" spans="16:16" x14ac:dyDescent="0.3">
      <c r="P2253" t="s">
        <v>2414</v>
      </c>
    </row>
    <row r="2254" spans="16:16" x14ac:dyDescent="0.3">
      <c r="P2254" t="s">
        <v>2332</v>
      </c>
    </row>
    <row r="2255" spans="16:16" x14ac:dyDescent="0.3">
      <c r="P2255" t="s">
        <v>2411</v>
      </c>
    </row>
    <row r="2256" spans="16:16" x14ac:dyDescent="0.3">
      <c r="P2256" t="s">
        <v>2415</v>
      </c>
    </row>
    <row r="2257" spans="16:16" x14ac:dyDescent="0.3">
      <c r="P2257" t="s">
        <v>2412</v>
      </c>
    </row>
    <row r="2258" spans="16:16" x14ac:dyDescent="0.3">
      <c r="P2258" t="s">
        <v>2336</v>
      </c>
    </row>
    <row r="2259" spans="16:16" x14ac:dyDescent="0.3">
      <c r="P2259" t="s">
        <v>2413</v>
      </c>
    </row>
    <row r="2260" spans="16:16" x14ac:dyDescent="0.3">
      <c r="P2260" t="s">
        <v>2415</v>
      </c>
    </row>
    <row r="2261" spans="16:16" x14ac:dyDescent="0.3">
      <c r="P2261" t="s">
        <v>2306</v>
      </c>
    </row>
    <row r="2262" spans="16:16" x14ac:dyDescent="0.3">
      <c r="P2262" t="s">
        <v>2415</v>
      </c>
    </row>
    <row r="2263" spans="16:16" x14ac:dyDescent="0.3">
      <c r="P2263" t="s">
        <v>2260</v>
      </c>
    </row>
    <row r="2264" spans="16:16" x14ac:dyDescent="0.3">
      <c r="P2264" t="s">
        <v>2416</v>
      </c>
    </row>
    <row r="2265" spans="16:16" x14ac:dyDescent="0.3">
      <c r="P2265" t="s">
        <v>2417</v>
      </c>
    </row>
    <row r="2266" spans="16:16" x14ac:dyDescent="0.3">
      <c r="P2266" t="s">
        <v>2418</v>
      </c>
    </row>
    <row r="2267" spans="16:16" x14ac:dyDescent="0.3">
      <c r="P2267" t="s">
        <v>2419</v>
      </c>
    </row>
    <row r="2268" spans="16:16" x14ac:dyDescent="0.3">
      <c r="P2268" t="s">
        <v>2350</v>
      </c>
    </row>
    <row r="2269" spans="16:16" x14ac:dyDescent="0.3">
      <c r="P2269" t="s">
        <v>2420</v>
      </c>
    </row>
    <row r="2270" spans="16:16" x14ac:dyDescent="0.3">
      <c r="P2270" t="s">
        <v>2421</v>
      </c>
    </row>
    <row r="2271" spans="16:16" x14ac:dyDescent="0.3">
      <c r="P2271" t="s">
        <v>2422</v>
      </c>
    </row>
    <row r="2272" spans="16:16" x14ac:dyDescent="0.3">
      <c r="P2272" t="s">
        <v>2423</v>
      </c>
    </row>
    <row r="2273" spans="16:16" x14ac:dyDescent="0.3">
      <c r="P2273" t="s">
        <v>2424</v>
      </c>
    </row>
    <row r="2274" spans="16:16" x14ac:dyDescent="0.3">
      <c r="P2274" t="s">
        <v>2425</v>
      </c>
    </row>
    <row r="2275" spans="16:16" x14ac:dyDescent="0.3">
      <c r="P2275" t="s">
        <v>2426</v>
      </c>
    </row>
    <row r="2276" spans="16:16" x14ac:dyDescent="0.3">
      <c r="P2276" t="s">
        <v>2427</v>
      </c>
    </row>
    <row r="2277" spans="16:16" x14ac:dyDescent="0.3">
      <c r="P2277" t="s">
        <v>2428</v>
      </c>
    </row>
    <row r="2278" spans="16:16" x14ac:dyDescent="0.3">
      <c r="P2278" t="s">
        <v>2429</v>
      </c>
    </row>
    <row r="2279" spans="16:16" x14ac:dyDescent="0.3">
      <c r="P2279" t="s">
        <v>2430</v>
      </c>
    </row>
    <row r="2280" spans="16:16" x14ac:dyDescent="0.3">
      <c r="P2280" t="s">
        <v>2431</v>
      </c>
    </row>
    <row r="2281" spans="16:16" x14ac:dyDescent="0.3">
      <c r="P2281" t="s">
        <v>2432</v>
      </c>
    </row>
    <row r="2282" spans="16:16" x14ac:dyDescent="0.3">
      <c r="P2282" t="s">
        <v>2433</v>
      </c>
    </row>
    <row r="2283" spans="16:16" x14ac:dyDescent="0.3">
      <c r="P2283" t="s">
        <v>2434</v>
      </c>
    </row>
    <row r="2284" spans="16:16" x14ac:dyDescent="0.3">
      <c r="P2284" t="s">
        <v>2435</v>
      </c>
    </row>
    <row r="2285" spans="16:16" x14ac:dyDescent="0.3">
      <c r="P2285" t="s">
        <v>2436</v>
      </c>
    </row>
    <row r="2286" spans="16:16" x14ac:dyDescent="0.3">
      <c r="P2286" t="s">
        <v>2437</v>
      </c>
    </row>
    <row r="2287" spans="16:16" x14ac:dyDescent="0.3">
      <c r="P2287" t="s">
        <v>2438</v>
      </c>
    </row>
    <row r="2288" spans="16:16" x14ac:dyDescent="0.3">
      <c r="P2288" t="s">
        <v>2439</v>
      </c>
    </row>
    <row r="2289" spans="16:16" x14ac:dyDescent="0.3">
      <c r="P2289" t="s">
        <v>2440</v>
      </c>
    </row>
    <row r="2290" spans="16:16" x14ac:dyDescent="0.3">
      <c r="P2290" t="s">
        <v>2387</v>
      </c>
    </row>
    <row r="2291" spans="16:16" x14ac:dyDescent="0.3">
      <c r="P2291" t="s">
        <v>2441</v>
      </c>
    </row>
    <row r="2292" spans="16:16" x14ac:dyDescent="0.3">
      <c r="P2292" t="s">
        <v>2382</v>
      </c>
    </row>
    <row r="2293" spans="16:16" x14ac:dyDescent="0.3">
      <c r="P2293" t="s">
        <v>2403</v>
      </c>
    </row>
    <row r="2294" spans="16:16" x14ac:dyDescent="0.3">
      <c r="P2294" t="s">
        <v>2442</v>
      </c>
    </row>
    <row r="2295" spans="16:16" x14ac:dyDescent="0.3">
      <c r="P2295" t="s">
        <v>2443</v>
      </c>
    </row>
    <row r="2296" spans="16:16" x14ac:dyDescent="0.3">
      <c r="P2296" t="s">
        <v>2444</v>
      </c>
    </row>
    <row r="2297" spans="16:16" x14ac:dyDescent="0.3">
      <c r="P2297" t="s">
        <v>2445</v>
      </c>
    </row>
    <row r="2298" spans="16:16" x14ac:dyDescent="0.3">
      <c r="P2298" t="s">
        <v>2446</v>
      </c>
    </row>
    <row r="2299" spans="16:16" x14ac:dyDescent="0.3">
      <c r="P2299" t="s">
        <v>2447</v>
      </c>
    </row>
    <row r="2300" spans="16:16" x14ac:dyDescent="0.3">
      <c r="P2300" t="s">
        <v>2448</v>
      </c>
    </row>
    <row r="2301" spans="16:16" x14ac:dyDescent="0.3">
      <c r="P2301" t="s">
        <v>2449</v>
      </c>
    </row>
    <row r="2302" spans="16:16" x14ac:dyDescent="0.3">
      <c r="P2302" t="s">
        <v>2450</v>
      </c>
    </row>
    <row r="2303" spans="16:16" x14ac:dyDescent="0.3">
      <c r="P2303" t="s">
        <v>2451</v>
      </c>
    </row>
    <row r="2304" spans="16:16" x14ac:dyDescent="0.3">
      <c r="P2304" t="s">
        <v>2452</v>
      </c>
    </row>
    <row r="2305" spans="16:16" x14ac:dyDescent="0.3">
      <c r="P2305" t="s">
        <v>2445</v>
      </c>
    </row>
    <row r="2306" spans="16:16" x14ac:dyDescent="0.3">
      <c r="P2306" t="s">
        <v>2453</v>
      </c>
    </row>
    <row r="2307" spans="16:16" x14ac:dyDescent="0.3">
      <c r="P2307" t="s">
        <v>2454</v>
      </c>
    </row>
    <row r="2308" spans="16:16" x14ac:dyDescent="0.3">
      <c r="P2308" t="s">
        <v>2455</v>
      </c>
    </row>
    <row r="2309" spans="16:16" x14ac:dyDescent="0.3">
      <c r="P2309" t="s">
        <v>2450</v>
      </c>
    </row>
    <row r="2310" spans="16:16" x14ac:dyDescent="0.3">
      <c r="P2310" t="s">
        <v>2456</v>
      </c>
    </row>
    <row r="2311" spans="16:16" x14ac:dyDescent="0.3">
      <c r="P2311" t="s">
        <v>2457</v>
      </c>
    </row>
    <row r="2312" spans="16:16" x14ac:dyDescent="0.3">
      <c r="P2312" t="s">
        <v>2458</v>
      </c>
    </row>
    <row r="2313" spans="16:16" x14ac:dyDescent="0.3">
      <c r="P2313" t="s">
        <v>2459</v>
      </c>
    </row>
    <row r="2314" spans="16:16" x14ac:dyDescent="0.3">
      <c r="P2314" t="s">
        <v>2460</v>
      </c>
    </row>
    <row r="2315" spans="16:16" x14ac:dyDescent="0.3">
      <c r="P2315" t="s">
        <v>2461</v>
      </c>
    </row>
    <row r="2316" spans="16:16" x14ac:dyDescent="0.3">
      <c r="P2316" t="s">
        <v>2462</v>
      </c>
    </row>
    <row r="2317" spans="16:16" x14ac:dyDescent="0.3">
      <c r="P2317" t="s">
        <v>2463</v>
      </c>
    </row>
    <row r="2318" spans="16:16" x14ac:dyDescent="0.3">
      <c r="P2318" t="s">
        <v>2464</v>
      </c>
    </row>
    <row r="2319" spans="16:16" x14ac:dyDescent="0.3">
      <c r="P2319" t="s">
        <v>2465</v>
      </c>
    </row>
    <row r="2320" spans="16:16" x14ac:dyDescent="0.3">
      <c r="P2320" t="s">
        <v>2385</v>
      </c>
    </row>
    <row r="2321" spans="16:16" x14ac:dyDescent="0.3">
      <c r="P2321" t="s">
        <v>2466</v>
      </c>
    </row>
    <row r="2322" spans="16:16" x14ac:dyDescent="0.3">
      <c r="P2322" t="s">
        <v>2446</v>
      </c>
    </row>
    <row r="2323" spans="16:16" x14ac:dyDescent="0.3">
      <c r="P2323" t="s">
        <v>2467</v>
      </c>
    </row>
    <row r="2324" spans="16:16" x14ac:dyDescent="0.3">
      <c r="P2324" t="s">
        <v>2468</v>
      </c>
    </row>
    <row r="2325" spans="16:16" x14ac:dyDescent="0.3">
      <c r="P2325" t="s">
        <v>2469</v>
      </c>
    </row>
    <row r="2326" spans="16:16" x14ac:dyDescent="0.3">
      <c r="P2326" t="s">
        <v>2470</v>
      </c>
    </row>
    <row r="2327" spans="16:16" x14ac:dyDescent="0.3">
      <c r="P2327" t="s">
        <v>2471</v>
      </c>
    </row>
    <row r="2328" spans="16:16" x14ac:dyDescent="0.3">
      <c r="P2328" t="s">
        <v>2472</v>
      </c>
    </row>
    <row r="2329" spans="16:16" x14ac:dyDescent="0.3">
      <c r="P2329" t="s">
        <v>2473</v>
      </c>
    </row>
    <row r="2330" spans="16:16" x14ac:dyDescent="0.3">
      <c r="P2330" t="s">
        <v>2474</v>
      </c>
    </row>
    <row r="2331" spans="16:16" x14ac:dyDescent="0.3">
      <c r="P2331" t="s">
        <v>2475</v>
      </c>
    </row>
    <row r="2332" spans="16:16" x14ac:dyDescent="0.3">
      <c r="P2332" t="s">
        <v>2476</v>
      </c>
    </row>
    <row r="2333" spans="16:16" x14ac:dyDescent="0.3">
      <c r="P2333" t="s">
        <v>2477</v>
      </c>
    </row>
    <row r="2334" spans="16:16" x14ac:dyDescent="0.3">
      <c r="P2334" t="s">
        <v>2478</v>
      </c>
    </row>
    <row r="2335" spans="16:16" x14ac:dyDescent="0.3">
      <c r="P2335" t="s">
        <v>2479</v>
      </c>
    </row>
    <row r="2336" spans="16:16" x14ac:dyDescent="0.3">
      <c r="P2336" t="s">
        <v>2480</v>
      </c>
    </row>
    <row r="2337" spans="16:16" x14ac:dyDescent="0.3">
      <c r="P2337" t="s">
        <v>2466</v>
      </c>
    </row>
    <row r="2338" spans="16:16" x14ac:dyDescent="0.3">
      <c r="P2338" t="s">
        <v>2481</v>
      </c>
    </row>
    <row r="2339" spans="16:16" x14ac:dyDescent="0.3">
      <c r="P2339" t="s">
        <v>2390</v>
      </c>
    </row>
    <row r="2340" spans="16:16" x14ac:dyDescent="0.3">
      <c r="P2340" t="s">
        <v>2482</v>
      </c>
    </row>
    <row r="2341" spans="16:16" x14ac:dyDescent="0.3">
      <c r="P2341" t="s">
        <v>2483</v>
      </c>
    </row>
    <row r="2342" spans="16:16" x14ac:dyDescent="0.3">
      <c r="P2342" t="s">
        <v>2484</v>
      </c>
    </row>
    <row r="2343" spans="16:16" x14ac:dyDescent="0.3">
      <c r="P2343" t="s">
        <v>2485</v>
      </c>
    </row>
    <row r="2344" spans="16:16" x14ac:dyDescent="0.3">
      <c r="P2344" t="s">
        <v>2486</v>
      </c>
    </row>
    <row r="2345" spans="16:16" x14ac:dyDescent="0.3">
      <c r="P2345" t="s">
        <v>2465</v>
      </c>
    </row>
    <row r="2346" spans="16:16" x14ac:dyDescent="0.3">
      <c r="P2346" t="s">
        <v>2487</v>
      </c>
    </row>
    <row r="2347" spans="16:16" x14ac:dyDescent="0.3">
      <c r="P2347" t="s">
        <v>2488</v>
      </c>
    </row>
    <row r="2348" spans="16:16" x14ac:dyDescent="0.3">
      <c r="P2348" t="s">
        <v>2489</v>
      </c>
    </row>
    <row r="2349" spans="16:16" x14ac:dyDescent="0.3">
      <c r="P2349" t="s">
        <v>2490</v>
      </c>
    </row>
    <row r="2350" spans="16:16" x14ac:dyDescent="0.3">
      <c r="P2350" t="s">
        <v>2480</v>
      </c>
    </row>
    <row r="2351" spans="16:16" x14ac:dyDescent="0.3">
      <c r="P2351" t="s">
        <v>2468</v>
      </c>
    </row>
    <row r="2352" spans="16:16" x14ac:dyDescent="0.3">
      <c r="P2352" t="s">
        <v>2419</v>
      </c>
    </row>
    <row r="2353" spans="16:16" x14ac:dyDescent="0.3">
      <c r="P2353" t="s">
        <v>2365</v>
      </c>
    </row>
    <row r="2354" spans="16:16" x14ac:dyDescent="0.3">
      <c r="P2354" t="s">
        <v>2491</v>
      </c>
    </row>
    <row r="2355" spans="16:16" x14ac:dyDescent="0.3">
      <c r="P2355" t="s">
        <v>2492</v>
      </c>
    </row>
    <row r="2356" spans="16:16" x14ac:dyDescent="0.3">
      <c r="P2356" t="s">
        <v>2493</v>
      </c>
    </row>
    <row r="2357" spans="16:16" x14ac:dyDescent="0.3">
      <c r="P2357" t="s">
        <v>2494</v>
      </c>
    </row>
    <row r="2358" spans="16:16" x14ac:dyDescent="0.3">
      <c r="P2358" t="s">
        <v>2486</v>
      </c>
    </row>
    <row r="2359" spans="16:16" x14ac:dyDescent="0.3">
      <c r="P2359" t="s">
        <v>2495</v>
      </c>
    </row>
    <row r="2360" spans="16:16" x14ac:dyDescent="0.3">
      <c r="P2360" t="s">
        <v>2471</v>
      </c>
    </row>
    <row r="2361" spans="16:16" x14ac:dyDescent="0.3">
      <c r="P2361" t="s">
        <v>2496</v>
      </c>
    </row>
    <row r="2362" spans="16:16" x14ac:dyDescent="0.3">
      <c r="P2362" t="s">
        <v>2497</v>
      </c>
    </row>
    <row r="2363" spans="16:16" x14ac:dyDescent="0.3">
      <c r="P2363" t="s">
        <v>2498</v>
      </c>
    </row>
    <row r="2364" spans="16:16" x14ac:dyDescent="0.3">
      <c r="P2364" t="s">
        <v>2499</v>
      </c>
    </row>
    <row r="2365" spans="16:16" x14ac:dyDescent="0.3">
      <c r="P2365" t="s">
        <v>2500</v>
      </c>
    </row>
    <row r="2366" spans="16:16" x14ac:dyDescent="0.3">
      <c r="P2366" t="s">
        <v>2501</v>
      </c>
    </row>
    <row r="2367" spans="16:16" x14ac:dyDescent="0.3">
      <c r="P2367" t="s">
        <v>2461</v>
      </c>
    </row>
    <row r="2368" spans="16:16" x14ac:dyDescent="0.3">
      <c r="P2368" t="s">
        <v>2502</v>
      </c>
    </row>
    <row r="2369" spans="16:16" x14ac:dyDescent="0.3">
      <c r="P2369" t="s">
        <v>2503</v>
      </c>
    </row>
    <row r="2370" spans="16:16" x14ac:dyDescent="0.3">
      <c r="P2370" t="s">
        <v>2504</v>
      </c>
    </row>
    <row r="2371" spans="16:16" x14ac:dyDescent="0.3">
      <c r="P2371" t="s">
        <v>2505</v>
      </c>
    </row>
    <row r="2372" spans="16:16" x14ac:dyDescent="0.3">
      <c r="P2372" t="s">
        <v>2506</v>
      </c>
    </row>
    <row r="2373" spans="16:16" x14ac:dyDescent="0.3">
      <c r="P2373" t="s">
        <v>2507</v>
      </c>
    </row>
    <row r="2374" spans="16:16" x14ac:dyDescent="0.3">
      <c r="P2374" t="s">
        <v>2508</v>
      </c>
    </row>
    <row r="2375" spans="16:16" x14ac:dyDescent="0.3">
      <c r="P2375" t="s">
        <v>2508</v>
      </c>
    </row>
    <row r="2376" spans="16:16" x14ac:dyDescent="0.3">
      <c r="P2376" t="s">
        <v>2509</v>
      </c>
    </row>
    <row r="2377" spans="16:16" x14ac:dyDescent="0.3">
      <c r="P2377" t="s">
        <v>2508</v>
      </c>
    </row>
    <row r="2378" spans="16:16" x14ac:dyDescent="0.3">
      <c r="P2378" t="s">
        <v>2510</v>
      </c>
    </row>
    <row r="2379" spans="16:16" x14ac:dyDescent="0.3">
      <c r="P2379" t="s">
        <v>2511</v>
      </c>
    </row>
    <row r="2380" spans="16:16" x14ac:dyDescent="0.3">
      <c r="P2380" t="s">
        <v>2512</v>
      </c>
    </row>
    <row r="2381" spans="16:16" x14ac:dyDescent="0.3">
      <c r="P2381" t="s">
        <v>2512</v>
      </c>
    </row>
    <row r="2382" spans="16:16" x14ac:dyDescent="0.3">
      <c r="P2382" t="s">
        <v>2513</v>
      </c>
    </row>
    <row r="2383" spans="16:16" x14ac:dyDescent="0.3">
      <c r="P2383" t="s">
        <v>2514</v>
      </c>
    </row>
    <row r="2384" spans="16:16" x14ac:dyDescent="0.3">
      <c r="P2384" t="s">
        <v>2515</v>
      </c>
    </row>
    <row r="2385" spans="16:16" x14ac:dyDescent="0.3">
      <c r="P2385" t="s">
        <v>2516</v>
      </c>
    </row>
    <row r="2386" spans="16:16" x14ac:dyDescent="0.3">
      <c r="P2386" t="s">
        <v>2517</v>
      </c>
    </row>
    <row r="2387" spans="16:16" x14ac:dyDescent="0.3">
      <c r="P2387" t="s">
        <v>2518</v>
      </c>
    </row>
    <row r="2388" spans="16:16" x14ac:dyDescent="0.3">
      <c r="P2388" t="s">
        <v>2519</v>
      </c>
    </row>
    <row r="2389" spans="16:16" x14ac:dyDescent="0.3">
      <c r="P2389" t="s">
        <v>2520</v>
      </c>
    </row>
    <row r="2390" spans="16:16" x14ac:dyDescent="0.3">
      <c r="P2390" t="s">
        <v>2521</v>
      </c>
    </row>
    <row r="2391" spans="16:16" x14ac:dyDescent="0.3">
      <c r="P2391" t="s">
        <v>2522</v>
      </c>
    </row>
    <row r="2392" spans="16:16" x14ac:dyDescent="0.3">
      <c r="P2392" t="s">
        <v>2523</v>
      </c>
    </row>
    <row r="2393" spans="16:16" x14ac:dyDescent="0.3">
      <c r="P2393" t="s">
        <v>2524</v>
      </c>
    </row>
    <row r="2394" spans="16:16" x14ac:dyDescent="0.3">
      <c r="P2394" t="s">
        <v>2525</v>
      </c>
    </row>
    <row r="2395" spans="16:16" x14ac:dyDescent="0.3">
      <c r="P2395" t="s">
        <v>2526</v>
      </c>
    </row>
    <row r="2396" spans="16:16" x14ac:dyDescent="0.3">
      <c r="P2396" t="s">
        <v>2527</v>
      </c>
    </row>
    <row r="2397" spans="16:16" x14ac:dyDescent="0.3">
      <c r="P2397" t="s">
        <v>2528</v>
      </c>
    </row>
    <row r="2398" spans="16:16" x14ac:dyDescent="0.3">
      <c r="P2398" t="s">
        <v>1047</v>
      </c>
    </row>
    <row r="2399" spans="16:16" x14ac:dyDescent="0.3">
      <c r="P2399" t="s">
        <v>1048</v>
      </c>
    </row>
    <row r="2400" spans="16:16" x14ac:dyDescent="0.3">
      <c r="P2400" t="s">
        <v>2529</v>
      </c>
    </row>
    <row r="2401" spans="16:16" x14ac:dyDescent="0.3">
      <c r="P2401" t="s">
        <v>2530</v>
      </c>
    </row>
    <row r="2402" spans="16:16" x14ac:dyDescent="0.3">
      <c r="P2402" t="s">
        <v>2526</v>
      </c>
    </row>
    <row r="2403" spans="16:16" x14ac:dyDescent="0.3">
      <c r="P2403" t="s">
        <v>2531</v>
      </c>
    </row>
    <row r="2404" spans="16:16" x14ac:dyDescent="0.3">
      <c r="P2404" t="s">
        <v>2532</v>
      </c>
    </row>
    <row r="2405" spans="16:16" x14ac:dyDescent="0.3">
      <c r="P2405" t="s">
        <v>2465</v>
      </c>
    </row>
    <row r="2406" spans="16:16" x14ac:dyDescent="0.3">
      <c r="P2406" t="s">
        <v>2533</v>
      </c>
    </row>
    <row r="2407" spans="16:16" x14ac:dyDescent="0.3">
      <c r="P2407" t="s">
        <v>2534</v>
      </c>
    </row>
    <row r="2408" spans="16:16" x14ac:dyDescent="0.3">
      <c r="P2408" t="s">
        <v>2535</v>
      </c>
    </row>
    <row r="2409" spans="16:16" x14ac:dyDescent="0.3">
      <c r="P2409" t="s">
        <v>2536</v>
      </c>
    </row>
    <row r="2410" spans="16:16" x14ac:dyDescent="0.3">
      <c r="P2410" t="s">
        <v>2537</v>
      </c>
    </row>
    <row r="2411" spans="16:16" x14ac:dyDescent="0.3">
      <c r="P2411" t="s">
        <v>2538</v>
      </c>
    </row>
    <row r="2412" spans="16:16" x14ac:dyDescent="0.3">
      <c r="P2412" t="s">
        <v>2539</v>
      </c>
    </row>
    <row r="2413" spans="16:16" x14ac:dyDescent="0.3">
      <c r="P2413" t="s">
        <v>2540</v>
      </c>
    </row>
    <row r="2414" spans="16:16" x14ac:dyDescent="0.3">
      <c r="P2414" t="s">
        <v>2541</v>
      </c>
    </row>
    <row r="2415" spans="16:16" x14ac:dyDescent="0.3">
      <c r="P2415" t="s">
        <v>2542</v>
      </c>
    </row>
    <row r="2416" spans="16:16" x14ac:dyDescent="0.3">
      <c r="P2416" t="s">
        <v>2543</v>
      </c>
    </row>
    <row r="2417" spans="16:16" x14ac:dyDescent="0.3">
      <c r="P2417" t="s">
        <v>2542</v>
      </c>
    </row>
    <row r="2418" spans="16:16" x14ac:dyDescent="0.3">
      <c r="P2418" t="s">
        <v>2544</v>
      </c>
    </row>
    <row r="2419" spans="16:16" x14ac:dyDescent="0.3">
      <c r="P2419" t="s">
        <v>2545</v>
      </c>
    </row>
    <row r="2420" spans="16:16" x14ac:dyDescent="0.3">
      <c r="P2420" t="s">
        <v>2546</v>
      </c>
    </row>
    <row r="2421" spans="16:16" x14ac:dyDescent="0.3">
      <c r="P2421" t="s">
        <v>2547</v>
      </c>
    </row>
    <row r="2422" spans="16:16" x14ac:dyDescent="0.3">
      <c r="P2422" t="s">
        <v>2548</v>
      </c>
    </row>
    <row r="2423" spans="16:16" x14ac:dyDescent="0.3">
      <c r="P2423" t="s">
        <v>2549</v>
      </c>
    </row>
    <row r="2424" spans="16:16" x14ac:dyDescent="0.3">
      <c r="P2424" t="s">
        <v>2550</v>
      </c>
    </row>
    <row r="2425" spans="16:16" x14ac:dyDescent="0.3">
      <c r="P2425" t="s">
        <v>2551</v>
      </c>
    </row>
    <row r="2426" spans="16:16" x14ac:dyDescent="0.3">
      <c r="P2426" t="s">
        <v>2552</v>
      </c>
    </row>
    <row r="2427" spans="16:16" x14ac:dyDescent="0.3">
      <c r="P2427" t="s">
        <v>2553</v>
      </c>
    </row>
    <row r="2428" spans="16:16" x14ac:dyDescent="0.3">
      <c r="P2428" t="s">
        <v>2554</v>
      </c>
    </row>
    <row r="2429" spans="16:16" x14ac:dyDescent="0.3">
      <c r="P2429" t="s">
        <v>2555</v>
      </c>
    </row>
    <row r="2430" spans="16:16" x14ac:dyDescent="0.3">
      <c r="P2430" t="s">
        <v>2556</v>
      </c>
    </row>
    <row r="2431" spans="16:16" x14ac:dyDescent="0.3">
      <c r="P2431" t="s">
        <v>2557</v>
      </c>
    </row>
    <row r="2432" spans="16:16" x14ac:dyDescent="0.3">
      <c r="P2432" t="s">
        <v>2529</v>
      </c>
    </row>
    <row r="2433" spans="16:16" x14ac:dyDescent="0.3">
      <c r="P2433" t="s">
        <v>2532</v>
      </c>
    </row>
    <row r="2434" spans="16:16" x14ac:dyDescent="0.3">
      <c r="P2434" t="s">
        <v>2558</v>
      </c>
    </row>
    <row r="2435" spans="16:16" x14ac:dyDescent="0.3">
      <c r="P2435" t="s">
        <v>2559</v>
      </c>
    </row>
    <row r="2436" spans="16:16" x14ac:dyDescent="0.3">
      <c r="P2436" t="s">
        <v>2560</v>
      </c>
    </row>
    <row r="2437" spans="16:16" x14ac:dyDescent="0.3">
      <c r="P2437" t="s">
        <v>2561</v>
      </c>
    </row>
    <row r="2438" spans="16:16" x14ac:dyDescent="0.3">
      <c r="P2438" t="s">
        <v>2562</v>
      </c>
    </row>
    <row r="2439" spans="16:16" x14ac:dyDescent="0.3">
      <c r="P2439" t="s">
        <v>2563</v>
      </c>
    </row>
    <row r="2440" spans="16:16" x14ac:dyDescent="0.3">
      <c r="P2440" t="s">
        <v>2564</v>
      </c>
    </row>
    <row r="2441" spans="16:16" x14ac:dyDescent="0.3">
      <c r="P2441" t="s">
        <v>2565</v>
      </c>
    </row>
    <row r="2442" spans="16:16" x14ac:dyDescent="0.3">
      <c r="P2442" t="s">
        <v>2566</v>
      </c>
    </row>
    <row r="2443" spans="16:16" x14ac:dyDescent="0.3">
      <c r="P2443" t="s">
        <v>2567</v>
      </c>
    </row>
    <row r="2444" spans="16:16" x14ac:dyDescent="0.3">
      <c r="P2444" t="s">
        <v>2568</v>
      </c>
    </row>
    <row r="2445" spans="16:16" x14ac:dyDescent="0.3">
      <c r="P2445" t="s">
        <v>2569</v>
      </c>
    </row>
    <row r="2446" spans="16:16" x14ac:dyDescent="0.3">
      <c r="P2446" t="s">
        <v>2570</v>
      </c>
    </row>
    <row r="2447" spans="16:16" x14ac:dyDescent="0.3">
      <c r="P2447" t="s">
        <v>2567</v>
      </c>
    </row>
    <row r="2448" spans="16:16" x14ac:dyDescent="0.3">
      <c r="P2448" t="s">
        <v>2571</v>
      </c>
    </row>
    <row r="2449" spans="16:16" x14ac:dyDescent="0.3">
      <c r="P2449" t="s">
        <v>2572</v>
      </c>
    </row>
    <row r="2450" spans="16:16" x14ac:dyDescent="0.3">
      <c r="P2450" t="s">
        <v>2573</v>
      </c>
    </row>
    <row r="2451" spans="16:16" x14ac:dyDescent="0.3">
      <c r="P2451" t="s">
        <v>2574</v>
      </c>
    </row>
    <row r="2452" spans="16:16" x14ac:dyDescent="0.3">
      <c r="P2452" t="s">
        <v>2575</v>
      </c>
    </row>
    <row r="2453" spans="16:16" x14ac:dyDescent="0.3">
      <c r="P2453" t="s">
        <v>2576</v>
      </c>
    </row>
    <row r="2454" spans="16:16" x14ac:dyDescent="0.3">
      <c r="P2454" t="s">
        <v>2577</v>
      </c>
    </row>
    <row r="2455" spans="16:16" x14ac:dyDescent="0.3">
      <c r="P2455" t="s">
        <v>2578</v>
      </c>
    </row>
    <row r="2456" spans="16:16" x14ac:dyDescent="0.3">
      <c r="P2456" t="s">
        <v>2579</v>
      </c>
    </row>
    <row r="2457" spans="16:16" x14ac:dyDescent="0.3">
      <c r="P2457" t="s">
        <v>2580</v>
      </c>
    </row>
    <row r="2458" spans="16:16" x14ac:dyDescent="0.3">
      <c r="P2458" t="s">
        <v>2581</v>
      </c>
    </row>
    <row r="2459" spans="16:16" x14ac:dyDescent="0.3">
      <c r="P2459" t="s">
        <v>2582</v>
      </c>
    </row>
    <row r="2460" spans="16:16" x14ac:dyDescent="0.3">
      <c r="P2460" t="s">
        <v>2583</v>
      </c>
    </row>
    <row r="2461" spans="16:16" x14ac:dyDescent="0.3">
      <c r="P2461" t="s">
        <v>2584</v>
      </c>
    </row>
    <row r="2462" spans="16:16" x14ac:dyDescent="0.3">
      <c r="P2462" t="s">
        <v>2565</v>
      </c>
    </row>
    <row r="2463" spans="16:16" x14ac:dyDescent="0.3">
      <c r="P2463" t="s">
        <v>2585</v>
      </c>
    </row>
    <row r="2464" spans="16:16" x14ac:dyDescent="0.3">
      <c r="P2464" t="s">
        <v>2585</v>
      </c>
    </row>
    <row r="2465" spans="16:16" x14ac:dyDescent="0.3">
      <c r="P2465" t="s">
        <v>2586</v>
      </c>
    </row>
    <row r="2466" spans="16:16" x14ac:dyDescent="0.3">
      <c r="P2466" t="s">
        <v>2587</v>
      </c>
    </row>
    <row r="2467" spans="16:16" x14ac:dyDescent="0.3">
      <c r="P2467" t="s">
        <v>2588</v>
      </c>
    </row>
    <row r="2468" spans="16:16" x14ac:dyDescent="0.3">
      <c r="P2468" t="s">
        <v>2589</v>
      </c>
    </row>
    <row r="2469" spans="16:16" x14ac:dyDescent="0.3">
      <c r="P2469" t="s">
        <v>2590</v>
      </c>
    </row>
    <row r="2470" spans="16:16" x14ac:dyDescent="0.3">
      <c r="P2470" t="s">
        <v>2591</v>
      </c>
    </row>
    <row r="2471" spans="16:16" x14ac:dyDescent="0.3">
      <c r="P2471" t="s">
        <v>2592</v>
      </c>
    </row>
    <row r="2472" spans="16:16" x14ac:dyDescent="0.3">
      <c r="P2472" t="s">
        <v>2593</v>
      </c>
    </row>
    <row r="2473" spans="16:16" x14ac:dyDescent="0.3">
      <c r="P2473" t="s">
        <v>2594</v>
      </c>
    </row>
    <row r="2474" spans="16:16" x14ac:dyDescent="0.3">
      <c r="P2474" t="s">
        <v>2595</v>
      </c>
    </row>
    <row r="2475" spans="16:16" x14ac:dyDescent="0.3">
      <c r="P2475" t="s">
        <v>2596</v>
      </c>
    </row>
    <row r="2476" spans="16:16" x14ac:dyDescent="0.3">
      <c r="P2476" t="s">
        <v>2597</v>
      </c>
    </row>
    <row r="2477" spans="16:16" x14ac:dyDescent="0.3">
      <c r="P2477" t="s">
        <v>2598</v>
      </c>
    </row>
    <row r="2478" spans="16:16" x14ac:dyDescent="0.3">
      <c r="P2478" t="s">
        <v>2599</v>
      </c>
    </row>
    <row r="2479" spans="16:16" x14ac:dyDescent="0.3">
      <c r="P2479" t="s">
        <v>2600</v>
      </c>
    </row>
    <row r="2480" spans="16:16" x14ac:dyDescent="0.3">
      <c r="P2480" t="s">
        <v>2601</v>
      </c>
    </row>
    <row r="2481" spans="16:16" x14ac:dyDescent="0.3">
      <c r="P2481" t="s">
        <v>2539</v>
      </c>
    </row>
    <row r="2482" spans="16:16" x14ac:dyDescent="0.3">
      <c r="P2482" t="s">
        <v>2602</v>
      </c>
    </row>
    <row r="2483" spans="16:16" x14ac:dyDescent="0.3">
      <c r="P2483" t="s">
        <v>2603</v>
      </c>
    </row>
    <row r="2484" spans="16:16" x14ac:dyDescent="0.3">
      <c r="P2484" t="s">
        <v>2604</v>
      </c>
    </row>
    <row r="2485" spans="16:16" x14ac:dyDescent="0.3">
      <c r="P2485" t="s">
        <v>2605</v>
      </c>
    </row>
    <row r="2486" spans="16:16" x14ac:dyDescent="0.3">
      <c r="P2486" t="s">
        <v>2591</v>
      </c>
    </row>
    <row r="2487" spans="16:16" x14ac:dyDescent="0.3">
      <c r="P2487" t="s">
        <v>2606</v>
      </c>
    </row>
    <row r="2488" spans="16:16" x14ac:dyDescent="0.3">
      <c r="P2488" t="s">
        <v>2607</v>
      </c>
    </row>
    <row r="2489" spans="16:16" x14ac:dyDescent="0.3">
      <c r="P2489" t="s">
        <v>2576</v>
      </c>
    </row>
    <row r="2490" spans="16:16" x14ac:dyDescent="0.3">
      <c r="P2490" t="s">
        <v>2606</v>
      </c>
    </row>
    <row r="2491" spans="16:16" x14ac:dyDescent="0.3">
      <c r="P2491" t="s">
        <v>2608</v>
      </c>
    </row>
    <row r="2492" spans="16:16" x14ac:dyDescent="0.3">
      <c r="P2492" t="s">
        <v>2609</v>
      </c>
    </row>
    <row r="2493" spans="16:16" x14ac:dyDescent="0.3">
      <c r="P2493" t="s">
        <v>2593</v>
      </c>
    </row>
    <row r="2494" spans="16:16" x14ac:dyDescent="0.3">
      <c r="P2494" t="s">
        <v>2610</v>
      </c>
    </row>
    <row r="2495" spans="16:16" x14ac:dyDescent="0.3">
      <c r="P2495" t="s">
        <v>2590</v>
      </c>
    </row>
    <row r="2496" spans="16:16" x14ac:dyDescent="0.3">
      <c r="P2496" t="s">
        <v>2611</v>
      </c>
    </row>
    <row r="2497" spans="16:16" x14ac:dyDescent="0.3">
      <c r="P2497" t="s">
        <v>2612</v>
      </c>
    </row>
    <row r="2498" spans="16:16" x14ac:dyDescent="0.3">
      <c r="P2498" t="s">
        <v>2613</v>
      </c>
    </row>
    <row r="2499" spans="16:16" x14ac:dyDescent="0.3">
      <c r="P2499" t="s">
        <v>2573</v>
      </c>
    </row>
    <row r="2500" spans="16:16" x14ac:dyDescent="0.3">
      <c r="P2500" t="s">
        <v>2614</v>
      </c>
    </row>
    <row r="2501" spans="16:16" x14ac:dyDescent="0.3">
      <c r="P2501" t="s">
        <v>2615</v>
      </c>
    </row>
    <row r="2502" spans="16:16" x14ac:dyDescent="0.3">
      <c r="P2502" t="s">
        <v>2616</v>
      </c>
    </row>
    <row r="2503" spans="16:16" x14ac:dyDescent="0.3">
      <c r="P2503" t="s">
        <v>2617</v>
      </c>
    </row>
    <row r="2504" spans="16:16" x14ac:dyDescent="0.3">
      <c r="P2504" t="s">
        <v>2618</v>
      </c>
    </row>
    <row r="2505" spans="16:16" x14ac:dyDescent="0.3">
      <c r="P2505" t="s">
        <v>2619</v>
      </c>
    </row>
    <row r="2506" spans="16:16" x14ac:dyDescent="0.3">
      <c r="P2506" t="s">
        <v>2620</v>
      </c>
    </row>
    <row r="2507" spans="16:16" x14ac:dyDescent="0.3">
      <c r="P2507" t="s">
        <v>2621</v>
      </c>
    </row>
    <row r="2508" spans="16:16" x14ac:dyDescent="0.3">
      <c r="P2508" t="s">
        <v>2622</v>
      </c>
    </row>
    <row r="2509" spans="16:16" x14ac:dyDescent="0.3">
      <c r="P2509" t="s">
        <v>2623</v>
      </c>
    </row>
    <row r="2510" spans="16:16" x14ac:dyDescent="0.3">
      <c r="P2510" t="s">
        <v>2624</v>
      </c>
    </row>
    <row r="2511" spans="16:16" x14ac:dyDescent="0.3">
      <c r="P2511" t="s">
        <v>2625</v>
      </c>
    </row>
    <row r="2512" spans="16:16" x14ac:dyDescent="0.3">
      <c r="P2512" t="s">
        <v>2626</v>
      </c>
    </row>
    <row r="2513" spans="16:16" x14ac:dyDescent="0.3">
      <c r="P2513" t="s">
        <v>2627</v>
      </c>
    </row>
    <row r="2514" spans="16:16" x14ac:dyDescent="0.3">
      <c r="P2514" t="s">
        <v>2628</v>
      </c>
    </row>
    <row r="2515" spans="16:16" x14ac:dyDescent="0.3">
      <c r="P2515" t="s">
        <v>2629</v>
      </c>
    </row>
    <row r="2516" spans="16:16" x14ac:dyDescent="0.3">
      <c r="P2516" t="s">
        <v>2630</v>
      </c>
    </row>
    <row r="2517" spans="16:16" x14ac:dyDescent="0.3">
      <c r="P2517" t="s">
        <v>2631</v>
      </c>
    </row>
    <row r="2518" spans="16:16" x14ac:dyDescent="0.3">
      <c r="P2518" t="s">
        <v>2632</v>
      </c>
    </row>
    <row r="2519" spans="16:16" x14ac:dyDescent="0.3">
      <c r="P2519" t="s">
        <v>2633</v>
      </c>
    </row>
    <row r="2520" spans="16:16" x14ac:dyDescent="0.3">
      <c r="P2520" t="s">
        <v>2634</v>
      </c>
    </row>
    <row r="2521" spans="16:16" x14ac:dyDescent="0.3">
      <c r="P2521" t="s">
        <v>2599</v>
      </c>
    </row>
    <row r="2522" spans="16:16" x14ac:dyDescent="0.3">
      <c r="P2522" t="s">
        <v>2600</v>
      </c>
    </row>
    <row r="2523" spans="16:16" x14ac:dyDescent="0.3">
      <c r="P2523" t="s">
        <v>2601</v>
      </c>
    </row>
    <row r="2524" spans="16:16" x14ac:dyDescent="0.3">
      <c r="P2524" t="s">
        <v>2606</v>
      </c>
    </row>
    <row r="2525" spans="16:16" x14ac:dyDescent="0.3">
      <c r="P2525" t="s">
        <v>2635</v>
      </c>
    </row>
    <row r="2526" spans="16:16" x14ac:dyDescent="0.3">
      <c r="P2526" t="s">
        <v>2636</v>
      </c>
    </row>
    <row r="2527" spans="16:16" x14ac:dyDescent="0.3">
      <c r="P2527" t="s">
        <v>2637</v>
      </c>
    </row>
    <row r="2528" spans="16:16" x14ac:dyDescent="0.3">
      <c r="P2528" t="s">
        <v>2565</v>
      </c>
    </row>
    <row r="2529" spans="16:16" x14ac:dyDescent="0.3">
      <c r="P2529" t="s">
        <v>2638</v>
      </c>
    </row>
    <row r="2530" spans="16:16" x14ac:dyDescent="0.3">
      <c r="P2530" t="s">
        <v>2582</v>
      </c>
    </row>
    <row r="2531" spans="16:16" x14ac:dyDescent="0.3">
      <c r="P2531" t="s">
        <v>2639</v>
      </c>
    </row>
    <row r="2532" spans="16:16" x14ac:dyDescent="0.3">
      <c r="P2532" t="s">
        <v>2640</v>
      </c>
    </row>
    <row r="2533" spans="16:16" x14ac:dyDescent="0.3">
      <c r="P2533" t="s">
        <v>2641</v>
      </c>
    </row>
    <row r="2534" spans="16:16" x14ac:dyDescent="0.3">
      <c r="P2534" t="s">
        <v>2642</v>
      </c>
    </row>
    <row r="2535" spans="16:16" x14ac:dyDescent="0.3">
      <c r="P2535" t="s">
        <v>2583</v>
      </c>
    </row>
    <row r="2536" spans="16:16" x14ac:dyDescent="0.3">
      <c r="P2536" t="s">
        <v>2643</v>
      </c>
    </row>
    <row r="2537" spans="16:16" x14ac:dyDescent="0.3">
      <c r="P2537" t="s">
        <v>2644</v>
      </c>
    </row>
    <row r="2538" spans="16:16" x14ac:dyDescent="0.3">
      <c r="P2538" t="s">
        <v>2645</v>
      </c>
    </row>
    <row r="2539" spans="16:16" x14ac:dyDescent="0.3">
      <c r="P2539" t="s">
        <v>2646</v>
      </c>
    </row>
    <row r="2540" spans="16:16" x14ac:dyDescent="0.3">
      <c r="P2540" t="s">
        <v>2647</v>
      </c>
    </row>
    <row r="2541" spans="16:16" x14ac:dyDescent="0.3">
      <c r="P2541" t="s">
        <v>2648</v>
      </c>
    </row>
    <row r="2542" spans="16:16" x14ac:dyDescent="0.3">
      <c r="P2542" t="s">
        <v>2649</v>
      </c>
    </row>
    <row r="2543" spans="16:16" x14ac:dyDescent="0.3">
      <c r="P2543" t="s">
        <v>2650</v>
      </c>
    </row>
    <row r="2544" spans="16:16" x14ac:dyDescent="0.3">
      <c r="P2544" t="s">
        <v>2651</v>
      </c>
    </row>
    <row r="2545" spans="16:16" x14ac:dyDescent="0.3">
      <c r="P2545" t="s">
        <v>2652</v>
      </c>
    </row>
    <row r="2546" spans="16:16" x14ac:dyDescent="0.3">
      <c r="P2546" t="s">
        <v>2653</v>
      </c>
    </row>
    <row r="2547" spans="16:16" x14ac:dyDescent="0.3">
      <c r="P2547" t="s">
        <v>2654</v>
      </c>
    </row>
    <row r="2548" spans="16:16" x14ac:dyDescent="0.3">
      <c r="P2548" t="s">
        <v>2655</v>
      </c>
    </row>
    <row r="2549" spans="16:16" x14ac:dyDescent="0.3">
      <c r="P2549" t="s">
        <v>2656</v>
      </c>
    </row>
    <row r="2550" spans="16:16" x14ac:dyDescent="0.3">
      <c r="P2550" t="s">
        <v>2657</v>
      </c>
    </row>
    <row r="2551" spans="16:16" x14ac:dyDescent="0.3">
      <c r="P2551" t="s">
        <v>2658</v>
      </c>
    </row>
    <row r="2552" spans="16:16" x14ac:dyDescent="0.3">
      <c r="P2552" t="s">
        <v>2658</v>
      </c>
    </row>
    <row r="2553" spans="16:16" x14ac:dyDescent="0.3">
      <c r="P2553" t="s">
        <v>2659</v>
      </c>
    </row>
    <row r="2554" spans="16:16" x14ac:dyDescent="0.3">
      <c r="P2554" t="s">
        <v>2660</v>
      </c>
    </row>
    <row r="2555" spans="16:16" x14ac:dyDescent="0.3">
      <c r="P2555" t="s">
        <v>2661</v>
      </c>
    </row>
    <row r="2556" spans="16:16" x14ac:dyDescent="0.3">
      <c r="P2556" t="s">
        <v>2662</v>
      </c>
    </row>
    <row r="2557" spans="16:16" x14ac:dyDescent="0.3">
      <c r="P2557" t="s">
        <v>2663</v>
      </c>
    </row>
    <row r="2558" spans="16:16" x14ac:dyDescent="0.3">
      <c r="P2558" t="s">
        <v>2664</v>
      </c>
    </row>
    <row r="2559" spans="16:16" x14ac:dyDescent="0.3">
      <c r="P2559" t="s">
        <v>2665</v>
      </c>
    </row>
    <row r="2560" spans="16:16" x14ac:dyDescent="0.3">
      <c r="P2560" t="s">
        <v>2666</v>
      </c>
    </row>
    <row r="2561" spans="16:16" x14ac:dyDescent="0.3">
      <c r="P2561" t="s">
        <v>2667</v>
      </c>
    </row>
    <row r="2562" spans="16:16" x14ac:dyDescent="0.3">
      <c r="P2562" t="s">
        <v>2668</v>
      </c>
    </row>
    <row r="2563" spans="16:16" x14ac:dyDescent="0.3">
      <c r="P2563" t="s">
        <v>2123</v>
      </c>
    </row>
    <row r="2564" spans="16:16" x14ac:dyDescent="0.3">
      <c r="P2564" t="s">
        <v>2669</v>
      </c>
    </row>
    <row r="2565" spans="16:16" x14ac:dyDescent="0.3">
      <c r="P2565" t="s">
        <v>2670</v>
      </c>
    </row>
    <row r="2566" spans="16:16" x14ac:dyDescent="0.3">
      <c r="P2566" t="s">
        <v>2649</v>
      </c>
    </row>
    <row r="2567" spans="16:16" x14ac:dyDescent="0.3">
      <c r="P2567" t="s">
        <v>2671</v>
      </c>
    </row>
    <row r="2568" spans="16:16" x14ac:dyDescent="0.3">
      <c r="P2568" t="s">
        <v>2672</v>
      </c>
    </row>
    <row r="2569" spans="16:16" x14ac:dyDescent="0.3">
      <c r="P2569" t="s">
        <v>2673</v>
      </c>
    </row>
    <row r="2570" spans="16:16" x14ac:dyDescent="0.3">
      <c r="P2570" t="s">
        <v>2674</v>
      </c>
    </row>
    <row r="2571" spans="16:16" x14ac:dyDescent="0.3">
      <c r="P2571" t="s">
        <v>2137</v>
      </c>
    </row>
    <row r="2572" spans="16:16" x14ac:dyDescent="0.3">
      <c r="P2572" t="s">
        <v>2675</v>
      </c>
    </row>
    <row r="2573" spans="16:16" x14ac:dyDescent="0.3">
      <c r="P2573" t="s">
        <v>2676</v>
      </c>
    </row>
    <row r="2574" spans="16:16" x14ac:dyDescent="0.3">
      <c r="P2574" t="s">
        <v>2677</v>
      </c>
    </row>
    <row r="2575" spans="16:16" x14ac:dyDescent="0.3">
      <c r="P2575" t="s">
        <v>2678</v>
      </c>
    </row>
    <row r="2576" spans="16:16" x14ac:dyDescent="0.3">
      <c r="P2576" t="s">
        <v>2679</v>
      </c>
    </row>
    <row r="2577" spans="16:16" x14ac:dyDescent="0.3">
      <c r="P2577" t="s">
        <v>2680</v>
      </c>
    </row>
    <row r="2578" spans="16:16" x14ac:dyDescent="0.3">
      <c r="P2578" t="s">
        <v>2681</v>
      </c>
    </row>
    <row r="2579" spans="16:16" x14ac:dyDescent="0.3">
      <c r="P2579" t="s">
        <v>2682</v>
      </c>
    </row>
    <row r="2580" spans="16:16" x14ac:dyDescent="0.3">
      <c r="P2580" t="s">
        <v>2683</v>
      </c>
    </row>
    <row r="2581" spans="16:16" x14ac:dyDescent="0.3">
      <c r="P2581" t="s">
        <v>2684</v>
      </c>
    </row>
    <row r="2582" spans="16:16" x14ac:dyDescent="0.3">
      <c r="P2582" t="s">
        <v>2685</v>
      </c>
    </row>
    <row r="2583" spans="16:16" x14ac:dyDescent="0.3">
      <c r="P2583" t="s">
        <v>2686</v>
      </c>
    </row>
    <row r="2584" spans="16:16" x14ac:dyDescent="0.3">
      <c r="P2584" t="s">
        <v>2687</v>
      </c>
    </row>
    <row r="2585" spans="16:16" x14ac:dyDescent="0.3">
      <c r="P2585" t="s">
        <v>2688</v>
      </c>
    </row>
    <row r="2586" spans="16:16" x14ac:dyDescent="0.3">
      <c r="P2586" t="s">
        <v>2689</v>
      </c>
    </row>
    <row r="2587" spans="16:16" x14ac:dyDescent="0.3">
      <c r="P2587" t="s">
        <v>2690</v>
      </c>
    </row>
    <row r="2588" spans="16:16" x14ac:dyDescent="0.3">
      <c r="P2588" t="s">
        <v>2691</v>
      </c>
    </row>
    <row r="2589" spans="16:16" x14ac:dyDescent="0.3">
      <c r="P2589" t="s">
        <v>2692</v>
      </c>
    </row>
    <row r="2590" spans="16:16" x14ac:dyDescent="0.3">
      <c r="P2590" t="s">
        <v>2693</v>
      </c>
    </row>
    <row r="2591" spans="16:16" x14ac:dyDescent="0.3">
      <c r="P2591" t="s">
        <v>2694</v>
      </c>
    </row>
    <row r="2592" spans="16:16" x14ac:dyDescent="0.3">
      <c r="P2592" t="s">
        <v>2695</v>
      </c>
    </row>
    <row r="2593" spans="16:16" x14ac:dyDescent="0.3">
      <c r="P2593" t="s">
        <v>2696</v>
      </c>
    </row>
    <row r="2594" spans="16:16" x14ac:dyDescent="0.3">
      <c r="P2594" t="s">
        <v>2697</v>
      </c>
    </row>
    <row r="2595" spans="16:16" x14ac:dyDescent="0.3">
      <c r="P2595" t="s">
        <v>2698</v>
      </c>
    </row>
    <row r="2596" spans="16:16" x14ac:dyDescent="0.3">
      <c r="P2596" t="s">
        <v>2699</v>
      </c>
    </row>
    <row r="2597" spans="16:16" x14ac:dyDescent="0.3">
      <c r="P2597" t="s">
        <v>2700</v>
      </c>
    </row>
    <row r="2598" spans="16:16" x14ac:dyDescent="0.3">
      <c r="P2598" t="s">
        <v>2701</v>
      </c>
    </row>
    <row r="2599" spans="16:16" x14ac:dyDescent="0.3">
      <c r="P2599" t="s">
        <v>2702</v>
      </c>
    </row>
    <row r="2600" spans="16:16" x14ac:dyDescent="0.3">
      <c r="P2600" t="s">
        <v>2703</v>
      </c>
    </row>
    <row r="2601" spans="16:16" x14ac:dyDescent="0.3">
      <c r="P2601" t="s">
        <v>2704</v>
      </c>
    </row>
    <row r="2602" spans="16:16" x14ac:dyDescent="0.3">
      <c r="P2602" t="s">
        <v>2705</v>
      </c>
    </row>
    <row r="2603" spans="16:16" x14ac:dyDescent="0.3">
      <c r="P2603" t="s">
        <v>2706</v>
      </c>
    </row>
    <row r="2604" spans="16:16" x14ac:dyDescent="0.3">
      <c r="P2604" t="s">
        <v>2707</v>
      </c>
    </row>
    <row r="2605" spans="16:16" x14ac:dyDescent="0.3">
      <c r="P2605" t="s">
        <v>2708</v>
      </c>
    </row>
    <row r="2606" spans="16:16" x14ac:dyDescent="0.3">
      <c r="P2606" t="s">
        <v>2709</v>
      </c>
    </row>
    <row r="2607" spans="16:16" x14ac:dyDescent="0.3">
      <c r="P2607" t="s">
        <v>2710</v>
      </c>
    </row>
    <row r="2608" spans="16:16" x14ac:dyDescent="0.3">
      <c r="P2608" t="s">
        <v>2711</v>
      </c>
    </row>
    <row r="2609" spans="16:16" x14ac:dyDescent="0.3">
      <c r="P2609" t="s">
        <v>2712</v>
      </c>
    </row>
    <row r="2610" spans="16:16" x14ac:dyDescent="0.3">
      <c r="P2610" t="s">
        <v>2713</v>
      </c>
    </row>
    <row r="2611" spans="16:16" x14ac:dyDescent="0.3">
      <c r="P2611" t="s">
        <v>2714</v>
      </c>
    </row>
    <row r="2612" spans="16:16" x14ac:dyDescent="0.3">
      <c r="P2612" t="s">
        <v>2715</v>
      </c>
    </row>
    <row r="2613" spans="16:16" x14ac:dyDescent="0.3">
      <c r="P2613" t="s">
        <v>2716</v>
      </c>
    </row>
    <row r="2614" spans="16:16" x14ac:dyDescent="0.3">
      <c r="P2614" t="s">
        <v>2717</v>
      </c>
    </row>
    <row r="2615" spans="16:16" x14ac:dyDescent="0.3">
      <c r="P2615" t="s">
        <v>2718</v>
      </c>
    </row>
    <row r="2616" spans="16:16" x14ac:dyDescent="0.3">
      <c r="P2616" t="s">
        <v>2719</v>
      </c>
    </row>
    <row r="2617" spans="16:16" x14ac:dyDescent="0.3">
      <c r="P2617" t="s">
        <v>2720</v>
      </c>
    </row>
    <row r="2618" spans="16:16" x14ac:dyDescent="0.3">
      <c r="P2618" t="s">
        <v>2721</v>
      </c>
    </row>
    <row r="2619" spans="16:16" x14ac:dyDescent="0.3">
      <c r="P2619" t="s">
        <v>2722</v>
      </c>
    </row>
    <row r="2620" spans="16:16" x14ac:dyDescent="0.3">
      <c r="P2620" t="s">
        <v>2723</v>
      </c>
    </row>
    <row r="2621" spans="16:16" x14ac:dyDescent="0.3">
      <c r="P2621" t="s">
        <v>2724</v>
      </c>
    </row>
    <row r="2622" spans="16:16" x14ac:dyDescent="0.3">
      <c r="P2622" t="s">
        <v>2725</v>
      </c>
    </row>
    <row r="2623" spans="16:16" x14ac:dyDescent="0.3">
      <c r="P2623" t="s">
        <v>2726</v>
      </c>
    </row>
    <row r="2624" spans="16:16" x14ac:dyDescent="0.3">
      <c r="P2624" t="s">
        <v>2687</v>
      </c>
    </row>
    <row r="2625" spans="16:16" x14ac:dyDescent="0.3">
      <c r="P2625" t="s">
        <v>2727</v>
      </c>
    </row>
    <row r="2626" spans="16:16" x14ac:dyDescent="0.3">
      <c r="P2626" t="s">
        <v>2728</v>
      </c>
    </row>
    <row r="2627" spans="16:16" x14ac:dyDescent="0.3">
      <c r="P2627" t="s">
        <v>2729</v>
      </c>
    </row>
    <row r="2628" spans="16:16" x14ac:dyDescent="0.3">
      <c r="P2628" t="s">
        <v>2730</v>
      </c>
    </row>
    <row r="2629" spans="16:16" x14ac:dyDescent="0.3">
      <c r="P2629" t="s">
        <v>2731</v>
      </c>
    </row>
    <row r="2630" spans="16:16" x14ac:dyDescent="0.3">
      <c r="P2630" t="s">
        <v>2732</v>
      </c>
    </row>
    <row r="2631" spans="16:16" x14ac:dyDescent="0.3">
      <c r="P2631" t="s">
        <v>2733</v>
      </c>
    </row>
    <row r="2632" spans="16:16" x14ac:dyDescent="0.3">
      <c r="P2632" t="s">
        <v>2734</v>
      </c>
    </row>
    <row r="2633" spans="16:16" x14ac:dyDescent="0.3">
      <c r="P2633" t="s">
        <v>2735</v>
      </c>
    </row>
    <row r="2634" spans="16:16" x14ac:dyDescent="0.3">
      <c r="P2634" t="s">
        <v>2731</v>
      </c>
    </row>
    <row r="2635" spans="16:16" x14ac:dyDescent="0.3">
      <c r="P2635" t="s">
        <v>2736</v>
      </c>
    </row>
    <row r="2636" spans="16:16" x14ac:dyDescent="0.3">
      <c r="P2636" t="s">
        <v>2698</v>
      </c>
    </row>
    <row r="2637" spans="16:16" x14ac:dyDescent="0.3">
      <c r="P2637" t="s">
        <v>2703</v>
      </c>
    </row>
    <row r="2638" spans="16:16" x14ac:dyDescent="0.3">
      <c r="P2638" t="s">
        <v>2737</v>
      </c>
    </row>
    <row r="2639" spans="16:16" x14ac:dyDescent="0.3">
      <c r="P2639" t="s">
        <v>2703</v>
      </c>
    </row>
    <row r="2640" spans="16:16" x14ac:dyDescent="0.3">
      <c r="P2640" t="s">
        <v>2697</v>
      </c>
    </row>
    <row r="2641" spans="16:16" x14ac:dyDescent="0.3">
      <c r="P2641" t="s">
        <v>2698</v>
      </c>
    </row>
    <row r="2642" spans="16:16" x14ac:dyDescent="0.3">
      <c r="P2642" t="s">
        <v>2738</v>
      </c>
    </row>
    <row r="2643" spans="16:16" x14ac:dyDescent="0.3">
      <c r="P2643" t="s">
        <v>2739</v>
      </c>
    </row>
    <row r="2644" spans="16:16" x14ac:dyDescent="0.3">
      <c r="P2644" t="s">
        <v>2740</v>
      </c>
    </row>
    <row r="2645" spans="16:16" x14ac:dyDescent="0.3">
      <c r="P2645" t="s">
        <v>2741</v>
      </c>
    </row>
    <row r="2646" spans="16:16" x14ac:dyDescent="0.3">
      <c r="P2646" t="s">
        <v>2742</v>
      </c>
    </row>
    <row r="2647" spans="16:16" x14ac:dyDescent="0.3">
      <c r="P2647" t="s">
        <v>2743</v>
      </c>
    </row>
    <row r="2648" spans="16:16" x14ac:dyDescent="0.3">
      <c r="P2648" t="s">
        <v>2744</v>
      </c>
    </row>
    <row r="2649" spans="16:16" x14ac:dyDescent="0.3">
      <c r="P2649" t="s">
        <v>2745</v>
      </c>
    </row>
    <row r="2650" spans="16:16" x14ac:dyDescent="0.3">
      <c r="P2650" t="s">
        <v>2743</v>
      </c>
    </row>
    <row r="2651" spans="16:16" x14ac:dyDescent="0.3">
      <c r="P2651" t="s">
        <v>2746</v>
      </c>
    </row>
    <row r="2652" spans="16:16" x14ac:dyDescent="0.3">
      <c r="P2652" t="s">
        <v>2747</v>
      </c>
    </row>
    <row r="2653" spans="16:16" x14ac:dyDescent="0.3">
      <c r="P2653" t="s">
        <v>2748</v>
      </c>
    </row>
    <row r="2654" spans="16:16" x14ac:dyDescent="0.3">
      <c r="P2654" t="s">
        <v>2748</v>
      </c>
    </row>
    <row r="2655" spans="16:16" x14ac:dyDescent="0.3">
      <c r="P2655" t="s">
        <v>2749</v>
      </c>
    </row>
    <row r="2656" spans="16:16" x14ac:dyDescent="0.3">
      <c r="P2656" t="s">
        <v>2750</v>
      </c>
    </row>
    <row r="2657" spans="16:16" x14ac:dyDescent="0.3">
      <c r="P2657" t="s">
        <v>2751</v>
      </c>
    </row>
    <row r="2658" spans="16:16" x14ac:dyDescent="0.3">
      <c r="P2658" t="s">
        <v>2752</v>
      </c>
    </row>
    <row r="2659" spans="16:16" x14ac:dyDescent="0.3">
      <c r="P2659" t="s">
        <v>2753</v>
      </c>
    </row>
    <row r="2660" spans="16:16" x14ac:dyDescent="0.3">
      <c r="P2660" t="s">
        <v>2754</v>
      </c>
    </row>
    <row r="2661" spans="16:16" x14ac:dyDescent="0.3">
      <c r="P2661" t="s">
        <v>2755</v>
      </c>
    </row>
    <row r="2662" spans="16:16" x14ac:dyDescent="0.3">
      <c r="P2662" t="s">
        <v>2709</v>
      </c>
    </row>
    <row r="2663" spans="16:16" x14ac:dyDescent="0.3">
      <c r="P2663" t="s">
        <v>2710</v>
      </c>
    </row>
    <row r="2664" spans="16:16" x14ac:dyDescent="0.3">
      <c r="P2664" t="s">
        <v>2756</v>
      </c>
    </row>
    <row r="2665" spans="16:16" x14ac:dyDescent="0.3">
      <c r="P2665" t="s">
        <v>2757</v>
      </c>
    </row>
    <row r="2666" spans="16:16" x14ac:dyDescent="0.3">
      <c r="P2666" t="s">
        <v>2695</v>
      </c>
    </row>
    <row r="2667" spans="16:16" x14ac:dyDescent="0.3">
      <c r="P2667" t="s">
        <v>2758</v>
      </c>
    </row>
    <row r="2668" spans="16:16" x14ac:dyDescent="0.3">
      <c r="P2668" t="s">
        <v>2759</v>
      </c>
    </row>
    <row r="2669" spans="16:16" x14ac:dyDescent="0.3">
      <c r="P2669" t="s">
        <v>2751</v>
      </c>
    </row>
    <row r="2670" spans="16:16" x14ac:dyDescent="0.3">
      <c r="P2670" t="s">
        <v>2760</v>
      </c>
    </row>
    <row r="2671" spans="16:16" x14ac:dyDescent="0.3">
      <c r="P2671" t="s">
        <v>2748</v>
      </c>
    </row>
    <row r="2672" spans="16:16" x14ac:dyDescent="0.3">
      <c r="P2672" t="s">
        <v>2760</v>
      </c>
    </row>
    <row r="2673" spans="16:16" x14ac:dyDescent="0.3">
      <c r="P2673" t="s">
        <v>2761</v>
      </c>
    </row>
    <row r="2674" spans="16:16" x14ac:dyDescent="0.3">
      <c r="P2674" t="s">
        <v>2762</v>
      </c>
    </row>
    <row r="2675" spans="16:16" x14ac:dyDescent="0.3">
      <c r="P2675" t="s">
        <v>2763</v>
      </c>
    </row>
    <row r="2676" spans="16:16" x14ac:dyDescent="0.3">
      <c r="P2676" t="s">
        <v>2764</v>
      </c>
    </row>
    <row r="2677" spans="16:16" x14ac:dyDescent="0.3">
      <c r="P2677" t="s">
        <v>2765</v>
      </c>
    </row>
    <row r="2678" spans="16:16" x14ac:dyDescent="0.3">
      <c r="P2678" t="s">
        <v>2766</v>
      </c>
    </row>
    <row r="2679" spans="16:16" x14ac:dyDescent="0.3">
      <c r="P2679" t="s">
        <v>2767</v>
      </c>
    </row>
    <row r="2680" spans="16:16" x14ac:dyDescent="0.3">
      <c r="P2680" t="s">
        <v>2768</v>
      </c>
    </row>
    <row r="2681" spans="16:16" x14ac:dyDescent="0.3">
      <c r="P2681" t="s">
        <v>2769</v>
      </c>
    </row>
    <row r="2682" spans="16:16" x14ac:dyDescent="0.3">
      <c r="P2682" t="s">
        <v>2770</v>
      </c>
    </row>
    <row r="2683" spans="16:16" x14ac:dyDescent="0.3">
      <c r="P2683" t="s">
        <v>2771</v>
      </c>
    </row>
    <row r="2684" spans="16:16" x14ac:dyDescent="0.3">
      <c r="P2684" t="s">
        <v>2772</v>
      </c>
    </row>
    <row r="2685" spans="16:16" x14ac:dyDescent="0.3">
      <c r="P2685" t="s">
        <v>2773</v>
      </c>
    </row>
    <row r="2686" spans="16:16" x14ac:dyDescent="0.3">
      <c r="P2686" t="s">
        <v>2774</v>
      </c>
    </row>
    <row r="2687" spans="16:16" x14ac:dyDescent="0.3">
      <c r="P2687" t="s">
        <v>2775</v>
      </c>
    </row>
    <row r="2688" spans="16:16" x14ac:dyDescent="0.3">
      <c r="P2688" t="s">
        <v>2776</v>
      </c>
    </row>
    <row r="2689" spans="16:16" x14ac:dyDescent="0.3">
      <c r="P2689" t="s">
        <v>2777</v>
      </c>
    </row>
    <row r="2690" spans="16:16" x14ac:dyDescent="0.3">
      <c r="P2690" t="s">
        <v>2778</v>
      </c>
    </row>
    <row r="2691" spans="16:16" x14ac:dyDescent="0.3">
      <c r="P2691" t="s">
        <v>2779</v>
      </c>
    </row>
    <row r="2692" spans="16:16" x14ac:dyDescent="0.3">
      <c r="P2692" t="s">
        <v>2780</v>
      </c>
    </row>
    <row r="2693" spans="16:16" x14ac:dyDescent="0.3">
      <c r="P2693" t="s">
        <v>2781</v>
      </c>
    </row>
    <row r="2694" spans="16:16" x14ac:dyDescent="0.3">
      <c r="P2694" t="s">
        <v>2782</v>
      </c>
    </row>
    <row r="2695" spans="16:16" x14ac:dyDescent="0.3">
      <c r="P2695" t="s">
        <v>2783</v>
      </c>
    </row>
    <row r="2696" spans="16:16" x14ac:dyDescent="0.3">
      <c r="P2696" t="s">
        <v>2784</v>
      </c>
    </row>
    <row r="2697" spans="16:16" x14ac:dyDescent="0.3">
      <c r="P2697" t="s">
        <v>2785</v>
      </c>
    </row>
    <row r="2698" spans="16:16" x14ac:dyDescent="0.3">
      <c r="P2698" t="s">
        <v>2786</v>
      </c>
    </row>
    <row r="2699" spans="16:16" x14ac:dyDescent="0.3">
      <c r="P2699" t="s">
        <v>2767</v>
      </c>
    </row>
    <row r="2700" spans="16:16" x14ac:dyDescent="0.3">
      <c r="P2700" t="s">
        <v>2787</v>
      </c>
    </row>
    <row r="2701" spans="16:16" x14ac:dyDescent="0.3">
      <c r="P2701" t="s">
        <v>2788</v>
      </c>
    </row>
    <row r="2702" spans="16:16" x14ac:dyDescent="0.3">
      <c r="P2702" t="s">
        <v>2789</v>
      </c>
    </row>
    <row r="2703" spans="16:16" x14ac:dyDescent="0.3">
      <c r="P2703" t="s">
        <v>2790</v>
      </c>
    </row>
    <row r="2704" spans="16:16" x14ac:dyDescent="0.3">
      <c r="P2704" t="s">
        <v>2791</v>
      </c>
    </row>
    <row r="2705" spans="16:16" x14ac:dyDescent="0.3">
      <c r="P2705" t="s">
        <v>2792</v>
      </c>
    </row>
    <row r="2706" spans="16:16" x14ac:dyDescent="0.3">
      <c r="P2706" t="s">
        <v>2793</v>
      </c>
    </row>
    <row r="2707" spans="16:16" x14ac:dyDescent="0.3">
      <c r="P2707" t="s">
        <v>2794</v>
      </c>
    </row>
    <row r="2708" spans="16:16" x14ac:dyDescent="0.3">
      <c r="P2708" t="s">
        <v>2795</v>
      </c>
    </row>
    <row r="2709" spans="16:16" x14ac:dyDescent="0.3">
      <c r="P2709" t="s">
        <v>2796</v>
      </c>
    </row>
    <row r="2710" spans="16:16" x14ac:dyDescent="0.3">
      <c r="P2710" t="s">
        <v>2797</v>
      </c>
    </row>
    <row r="2711" spans="16:16" x14ac:dyDescent="0.3">
      <c r="P2711" t="s">
        <v>2798</v>
      </c>
    </row>
    <row r="2712" spans="16:16" x14ac:dyDescent="0.3">
      <c r="P2712" t="s">
        <v>2799</v>
      </c>
    </row>
    <row r="2713" spans="16:16" x14ac:dyDescent="0.3">
      <c r="P2713" t="s">
        <v>2800</v>
      </c>
    </row>
    <row r="2714" spans="16:16" x14ac:dyDescent="0.3">
      <c r="P2714" t="s">
        <v>2801</v>
      </c>
    </row>
    <row r="2715" spans="16:16" x14ac:dyDescent="0.3">
      <c r="P2715" t="s">
        <v>2802</v>
      </c>
    </row>
    <row r="2716" spans="16:16" x14ac:dyDescent="0.3">
      <c r="P2716" t="s">
        <v>2803</v>
      </c>
    </row>
    <row r="2717" spans="16:16" x14ac:dyDescent="0.3">
      <c r="P2717" t="s">
        <v>2804</v>
      </c>
    </row>
    <row r="2718" spans="16:16" x14ac:dyDescent="0.3">
      <c r="P2718" t="s">
        <v>2805</v>
      </c>
    </row>
    <row r="2719" spans="16:16" x14ac:dyDescent="0.3">
      <c r="P2719" t="s">
        <v>2806</v>
      </c>
    </row>
    <row r="2720" spans="16:16" x14ac:dyDescent="0.3">
      <c r="P2720" t="s">
        <v>2807</v>
      </c>
    </row>
    <row r="2721" spans="16:16" x14ac:dyDescent="0.3">
      <c r="P2721" t="s">
        <v>2808</v>
      </c>
    </row>
    <row r="2722" spans="16:16" x14ac:dyDescent="0.3">
      <c r="P2722" t="s">
        <v>2809</v>
      </c>
    </row>
    <row r="2723" spans="16:16" x14ac:dyDescent="0.3">
      <c r="P2723" t="s">
        <v>2810</v>
      </c>
    </row>
    <row r="2724" spans="16:16" x14ac:dyDescent="0.3">
      <c r="P2724" t="s">
        <v>2811</v>
      </c>
    </row>
    <row r="2725" spans="16:16" x14ac:dyDescent="0.3">
      <c r="P2725" t="s">
        <v>2812</v>
      </c>
    </row>
    <row r="2726" spans="16:16" x14ac:dyDescent="0.3">
      <c r="P2726" t="s">
        <v>2813</v>
      </c>
    </row>
    <row r="2727" spans="16:16" x14ac:dyDescent="0.3">
      <c r="P2727" t="s">
        <v>2814</v>
      </c>
    </row>
    <row r="2728" spans="16:16" x14ac:dyDescent="0.3">
      <c r="P2728" t="s">
        <v>2815</v>
      </c>
    </row>
    <row r="2729" spans="16:16" x14ac:dyDescent="0.3">
      <c r="P2729" t="s">
        <v>2816</v>
      </c>
    </row>
    <row r="2730" spans="16:16" x14ac:dyDescent="0.3">
      <c r="P2730" t="s">
        <v>2817</v>
      </c>
    </row>
    <row r="2731" spans="16:16" x14ac:dyDescent="0.3">
      <c r="P2731" t="s">
        <v>2818</v>
      </c>
    </row>
    <row r="2732" spans="16:16" x14ac:dyDescent="0.3">
      <c r="P2732" t="s">
        <v>2819</v>
      </c>
    </row>
    <row r="2733" spans="16:16" x14ac:dyDescent="0.3">
      <c r="P2733" t="s">
        <v>2820</v>
      </c>
    </row>
    <row r="2734" spans="16:16" x14ac:dyDescent="0.3">
      <c r="P2734" t="s">
        <v>2821</v>
      </c>
    </row>
    <row r="2735" spans="16:16" x14ac:dyDescent="0.3">
      <c r="P2735" t="s">
        <v>2819</v>
      </c>
    </row>
    <row r="2736" spans="16:16" x14ac:dyDescent="0.3">
      <c r="P2736" t="s">
        <v>2822</v>
      </c>
    </row>
    <row r="2737" spans="16:16" x14ac:dyDescent="0.3">
      <c r="P2737" t="s">
        <v>2823</v>
      </c>
    </row>
    <row r="2738" spans="16:16" x14ac:dyDescent="0.3">
      <c r="P2738" t="s">
        <v>2824</v>
      </c>
    </row>
    <row r="2739" spans="16:16" x14ac:dyDescent="0.3">
      <c r="P2739" t="s">
        <v>2823</v>
      </c>
    </row>
    <row r="2740" spans="16:16" x14ac:dyDescent="0.3">
      <c r="P2740" t="s">
        <v>2825</v>
      </c>
    </row>
    <row r="2741" spans="16:16" x14ac:dyDescent="0.3">
      <c r="P2741" t="s">
        <v>2823</v>
      </c>
    </row>
    <row r="2742" spans="16:16" x14ac:dyDescent="0.3">
      <c r="P2742" t="s">
        <v>2815</v>
      </c>
    </row>
    <row r="2743" spans="16:16" x14ac:dyDescent="0.3">
      <c r="P2743" t="s">
        <v>2826</v>
      </c>
    </row>
    <row r="2744" spans="16:16" x14ac:dyDescent="0.3">
      <c r="P2744" t="s">
        <v>2822</v>
      </c>
    </row>
    <row r="2745" spans="16:16" x14ac:dyDescent="0.3">
      <c r="P2745" t="s">
        <v>2827</v>
      </c>
    </row>
    <row r="2746" spans="16:16" x14ac:dyDescent="0.3">
      <c r="P2746" t="s">
        <v>2825</v>
      </c>
    </row>
    <row r="2747" spans="16:16" x14ac:dyDescent="0.3">
      <c r="P2747" t="s">
        <v>2823</v>
      </c>
    </row>
    <row r="2748" spans="16:16" x14ac:dyDescent="0.3">
      <c r="P2748" t="s">
        <v>2819</v>
      </c>
    </row>
    <row r="2749" spans="16:16" x14ac:dyDescent="0.3">
      <c r="P2749" t="s">
        <v>2828</v>
      </c>
    </row>
    <row r="2750" spans="16:16" x14ac:dyDescent="0.3">
      <c r="P2750" t="s">
        <v>2829</v>
      </c>
    </row>
    <row r="2751" spans="16:16" x14ac:dyDescent="0.3">
      <c r="P2751" t="s">
        <v>2828</v>
      </c>
    </row>
    <row r="2752" spans="16:16" x14ac:dyDescent="0.3">
      <c r="P2752" t="s">
        <v>2826</v>
      </c>
    </row>
    <row r="2753" spans="16:16" x14ac:dyDescent="0.3">
      <c r="P2753" t="s">
        <v>2830</v>
      </c>
    </row>
    <row r="2754" spans="16:16" x14ac:dyDescent="0.3">
      <c r="P2754" t="s">
        <v>2831</v>
      </c>
    </row>
    <row r="2755" spans="16:16" x14ac:dyDescent="0.3">
      <c r="P2755" t="s">
        <v>2832</v>
      </c>
    </row>
    <row r="2756" spans="16:16" x14ac:dyDescent="0.3">
      <c r="P2756" t="s">
        <v>2825</v>
      </c>
    </row>
    <row r="2757" spans="16:16" x14ac:dyDescent="0.3">
      <c r="P2757" t="s">
        <v>2823</v>
      </c>
    </row>
    <row r="2758" spans="16:16" x14ac:dyDescent="0.3">
      <c r="P2758" t="s">
        <v>2826</v>
      </c>
    </row>
    <row r="2759" spans="16:16" x14ac:dyDescent="0.3">
      <c r="P2759" t="s">
        <v>2826</v>
      </c>
    </row>
    <row r="2760" spans="16:16" x14ac:dyDescent="0.3">
      <c r="P2760" t="s">
        <v>2828</v>
      </c>
    </row>
    <row r="2761" spans="16:16" x14ac:dyDescent="0.3">
      <c r="P2761" t="s">
        <v>2833</v>
      </c>
    </row>
    <row r="2762" spans="16:16" x14ac:dyDescent="0.3">
      <c r="P2762" t="s">
        <v>2834</v>
      </c>
    </row>
    <row r="2763" spans="16:16" x14ac:dyDescent="0.3">
      <c r="P2763" t="s">
        <v>2835</v>
      </c>
    </row>
    <row r="2764" spans="16:16" x14ac:dyDescent="0.3">
      <c r="P2764" t="s">
        <v>2735</v>
      </c>
    </row>
    <row r="2765" spans="16:16" x14ac:dyDescent="0.3">
      <c r="P2765" t="s">
        <v>2731</v>
      </c>
    </row>
    <row r="2766" spans="16:16" x14ac:dyDescent="0.3">
      <c r="P2766" t="s">
        <v>2836</v>
      </c>
    </row>
    <row r="2767" spans="16:16" x14ac:dyDescent="0.3">
      <c r="P2767" t="s">
        <v>2837</v>
      </c>
    </row>
    <row r="2768" spans="16:16" x14ac:dyDescent="0.3">
      <c r="P2768" t="s">
        <v>2787</v>
      </c>
    </row>
    <row r="2769" spans="16:16" x14ac:dyDescent="0.3">
      <c r="P2769" t="s">
        <v>2833</v>
      </c>
    </row>
    <row r="2770" spans="16:16" x14ac:dyDescent="0.3">
      <c r="P2770" t="s">
        <v>2838</v>
      </c>
    </row>
    <row r="2771" spans="16:16" x14ac:dyDescent="0.3">
      <c r="P2771" t="s">
        <v>2839</v>
      </c>
    </row>
    <row r="2772" spans="16:16" x14ac:dyDescent="0.3">
      <c r="P2772" t="s">
        <v>2840</v>
      </c>
    </row>
    <row r="2773" spans="16:16" x14ac:dyDescent="0.3">
      <c r="P2773" t="s">
        <v>2841</v>
      </c>
    </row>
    <row r="2774" spans="16:16" x14ac:dyDescent="0.3">
      <c r="P2774" t="s">
        <v>2842</v>
      </c>
    </row>
    <row r="2775" spans="16:16" x14ac:dyDescent="0.3">
      <c r="P2775" t="s">
        <v>2843</v>
      </c>
    </row>
    <row r="2776" spans="16:16" x14ac:dyDescent="0.3">
      <c r="P2776" t="s">
        <v>2844</v>
      </c>
    </row>
    <row r="2777" spans="16:16" x14ac:dyDescent="0.3">
      <c r="P2777" t="s">
        <v>2845</v>
      </c>
    </row>
    <row r="2778" spans="16:16" x14ac:dyDescent="0.3">
      <c r="P2778" t="s">
        <v>2846</v>
      </c>
    </row>
    <row r="2779" spans="16:16" x14ac:dyDescent="0.3">
      <c r="P2779" t="s">
        <v>2834</v>
      </c>
    </row>
    <row r="2780" spans="16:16" x14ac:dyDescent="0.3">
      <c r="P2780" t="s">
        <v>2847</v>
      </c>
    </row>
    <row r="2781" spans="16:16" x14ac:dyDescent="0.3">
      <c r="P2781" t="s">
        <v>2848</v>
      </c>
    </row>
    <row r="2782" spans="16:16" x14ac:dyDescent="0.3">
      <c r="P2782" t="s">
        <v>2849</v>
      </c>
    </row>
    <row r="2783" spans="16:16" x14ac:dyDescent="0.3">
      <c r="P2783" t="s">
        <v>2850</v>
      </c>
    </row>
    <row r="2784" spans="16:16" x14ac:dyDescent="0.3">
      <c r="P2784" t="s">
        <v>2851</v>
      </c>
    </row>
    <row r="2785" spans="16:16" x14ac:dyDescent="0.3">
      <c r="P2785" t="s">
        <v>2852</v>
      </c>
    </row>
    <row r="2786" spans="16:16" x14ac:dyDescent="0.3">
      <c r="P2786" t="s">
        <v>2822</v>
      </c>
    </row>
    <row r="2787" spans="16:16" x14ac:dyDescent="0.3">
      <c r="P2787" t="s">
        <v>2822</v>
      </c>
    </row>
    <row r="2788" spans="16:16" x14ac:dyDescent="0.3">
      <c r="P2788" t="s">
        <v>2827</v>
      </c>
    </row>
    <row r="2789" spans="16:16" x14ac:dyDescent="0.3">
      <c r="P2789" t="s">
        <v>2824</v>
      </c>
    </row>
    <row r="2790" spans="16:16" x14ac:dyDescent="0.3">
      <c r="P2790" t="s">
        <v>2815</v>
      </c>
    </row>
    <row r="2791" spans="16:16" x14ac:dyDescent="0.3">
      <c r="P2791" t="s">
        <v>2823</v>
      </c>
    </row>
    <row r="2792" spans="16:16" x14ac:dyDescent="0.3">
      <c r="P2792" t="s">
        <v>2853</v>
      </c>
    </row>
    <row r="2793" spans="16:16" x14ac:dyDescent="0.3">
      <c r="P2793" t="s">
        <v>2815</v>
      </c>
    </row>
    <row r="2794" spans="16:16" x14ac:dyDescent="0.3">
      <c r="P2794" t="s">
        <v>2854</v>
      </c>
    </row>
    <row r="2795" spans="16:16" x14ac:dyDescent="0.3">
      <c r="P2795" t="s">
        <v>2828</v>
      </c>
    </row>
    <row r="2796" spans="16:16" x14ac:dyDescent="0.3">
      <c r="P2796" t="s">
        <v>2819</v>
      </c>
    </row>
    <row r="2797" spans="16:16" x14ac:dyDescent="0.3">
      <c r="P2797" t="s">
        <v>2855</v>
      </c>
    </row>
    <row r="2798" spans="16:16" x14ac:dyDescent="0.3">
      <c r="P2798" t="s">
        <v>2856</v>
      </c>
    </row>
    <row r="2799" spans="16:16" x14ac:dyDescent="0.3">
      <c r="P2799" t="s">
        <v>2857</v>
      </c>
    </row>
    <row r="2800" spans="16:16" x14ac:dyDescent="0.3">
      <c r="P2800" t="s">
        <v>2858</v>
      </c>
    </row>
    <row r="2801" spans="16:16" x14ac:dyDescent="0.3">
      <c r="P2801" t="s">
        <v>2859</v>
      </c>
    </row>
    <row r="2802" spans="16:16" x14ac:dyDescent="0.3">
      <c r="P2802" t="s">
        <v>2860</v>
      </c>
    </row>
    <row r="2803" spans="16:16" x14ac:dyDescent="0.3">
      <c r="P2803" t="s">
        <v>2861</v>
      </c>
    </row>
    <row r="2804" spans="16:16" x14ac:dyDescent="0.3">
      <c r="P2804" t="s">
        <v>2862</v>
      </c>
    </row>
    <row r="2805" spans="16:16" x14ac:dyDescent="0.3">
      <c r="P2805" t="s">
        <v>2863</v>
      </c>
    </row>
    <row r="2806" spans="16:16" x14ac:dyDescent="0.3">
      <c r="P2806" t="s">
        <v>2864</v>
      </c>
    </row>
    <row r="2807" spans="16:16" x14ac:dyDescent="0.3">
      <c r="P2807" t="s">
        <v>2865</v>
      </c>
    </row>
    <row r="2808" spans="16:16" x14ac:dyDescent="0.3">
      <c r="P2808" t="s">
        <v>2866</v>
      </c>
    </row>
    <row r="2809" spans="16:16" x14ac:dyDescent="0.3">
      <c r="P2809" t="s">
        <v>2821</v>
      </c>
    </row>
    <row r="2810" spans="16:16" x14ac:dyDescent="0.3">
      <c r="P2810" t="s">
        <v>2867</v>
      </c>
    </row>
    <row r="2811" spans="16:16" x14ac:dyDescent="0.3">
      <c r="P2811" t="s">
        <v>2868</v>
      </c>
    </row>
    <row r="2812" spans="16:16" x14ac:dyDescent="0.3">
      <c r="P2812" t="s">
        <v>2869</v>
      </c>
    </row>
    <row r="2813" spans="16:16" x14ac:dyDescent="0.3">
      <c r="P2813" t="s">
        <v>2870</v>
      </c>
    </row>
    <row r="2814" spans="16:16" x14ac:dyDescent="0.3">
      <c r="P2814" t="s">
        <v>2867</v>
      </c>
    </row>
    <row r="2815" spans="16:16" x14ac:dyDescent="0.3">
      <c r="P2815" t="s">
        <v>2821</v>
      </c>
    </row>
    <row r="2816" spans="16:16" x14ac:dyDescent="0.3">
      <c r="P2816" t="s">
        <v>2871</v>
      </c>
    </row>
    <row r="2817" spans="16:16" x14ac:dyDescent="0.3">
      <c r="P2817" t="s">
        <v>2872</v>
      </c>
    </row>
    <row r="2818" spans="16:16" x14ac:dyDescent="0.3">
      <c r="P2818" t="s">
        <v>2873</v>
      </c>
    </row>
    <row r="2819" spans="16:16" x14ac:dyDescent="0.3">
      <c r="P2819" t="s">
        <v>2874</v>
      </c>
    </row>
    <row r="2820" spans="16:16" x14ac:dyDescent="0.3">
      <c r="P2820" t="s">
        <v>2875</v>
      </c>
    </row>
    <row r="2821" spans="16:16" x14ac:dyDescent="0.3">
      <c r="P2821" t="s">
        <v>2876</v>
      </c>
    </row>
    <row r="2822" spans="16:16" x14ac:dyDescent="0.3">
      <c r="P2822" t="s">
        <v>2867</v>
      </c>
    </row>
    <row r="2823" spans="16:16" x14ac:dyDescent="0.3">
      <c r="P2823" t="s">
        <v>2877</v>
      </c>
    </row>
    <row r="2824" spans="16:16" x14ac:dyDescent="0.3">
      <c r="P2824" t="s">
        <v>2878</v>
      </c>
    </row>
    <row r="2825" spans="16:16" x14ac:dyDescent="0.3">
      <c r="P2825" t="s">
        <v>2873</v>
      </c>
    </row>
    <row r="2826" spans="16:16" x14ac:dyDescent="0.3">
      <c r="P2826" t="s">
        <v>2879</v>
      </c>
    </row>
    <row r="2827" spans="16:16" x14ac:dyDescent="0.3">
      <c r="P2827" t="s">
        <v>2880</v>
      </c>
    </row>
    <row r="2828" spans="16:16" x14ac:dyDescent="0.3">
      <c r="P2828" t="s">
        <v>2881</v>
      </c>
    </row>
    <row r="2829" spans="16:16" x14ac:dyDescent="0.3">
      <c r="P2829" t="s">
        <v>2882</v>
      </c>
    </row>
    <row r="2830" spans="16:16" x14ac:dyDescent="0.3">
      <c r="P2830" t="s">
        <v>2883</v>
      </c>
    </row>
    <row r="2831" spans="16:16" x14ac:dyDescent="0.3">
      <c r="P2831" t="s">
        <v>2884</v>
      </c>
    </row>
    <row r="2832" spans="16:16" x14ac:dyDescent="0.3">
      <c r="P2832" t="s">
        <v>2885</v>
      </c>
    </row>
    <row r="2833" spans="16:16" x14ac:dyDescent="0.3">
      <c r="P2833" t="s">
        <v>2886</v>
      </c>
    </row>
    <row r="2834" spans="16:16" x14ac:dyDescent="0.3">
      <c r="P2834" t="s">
        <v>2887</v>
      </c>
    </row>
    <row r="2835" spans="16:16" x14ac:dyDescent="0.3">
      <c r="P2835" t="s">
        <v>2877</v>
      </c>
    </row>
    <row r="2836" spans="16:16" x14ac:dyDescent="0.3">
      <c r="P2836" t="s">
        <v>2888</v>
      </c>
    </row>
    <row r="2837" spans="16:16" x14ac:dyDescent="0.3">
      <c r="P2837" t="s">
        <v>2889</v>
      </c>
    </row>
    <row r="2838" spans="16:16" x14ac:dyDescent="0.3">
      <c r="P2838" t="s">
        <v>2887</v>
      </c>
    </row>
    <row r="2839" spans="16:16" x14ac:dyDescent="0.3">
      <c r="P2839" t="s">
        <v>2888</v>
      </c>
    </row>
    <row r="2840" spans="16:16" x14ac:dyDescent="0.3">
      <c r="P2840" t="s">
        <v>2888</v>
      </c>
    </row>
    <row r="2841" spans="16:16" x14ac:dyDescent="0.3">
      <c r="P2841" t="s">
        <v>2887</v>
      </c>
    </row>
    <row r="2842" spans="16:16" x14ac:dyDescent="0.3">
      <c r="P2842" t="s">
        <v>2890</v>
      </c>
    </row>
    <row r="2843" spans="16:16" x14ac:dyDescent="0.3">
      <c r="P2843" t="s">
        <v>2891</v>
      </c>
    </row>
    <row r="2844" spans="16:16" x14ac:dyDescent="0.3">
      <c r="P2844" t="s">
        <v>2124</v>
      </c>
    </row>
    <row r="2845" spans="16:16" x14ac:dyDescent="0.3">
      <c r="P2845" t="s">
        <v>2124</v>
      </c>
    </row>
    <row r="2846" spans="16:16" x14ac:dyDescent="0.3">
      <c r="P2846" t="s">
        <v>2892</v>
      </c>
    </row>
    <row r="2847" spans="16:16" x14ac:dyDescent="0.3">
      <c r="P2847" t="s">
        <v>2893</v>
      </c>
    </row>
    <row r="2848" spans="16:16" x14ac:dyDescent="0.3">
      <c r="P2848" t="s">
        <v>2894</v>
      </c>
    </row>
    <row r="2849" spans="16:16" x14ac:dyDescent="0.3">
      <c r="P2849" t="s">
        <v>2895</v>
      </c>
    </row>
    <row r="2850" spans="16:16" x14ac:dyDescent="0.3">
      <c r="P2850" t="s">
        <v>2896</v>
      </c>
    </row>
    <row r="2851" spans="16:16" x14ac:dyDescent="0.3">
      <c r="P2851" t="s">
        <v>2897</v>
      </c>
    </row>
    <row r="2852" spans="16:16" x14ac:dyDescent="0.3">
      <c r="P2852" t="s">
        <v>2898</v>
      </c>
    </row>
    <row r="2853" spans="16:16" x14ac:dyDescent="0.3">
      <c r="P2853" t="s">
        <v>2899</v>
      </c>
    </row>
    <row r="2854" spans="16:16" x14ac:dyDescent="0.3">
      <c r="P2854" t="s">
        <v>2900</v>
      </c>
    </row>
    <row r="2855" spans="16:16" x14ac:dyDescent="0.3">
      <c r="P2855" t="s">
        <v>2901</v>
      </c>
    </row>
    <row r="2856" spans="16:16" x14ac:dyDescent="0.3">
      <c r="P2856" t="s">
        <v>2902</v>
      </c>
    </row>
    <row r="2857" spans="16:16" x14ac:dyDescent="0.3">
      <c r="P2857" t="s">
        <v>2903</v>
      </c>
    </row>
    <row r="2858" spans="16:16" x14ac:dyDescent="0.3">
      <c r="P2858" t="s">
        <v>2904</v>
      </c>
    </row>
    <row r="2859" spans="16:16" x14ac:dyDescent="0.3">
      <c r="P2859" t="s">
        <v>2905</v>
      </c>
    </row>
    <row r="2860" spans="16:16" x14ac:dyDescent="0.3">
      <c r="P2860" t="s">
        <v>2906</v>
      </c>
    </row>
    <row r="2861" spans="16:16" x14ac:dyDescent="0.3">
      <c r="P2861" t="s">
        <v>2907</v>
      </c>
    </row>
    <row r="2862" spans="16:16" x14ac:dyDescent="0.3">
      <c r="P2862" t="s">
        <v>2908</v>
      </c>
    </row>
    <row r="2863" spans="16:16" x14ac:dyDescent="0.3">
      <c r="P2863" t="s">
        <v>2909</v>
      </c>
    </row>
    <row r="2864" spans="16:16" x14ac:dyDescent="0.3">
      <c r="P2864" t="s">
        <v>2910</v>
      </c>
    </row>
    <row r="2865" spans="16:16" x14ac:dyDescent="0.3">
      <c r="P2865" t="s">
        <v>2911</v>
      </c>
    </row>
    <row r="2866" spans="16:16" x14ac:dyDescent="0.3">
      <c r="P2866" t="s">
        <v>2912</v>
      </c>
    </row>
    <row r="2867" spans="16:16" x14ac:dyDescent="0.3">
      <c r="P2867" t="s">
        <v>2913</v>
      </c>
    </row>
    <row r="2868" spans="16:16" x14ac:dyDescent="0.3">
      <c r="P2868" t="s">
        <v>2914</v>
      </c>
    </row>
    <row r="2869" spans="16:16" x14ac:dyDescent="0.3">
      <c r="P2869" t="s">
        <v>2915</v>
      </c>
    </row>
    <row r="2870" spans="16:16" x14ac:dyDescent="0.3">
      <c r="P2870" t="s">
        <v>2916</v>
      </c>
    </row>
    <row r="2871" spans="16:16" x14ac:dyDescent="0.3">
      <c r="P2871" t="s">
        <v>2917</v>
      </c>
    </row>
    <row r="2872" spans="16:16" x14ac:dyDescent="0.3">
      <c r="P2872" t="s">
        <v>2918</v>
      </c>
    </row>
    <row r="2873" spans="16:16" x14ac:dyDescent="0.3">
      <c r="P2873" t="s">
        <v>2919</v>
      </c>
    </row>
    <row r="2874" spans="16:16" x14ac:dyDescent="0.3">
      <c r="P2874" t="s">
        <v>2920</v>
      </c>
    </row>
    <row r="2875" spans="16:16" x14ac:dyDescent="0.3">
      <c r="P2875" t="s">
        <v>2914</v>
      </c>
    </row>
    <row r="2876" spans="16:16" x14ac:dyDescent="0.3">
      <c r="P2876" t="s">
        <v>2921</v>
      </c>
    </row>
    <row r="2877" spans="16:16" x14ac:dyDescent="0.3">
      <c r="P2877" t="s">
        <v>2922</v>
      </c>
    </row>
    <row r="2878" spans="16:16" x14ac:dyDescent="0.3">
      <c r="P2878" t="s">
        <v>2923</v>
      </c>
    </row>
    <row r="2879" spans="16:16" x14ac:dyDescent="0.3">
      <c r="P2879" t="s">
        <v>2924</v>
      </c>
    </row>
    <row r="2880" spans="16:16" x14ac:dyDescent="0.3">
      <c r="P2880" t="s">
        <v>2925</v>
      </c>
    </row>
    <row r="2881" spans="16:16" x14ac:dyDescent="0.3">
      <c r="P2881" t="s">
        <v>2926</v>
      </c>
    </row>
    <row r="2882" spans="16:16" x14ac:dyDescent="0.3">
      <c r="P2882" t="s">
        <v>2927</v>
      </c>
    </row>
    <row r="2883" spans="16:16" x14ac:dyDescent="0.3">
      <c r="P2883" t="s">
        <v>2928</v>
      </c>
    </row>
    <row r="2884" spans="16:16" x14ac:dyDescent="0.3">
      <c r="P2884" t="s">
        <v>2926</v>
      </c>
    </row>
    <row r="2885" spans="16:16" x14ac:dyDescent="0.3">
      <c r="P2885" t="s">
        <v>2929</v>
      </c>
    </row>
    <row r="2886" spans="16:16" x14ac:dyDescent="0.3">
      <c r="P2886" t="s">
        <v>2930</v>
      </c>
    </row>
    <row r="2887" spans="16:16" x14ac:dyDescent="0.3">
      <c r="P2887" t="s">
        <v>2931</v>
      </c>
    </row>
    <row r="2888" spans="16:16" x14ac:dyDescent="0.3">
      <c r="P2888" t="s">
        <v>2909</v>
      </c>
    </row>
    <row r="2889" spans="16:16" x14ac:dyDescent="0.3">
      <c r="P2889" t="s">
        <v>2932</v>
      </c>
    </row>
    <row r="2890" spans="16:16" x14ac:dyDescent="0.3">
      <c r="P2890" t="s">
        <v>2933</v>
      </c>
    </row>
    <row r="2891" spans="16:16" x14ac:dyDescent="0.3">
      <c r="P2891" t="s">
        <v>2908</v>
      </c>
    </row>
    <row r="2892" spans="16:16" x14ac:dyDescent="0.3">
      <c r="P2892" t="s">
        <v>2934</v>
      </c>
    </row>
    <row r="2893" spans="16:16" x14ac:dyDescent="0.3">
      <c r="P2893" t="s">
        <v>2935</v>
      </c>
    </row>
    <row r="2894" spans="16:16" x14ac:dyDescent="0.3">
      <c r="P2894" t="s">
        <v>2936</v>
      </c>
    </row>
    <row r="2895" spans="16:16" x14ac:dyDescent="0.3">
      <c r="P2895" t="s">
        <v>2937</v>
      </c>
    </row>
    <row r="2896" spans="16:16" x14ac:dyDescent="0.3">
      <c r="P2896" t="s">
        <v>2938</v>
      </c>
    </row>
    <row r="2897" spans="16:16" x14ac:dyDescent="0.3">
      <c r="P2897" t="s">
        <v>2939</v>
      </c>
    </row>
    <row r="2898" spans="16:16" x14ac:dyDescent="0.3">
      <c r="P2898" t="s">
        <v>2923</v>
      </c>
    </row>
    <row r="2899" spans="16:16" x14ac:dyDescent="0.3">
      <c r="P2899" t="s">
        <v>2940</v>
      </c>
    </row>
    <row r="2900" spans="16:16" x14ac:dyDescent="0.3">
      <c r="P2900" t="s">
        <v>2941</v>
      </c>
    </row>
    <row r="2901" spans="16:16" x14ac:dyDescent="0.3">
      <c r="P2901" t="s">
        <v>2942</v>
      </c>
    </row>
    <row r="2902" spans="16:16" x14ac:dyDescent="0.3">
      <c r="P2902" t="s">
        <v>2943</v>
      </c>
    </row>
    <row r="2903" spans="16:16" x14ac:dyDescent="0.3">
      <c r="P2903" t="s">
        <v>2944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</vt:lpstr>
      <vt:lpstr>Owners.csv</vt:lpstr>
      <vt:lpstr>schoolDistricts.csv</vt:lpstr>
      <vt:lpstr>Regions.csv</vt:lpstr>
      <vt:lpstr>Districts.csv</vt:lpstr>
      <vt:lpstr>ServiceAreas.csv</vt:lpstr>
      <vt:lpstr>CCW.csv</vt:lpstr>
      <vt:lpstr>SchoolBus.csv</vt:lpstr>
      <vt:lpstr>OwnerContacts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2017-01-07T19:55:56Z</dcterms:modified>
</cp:coreProperties>
</file>