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0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7" l="1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A3" i="37" l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G29" i="27" l="1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P21" i="15" l="1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6" i="16"/>
  <c r="H4" i="16"/>
  <c r="H1" i="16"/>
  <c r="H3" i="16"/>
  <c r="H5" i="16"/>
  <c r="H2" i="16"/>
  <c r="H8" i="16"/>
  <c r="P23" i="15" l="1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G10" i="27" l="1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P25" i="15" l="1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G16" i="27" l="1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C2" i="15"/>
  <c r="F13" i="27"/>
  <c r="G13" i="27" s="1"/>
  <c r="F11" i="27"/>
  <c r="G11" i="27" s="1"/>
  <c r="E20" i="34"/>
  <c r="C20" i="35"/>
  <c r="Q9" i="27" l="1"/>
  <c r="G9" i="27"/>
  <c r="D2" i="15"/>
  <c r="P29" i="15"/>
  <c r="O28" i="15"/>
  <c r="G2" i="2"/>
  <c r="F2" i="2" s="1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C3" i="15"/>
  <c r="D3" i="15" s="1"/>
  <c r="Q11" i="27"/>
  <c r="M11" i="27"/>
  <c r="P11" i="27"/>
  <c r="Q31" i="27"/>
  <c r="M31" i="27"/>
  <c r="P31" i="27"/>
  <c r="Q13" i="27"/>
  <c r="M13" i="27"/>
  <c r="P13" i="27"/>
  <c r="E21" i="34"/>
  <c r="C21" i="35"/>
  <c r="P30" i="15" l="1"/>
  <c r="O29" i="15"/>
  <c r="B3" i="15"/>
  <c r="N3" i="15" s="1"/>
  <c r="C4" i="15"/>
  <c r="E22" i="34"/>
  <c r="C22" i="35"/>
  <c r="D4" i="15" l="1"/>
  <c r="P31" i="15"/>
  <c r="O30" i="15"/>
  <c r="B4" i="15"/>
  <c r="N4" i="15" s="1"/>
  <c r="C5" i="15"/>
  <c r="E23" i="34"/>
  <c r="C23" i="35"/>
  <c r="D5" i="15" l="1"/>
  <c r="P32" i="15"/>
  <c r="O31" i="15"/>
  <c r="B5" i="15"/>
  <c r="N5" i="15" s="1"/>
  <c r="C6" i="15"/>
  <c r="C24" i="35"/>
  <c r="E24" i="34"/>
  <c r="D6" i="15" l="1"/>
  <c r="P33" i="15"/>
  <c r="O32" i="15"/>
  <c r="B6" i="15"/>
  <c r="N6" i="15" s="1"/>
  <c r="C7" i="15"/>
  <c r="D7" i="15" s="1"/>
  <c r="E25" i="34"/>
  <c r="C25" i="35"/>
  <c r="P34" i="15" l="1"/>
  <c r="O33" i="15"/>
  <c r="B7" i="15"/>
  <c r="N7" i="15" s="1"/>
  <c r="C8" i="15"/>
  <c r="D8" i="15" s="1"/>
  <c r="E26" i="34"/>
  <c r="C26" i="35"/>
  <c r="O34" i="15" l="1"/>
  <c r="B8" i="15"/>
  <c r="N8" i="15" s="1"/>
  <c r="C9" i="15"/>
  <c r="D9" i="15" s="1"/>
  <c r="E27" i="34"/>
  <c r="C27" i="35"/>
  <c r="B9" i="15" l="1"/>
  <c r="N9" i="15" s="1"/>
  <c r="C10" i="15"/>
  <c r="D10" i="15" s="1"/>
  <c r="C28" i="35"/>
  <c r="E28" i="34"/>
  <c r="B10" i="15" l="1"/>
  <c r="N10" i="15" s="1"/>
  <c r="C11" i="15"/>
  <c r="D11" i="15" s="1"/>
  <c r="E29" i="34"/>
  <c r="C29" i="35"/>
  <c r="B11" i="15" l="1"/>
  <c r="N11" i="15" s="1"/>
  <c r="C12" i="15"/>
  <c r="D12" i="15" s="1"/>
  <c r="E30" i="34"/>
  <c r="C30" i="35"/>
  <c r="G3" i="2" l="1"/>
  <c r="B12" i="15"/>
  <c r="N12" i="15" s="1"/>
  <c r="C13" i="15"/>
  <c r="D13" i="15" s="1"/>
  <c r="E31" i="34"/>
  <c r="C31" i="35"/>
  <c r="B13" i="15" l="1"/>
  <c r="N13" i="15" s="1"/>
  <c r="C14" i="15"/>
  <c r="D14" i="15" s="1"/>
  <c r="E32" i="34"/>
  <c r="C32" i="35"/>
  <c r="B14" i="15" l="1"/>
  <c r="N14" i="15" s="1"/>
  <c r="C15" i="15"/>
  <c r="D15" i="15" s="1"/>
  <c r="E33" i="34"/>
  <c r="C33" i="35"/>
  <c r="B15" i="15" l="1"/>
  <c r="N15" i="15" s="1"/>
  <c r="C16" i="15"/>
  <c r="D16" i="15" s="1"/>
  <c r="E34" i="34"/>
  <c r="C34" i="35"/>
  <c r="B16" i="15" l="1"/>
  <c r="N16" i="15" s="1"/>
  <c r="C17" i="15"/>
  <c r="D17" i="15" s="1"/>
  <c r="E35" i="34"/>
  <c r="C35" i="35"/>
  <c r="B17" i="15" l="1"/>
  <c r="N17" i="15" s="1"/>
  <c r="C18" i="15"/>
  <c r="D18" i="15" s="1"/>
  <c r="C36" i="35"/>
  <c r="E36" i="34"/>
  <c r="B18" i="15" l="1"/>
  <c r="N18" i="15" s="1"/>
  <c r="C19" i="15"/>
  <c r="D19" i="15" s="1"/>
  <c r="C37" i="35"/>
  <c r="E37" i="34"/>
  <c r="B19" i="15" l="1"/>
  <c r="N19" i="15" s="1"/>
  <c r="C20" i="15"/>
  <c r="D20" i="15" s="1"/>
  <c r="E38" i="34"/>
  <c r="C38" i="35"/>
  <c r="B20" i="15" l="1"/>
  <c r="N20" i="15" s="1"/>
  <c r="C21" i="15"/>
  <c r="D21" i="15" s="1"/>
  <c r="E39" i="34"/>
  <c r="C39" i="35"/>
  <c r="B21" i="15" l="1"/>
  <c r="N21" i="15" s="1"/>
  <c r="C22" i="15"/>
  <c r="D22" i="15" s="1"/>
  <c r="C40" i="35"/>
  <c r="E40" i="34"/>
  <c r="B22" i="15" l="1"/>
  <c r="N22" i="15" s="1"/>
  <c r="C23" i="15"/>
  <c r="D23" i="15" s="1"/>
  <c r="B23" i="15" l="1"/>
  <c r="N23" i="15" s="1"/>
  <c r="C24" i="15"/>
  <c r="D24" i="15" s="1"/>
  <c r="B24" i="15" l="1"/>
  <c r="N24" i="15" s="1"/>
  <c r="C25" i="15"/>
  <c r="D25" i="15" s="1"/>
  <c r="B25" i="15" l="1"/>
  <c r="N25" i="15" s="1"/>
  <c r="C26" i="15"/>
  <c r="D26" i="15" s="1"/>
  <c r="B26" i="15" l="1"/>
  <c r="N26" i="15" s="1"/>
  <c r="C27" i="15"/>
  <c r="D27" i="15" s="1"/>
  <c r="B27" i="15" l="1"/>
  <c r="N27" i="15" s="1"/>
  <c r="C28" i="15"/>
  <c r="D28" i="15" s="1"/>
  <c r="B28" i="15" l="1"/>
  <c r="N28" i="15" s="1"/>
  <c r="C29" i="15"/>
  <c r="D29" i="15" s="1"/>
  <c r="B29" i="15" l="1"/>
  <c r="N29" i="15" s="1"/>
  <c r="C30" i="15"/>
  <c r="D30" i="15" s="1"/>
  <c r="B30" i="15" l="1"/>
  <c r="N30" i="15" s="1"/>
  <c r="C31" i="15"/>
  <c r="D31" i="15" s="1"/>
  <c r="B31" i="15" l="1"/>
  <c r="N31" i="15" s="1"/>
  <c r="C32" i="15"/>
  <c r="D32" i="15" s="1"/>
  <c r="B32" i="15" l="1"/>
  <c r="N32" i="15" s="1"/>
  <c r="C33" i="15"/>
  <c r="D33" i="15" s="1"/>
  <c r="B33" i="15" l="1"/>
  <c r="N33" i="15" s="1"/>
  <c r="C34" i="15"/>
  <c r="D34" i="15" s="1"/>
  <c r="B34" i="15" l="1"/>
  <c r="N34" i="15" s="1"/>
  <c r="F3" i="2" l="1"/>
  <c r="G15" i="2" l="1"/>
  <c r="G4" i="2"/>
  <c r="G18" i="2"/>
  <c r="G9" i="2"/>
  <c r="G8" i="2"/>
  <c r="G5" i="2"/>
  <c r="G10" i="2"/>
  <c r="G16" i="2"/>
  <c r="G19" i="2"/>
  <c r="G12" i="2"/>
  <c r="G14" i="2"/>
  <c r="G13" i="2"/>
  <c r="G7" i="2"/>
  <c r="G6" i="2"/>
  <c r="G11" i="2"/>
  <c r="G17" i="2"/>
  <c r="F4" i="2" l="1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<sst xmlns="http://schemas.openxmlformats.org/spreadsheetml/2006/main" count="10476" uniqueCount="6147">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</sst>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5482</v>
      </c>
      <c r="C1" t="s">
        <v>109</v>
      </c>
      <c r="D1" t="s">
        <v>5483</v>
      </c>
      <c r="E1" t="s">
        <v>5501</v>
      </c>
    </row>
    <row r="2" spans="1:5" x14ac:dyDescent="0.3">
      <c r="A2" t="s">
        <v>5466</v>
      </c>
      <c r="B2" t="s">
        <v>5467</v>
      </c>
      <c r="C2" t="s">
        <v>5467</v>
      </c>
      <c r="D2" t="s">
        <v>5468</v>
      </c>
      <c r="E2" s="4">
        <f>IF(ISNUMBER(E1),E1+1,200000)</f>
        <v>200000</v>
      </c>
    </row>
    <row r="3" spans="1:5" x14ac:dyDescent="0.3">
      <c r="A3" t="s">
        <v>5466</v>
      </c>
      <c r="B3" t="s">
        <v>5469</v>
      </c>
      <c r="C3" t="s">
        <v>5470</v>
      </c>
      <c r="D3" t="s">
        <v>5471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5483</v>
      </c>
      <c r="D1" t="s">
        <v>5501</v>
      </c>
    </row>
    <row r="2" spans="1:4" x14ac:dyDescent="0.3">
      <c r="A2" t="s">
        <v>63</v>
      </c>
      <c r="B2" t="s">
        <v>5467</v>
      </c>
      <c r="C2" t="s">
        <v>5472</v>
      </c>
      <c r="D2" s="4">
        <f>IF(ISNUMBER(D1),D1+1,200000)</f>
        <v>200000</v>
      </c>
    </row>
    <row r="3" spans="1:4" x14ac:dyDescent="0.3">
      <c r="A3" t="s">
        <v>63</v>
      </c>
      <c r="B3" t="s">
        <v>5469</v>
      </c>
      <c r="C3" t="s">
        <v>5473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5497</v>
      </c>
      <c r="C1" t="s">
        <v>5498</v>
      </c>
      <c r="D1" t="s">
        <v>6134</v>
      </c>
      <c r="E1" t="s">
        <v>5506</v>
      </c>
      <c r="F1" t="s">
        <v>6135</v>
      </c>
      <c r="G1" t="s">
        <v>6136</v>
      </c>
      <c r="H1" t="s">
        <v>5501</v>
      </c>
    </row>
    <row r="2" spans="1:8" x14ac:dyDescent="0.3">
      <c r="A2" t="s">
        <v>5531</v>
      </c>
      <c r="B2" t="s">
        <v>5467</v>
      </c>
      <c r="C2" t="s">
        <v>5467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5531</v>
      </c>
      <c r="B3" t="s">
        <v>5469</v>
      </c>
      <c r="C3" t="s">
        <v>5467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5531</v>
      </c>
      <c r="B4" t="s">
        <v>5469</v>
      </c>
      <c r="C4" t="s">
        <v>5469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5483</v>
      </c>
      <c r="D1" t="s">
        <v>5501</v>
      </c>
    </row>
    <row r="2" spans="1:4" x14ac:dyDescent="0.3">
      <c r="A2" t="s">
        <v>5474</v>
      </c>
      <c r="B2" t="s">
        <v>6</v>
      </c>
      <c r="C2" t="s">
        <v>5475</v>
      </c>
      <c r="D2" s="4">
        <f>IF(ISNUMBER(D1),D1+1,200000)</f>
        <v>200000</v>
      </c>
    </row>
    <row r="3" spans="1:4" x14ac:dyDescent="0.3">
      <c r="A3" t="s">
        <v>5474</v>
      </c>
      <c r="B3" t="s">
        <v>5476</v>
      </c>
      <c r="C3" t="s">
        <v>5477</v>
      </c>
      <c r="D3" s="4">
        <f>IF(ISNUMBER(D2),D2+1,101)</f>
        <v>200001</v>
      </c>
    </row>
    <row r="4" spans="1:4" x14ac:dyDescent="0.3">
      <c r="A4" t="s">
        <v>5474</v>
      </c>
      <c r="B4" t="s">
        <v>5478</v>
      </c>
      <c r="C4" t="s">
        <v>5479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5489</v>
      </c>
      <c r="C1" s="4" t="s">
        <v>5491</v>
      </c>
      <c r="D1" s="4" t="s">
        <v>5490</v>
      </c>
      <c r="E1" s="4" t="s">
        <v>5488</v>
      </c>
      <c r="F1" s="4" t="s">
        <v>5487</v>
      </c>
      <c r="G1" s="4" t="s">
        <v>5486</v>
      </c>
      <c r="H1" s="4" t="s">
        <v>5501</v>
      </c>
    </row>
    <row r="2" spans="1:8" x14ac:dyDescent="0.3">
      <c r="A2" s="4" t="s">
        <v>5485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5484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5484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5484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5484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5484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5484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5484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5484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5484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5484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5484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5484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5484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5484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5484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5484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5484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5484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5484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5484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5484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5484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5484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5484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5484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5484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5484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5484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5484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5484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5484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5484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5484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5484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5484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5484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5484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5484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5499</v>
      </c>
      <c r="C1" t="s">
        <v>5480</v>
      </c>
      <c r="D1" t="s">
        <v>5481</v>
      </c>
      <c r="E1" t="s">
        <v>6140</v>
      </c>
      <c r="F1" t="s">
        <v>5485</v>
      </c>
      <c r="G1" t="s">
        <v>6141</v>
      </c>
      <c r="H1" t="s">
        <v>5506</v>
      </c>
      <c r="I1" t="s">
        <v>5501</v>
      </c>
    </row>
    <row r="2" spans="1:9" x14ac:dyDescent="0.3">
      <c r="A2" t="str">
        <f>IF(LEN(users.csv!A2) &gt; 1, "userRole","-")</f>
        <v>userRole</v>
      </c>
      <c r="B2" t="s">
        <v>5469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5469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5467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5467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5467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5467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5467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5467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5467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5467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5467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5467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5467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5467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5467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5467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5467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5467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5467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5467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5467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5467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5467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5467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5467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5467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5467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5467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5467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5467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5467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5467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5467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5467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5467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5467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5467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5467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5467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5467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5467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5467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5500</v>
      </c>
      <c r="C1" t="s">
        <v>6137</v>
      </c>
      <c r="D1" t="s">
        <v>5485</v>
      </c>
      <c r="E1" t="s">
        <v>6138</v>
      </c>
      <c r="F1" t="s">
        <v>6139</v>
      </c>
      <c r="G1" t="s">
        <v>5501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5476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5476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5476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5476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5476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5476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5476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5476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5476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5476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5501</v>
      </c>
    </row>
    <row r="2" spans="1:4" x14ac:dyDescent="0.3">
      <c r="A2" t="s">
        <v>101</v>
      </c>
      <c r="B2" t="s">
        <v>5420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5421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5422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5423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5424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5425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5426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5427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5428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5429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5430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5431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5432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5433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5434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5435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5436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5437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5438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5439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5440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5441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5442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5443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5444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5445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5446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5447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5448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5449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5450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5451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5452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5453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5454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5455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5456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5457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5458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5459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5460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5461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5462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5463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5464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5465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5501</v>
      </c>
    </row>
    <row r="2" spans="1:6" x14ac:dyDescent="0.3">
      <c r="A2" t="s">
        <v>102</v>
      </c>
      <c r="B2">
        <v>1</v>
      </c>
      <c r="C2" t="s">
        <v>3046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3047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3048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3044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3045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5501</v>
      </c>
    </row>
    <row r="2" spans="1:8" x14ac:dyDescent="0.3">
      <c r="A2" t="s">
        <v>106</v>
      </c>
      <c r="B2" t="s">
        <v>3046</v>
      </c>
      <c r="C2" t="str">
        <f>"rg:{ 'id': '"&amp;VLOOKUP(B2,Regions.csv!C:F,4,FALSE)&amp;"'}"</f>
        <v>rg:{ 'id': '200000'}</v>
      </c>
      <c r="D2">
        <v>1</v>
      </c>
      <c r="E2" t="s">
        <v>3023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3046</v>
      </c>
      <c r="C3" t="str">
        <f>"rg:{ 'id': '"&amp;VLOOKUP(B3,Regions.csv!C:F,4,FALSE)&amp;"'}"</f>
        <v>rg:{ 'id': '200000'}</v>
      </c>
      <c r="D3">
        <v>2</v>
      </c>
      <c r="E3" t="s">
        <v>3049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3047</v>
      </c>
      <c r="C4" t="str">
        <f>"rg:{ 'id': '"&amp;VLOOKUP(B4,Regions.csv!C:F,4,FALSE)&amp;"'}"</f>
        <v>rg:{ 'id': '200001'}</v>
      </c>
      <c r="D4">
        <v>3</v>
      </c>
      <c r="E4" t="s">
        <v>3050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3047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3047</v>
      </c>
      <c r="C6" t="str">
        <f>"rg:{ 'id': '"&amp;VLOOKUP(B6,Regions.csv!C:F,4,FALSE)&amp;"'}"</f>
        <v>rg:{ 'id': '200001'}</v>
      </c>
      <c r="D6">
        <v>5</v>
      </c>
      <c r="E6" t="s">
        <v>3051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3047</v>
      </c>
      <c r="C7" t="str">
        <f>"rg:{ 'id': '"&amp;VLOOKUP(B7,Regions.csv!C:F,4,FALSE)&amp;"'}"</f>
        <v>rg:{ 'id': '200001'}</v>
      </c>
      <c r="D7">
        <v>6</v>
      </c>
      <c r="E7" t="s">
        <v>3052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3047</v>
      </c>
      <c r="C8" t="str">
        <f>"rg:{ 'id': '"&amp;VLOOKUP(B8,Regions.csv!C:F,4,FALSE)&amp;"'}"</f>
        <v>rg:{ 'id': '200001'}</v>
      </c>
      <c r="D8">
        <v>7</v>
      </c>
      <c r="E8" t="s">
        <v>3053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3048</v>
      </c>
      <c r="C9" t="str">
        <f>"rg:{ 'id': '"&amp;VLOOKUP(B9,Regions.csv!C:F,4,FALSE)&amp;"'}"</f>
        <v>rg:{ 'id': '200002'}</v>
      </c>
      <c r="D9">
        <v>8</v>
      </c>
      <c r="E9" t="s">
        <v>3054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3048</v>
      </c>
      <c r="C10" t="str">
        <f>"rg:{ 'id': '"&amp;VLOOKUP(B10,Regions.csv!C:F,4,FALSE)&amp;"'}"</f>
        <v>rg:{ 'id': '200002'}</v>
      </c>
      <c r="D10">
        <v>9</v>
      </c>
      <c r="E10" t="s">
        <v>3034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3048</v>
      </c>
      <c r="C11" t="str">
        <f>"rg:{ 'id': '"&amp;VLOOKUP(B11,Regions.csv!C:F,4,FALSE)&amp;"'}"</f>
        <v>rg:{ 'id': '200002'}</v>
      </c>
      <c r="D11">
        <v>10</v>
      </c>
      <c r="E11" t="s">
        <v>3055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3048</v>
      </c>
      <c r="C12" t="str">
        <f>"rg:{ 'id': '"&amp;VLOOKUP(B12,Regions.csv!C:F,4,FALSE)&amp;"'}"</f>
        <v>rg:{ 'id': '200002'}</v>
      </c>
      <c r="D12">
        <v>11</v>
      </c>
      <c r="E12" t="s">
        <v>3041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3044</v>
      </c>
      <c r="C13" t="str">
        <f>"rg:{ 'id': '"&amp;VLOOKUP(B13,Regions.csv!C:F,4,FALSE)&amp;"'}"</f>
        <v>rg:{ 'id': '200003'}</v>
      </c>
      <c r="D13">
        <v>99</v>
      </c>
      <c r="E13" t="s">
        <v>3044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3045</v>
      </c>
      <c r="C14" t="str">
        <f>"rg:{ 'id': '"&amp;VLOOKUP(B14,Regions.csv!C:F,4,FALSE)&amp;"'}"</f>
        <v>rg:{ 'id': '200004'}</v>
      </c>
      <c r="D14">
        <v>999</v>
      </c>
      <c r="E14" t="s">
        <v>3045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5504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5501</v>
      </c>
    </row>
    <row r="2" spans="1:8" x14ac:dyDescent="0.3">
      <c r="A2" t="s">
        <v>110</v>
      </c>
      <c r="B2" t="s">
        <v>3049</v>
      </c>
      <c r="C2" t="str">
        <f>"rg:{ 'id': '"&amp;VLOOKUP(B2,Districts.csv!E:H,4,FALSE)&amp;"'}"</f>
        <v>rg:{ 'id': '200001'}</v>
      </c>
      <c r="D2">
        <v>1</v>
      </c>
      <c r="E2" t="s">
        <v>3018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3049</v>
      </c>
      <c r="C3" t="str">
        <f>"rg:{ 'id': '"&amp;VLOOKUP(B3,Districts.csv!E:H,4,FALSE)&amp;"'}"</f>
        <v>rg:{ 'id': '200001'}</v>
      </c>
      <c r="D3">
        <v>2</v>
      </c>
      <c r="E3" t="s">
        <v>3019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3049</v>
      </c>
      <c r="C4" t="str">
        <f>"rg:{ 'id': '"&amp;VLOOKUP(B4,Districts.csv!E:H,4,FALSE)&amp;"'}"</f>
        <v>rg:{ 'id': '200001'}</v>
      </c>
      <c r="D4">
        <v>3</v>
      </c>
      <c r="E4" t="s">
        <v>3020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3023</v>
      </c>
      <c r="C5" t="str">
        <f>"rg:{ 'id': '"&amp;VLOOKUP(B5,Districts.csv!E:H,4,FALSE)&amp;"'}"</f>
        <v>rg:{ 'id': '200000'}</v>
      </c>
      <c r="D5">
        <v>4</v>
      </c>
      <c r="E5" t="s">
        <v>3021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3023</v>
      </c>
      <c r="C6" t="str">
        <f>"rg:{ 'id': '"&amp;VLOOKUP(B6,Districts.csv!E:H,4,FALSE)&amp;"'}"</f>
        <v>rg:{ 'id': '200000'}</v>
      </c>
      <c r="D6">
        <v>5</v>
      </c>
      <c r="E6" t="s">
        <v>3022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3023</v>
      </c>
      <c r="C7" t="str">
        <f>"rg:{ 'id': '"&amp;VLOOKUP(B7,Districts.csv!E:H,4,FALSE)&amp;"'}"</f>
        <v>rg:{ 'id': '200000'}</v>
      </c>
      <c r="D7">
        <v>6</v>
      </c>
      <c r="E7" t="s">
        <v>3023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3023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3051</v>
      </c>
      <c r="C9" t="str">
        <f>"rg:{ 'id': '"&amp;VLOOKUP(B9,Districts.csv!E:H,4,FALSE)&amp;"'}"</f>
        <v>rg:{ 'id': '200004'}</v>
      </c>
      <c r="D9">
        <v>8</v>
      </c>
      <c r="E9" t="s">
        <v>3024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3025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3026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3050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3050</v>
      </c>
      <c r="C13" t="str">
        <f>"rg:{ 'id': '"&amp;VLOOKUP(B13,Districts.csv!E:H,4,FALSE)&amp;"'}"</f>
        <v>rg:{ 'id': '200002'}</v>
      </c>
      <c r="D13">
        <v>12</v>
      </c>
      <c r="E13" t="s">
        <v>3027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3051</v>
      </c>
      <c r="C14" t="str">
        <f>"rg:{ 'id': '"&amp;VLOOKUP(B14,Districts.csv!E:H,4,FALSE)&amp;"'}"</f>
        <v>rg:{ 'id': '200004'}</v>
      </c>
      <c r="D14">
        <v>13</v>
      </c>
      <c r="E14" t="s">
        <v>3028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3052</v>
      </c>
      <c r="C15" t="str">
        <f>"rg:{ 'id': '"&amp;VLOOKUP(B15,Districts.csv!E:H,4,FALSE)&amp;"'}"</f>
        <v>rg:{ 'id': '200005'}</v>
      </c>
      <c r="D15">
        <v>14</v>
      </c>
      <c r="E15" t="s">
        <v>3029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3052</v>
      </c>
      <c r="C16" t="str">
        <f>"rg:{ 'id': '"&amp;VLOOKUP(B16,Districts.csv!E:H,4,FALSE)&amp;"'}"</f>
        <v>rg:{ 'id': '200005'}</v>
      </c>
      <c r="D16">
        <v>15</v>
      </c>
      <c r="E16" t="s">
        <v>3030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3053</v>
      </c>
      <c r="C17" t="str">
        <f>"rg:{ 'id': '"&amp;VLOOKUP(B17,Districts.csv!E:H,4,FALSE)&amp;"'}"</f>
        <v>rg:{ 'id': '200006'}</v>
      </c>
      <c r="D17">
        <v>16</v>
      </c>
      <c r="E17" t="s">
        <v>3031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3053</v>
      </c>
      <c r="C18" t="str">
        <f>"rg:{ 'id': '"&amp;VLOOKUP(B18,Districts.csv!E:H,4,FALSE)&amp;"'}"</f>
        <v>rg:{ 'id': '200006'}</v>
      </c>
      <c r="D18">
        <v>17</v>
      </c>
      <c r="E18" t="s">
        <v>3032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3053</v>
      </c>
      <c r="C19" t="str">
        <f>"rg:{ 'id': '"&amp;VLOOKUP(B19,Districts.csv!E:H,4,FALSE)&amp;"'}"</f>
        <v>rg:{ 'id': '200006'}</v>
      </c>
      <c r="D19">
        <v>18</v>
      </c>
      <c r="E19" t="s">
        <v>3033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3034</v>
      </c>
      <c r="C20" t="str">
        <f>"rg:{ 'id': '"&amp;VLOOKUP(B20,Districts.csv!E:H,4,FALSE)&amp;"'}"</f>
        <v>rg:{ 'id': '200008'}</v>
      </c>
      <c r="D20">
        <v>19</v>
      </c>
      <c r="E20" t="s">
        <v>3034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3034</v>
      </c>
      <c r="C21" t="str">
        <f>"rg:{ 'id': '"&amp;VLOOKUP(B21,Districts.csv!E:H,4,FALSE)&amp;"'}"</f>
        <v>rg:{ 'id': '200008'}</v>
      </c>
      <c r="D21">
        <v>20</v>
      </c>
      <c r="E21" t="s">
        <v>3035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3054</v>
      </c>
      <c r="C22" t="str">
        <f>"rg:{ 'id': '"&amp;VLOOKUP(B22,Districts.csv!E:H,4,FALSE)&amp;"'}"</f>
        <v>rg:{ 'id': '200007'}</v>
      </c>
      <c r="D22">
        <v>21</v>
      </c>
      <c r="E22" t="s">
        <v>3036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3054</v>
      </c>
      <c r="C23" t="str">
        <f>"rg:{ 'id': '"&amp;VLOOKUP(B23,Districts.csv!E:H,4,FALSE)&amp;"'}"</f>
        <v>rg:{ 'id': '200007'}</v>
      </c>
      <c r="D23">
        <v>22</v>
      </c>
      <c r="E23" t="s">
        <v>3037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3034</v>
      </c>
      <c r="C24" t="str">
        <f>"rg:{ 'id': '"&amp;VLOOKUP(B24,Districts.csv!E:H,4,FALSE)&amp;"'}"</f>
        <v>rg:{ 'id': '200008'}</v>
      </c>
      <c r="D24">
        <v>23</v>
      </c>
      <c r="E24" t="s">
        <v>3038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3055</v>
      </c>
      <c r="C25" t="str">
        <f>"rg:{ 'id': '"&amp;VLOOKUP(B25,Districts.csv!E:H,4,FALSE)&amp;"'}"</f>
        <v>rg:{ 'id': '200009'}</v>
      </c>
      <c r="D25">
        <v>24</v>
      </c>
      <c r="E25" t="s">
        <v>3039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3055</v>
      </c>
      <c r="C26" t="str">
        <f>"rg:{ 'id': '"&amp;VLOOKUP(B26,Districts.csv!E:H,4,FALSE)&amp;"'}"</f>
        <v>rg:{ 'id': '200009'}</v>
      </c>
      <c r="D26">
        <v>25</v>
      </c>
      <c r="E26" t="s">
        <v>3040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3041</v>
      </c>
      <c r="C27" t="str">
        <f>"rg:{ 'id': '"&amp;VLOOKUP(B27,Districts.csv!E:H,4,FALSE)&amp;"'}"</f>
        <v>rg:{ 'id': '200010'}</v>
      </c>
      <c r="D27">
        <v>26</v>
      </c>
      <c r="E27" t="s">
        <v>3041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3041</v>
      </c>
      <c r="C28" t="str">
        <f>"rg:{ 'id': '"&amp;VLOOKUP(B28,Districts.csv!E:H,4,FALSE)&amp;"'}"</f>
        <v>rg:{ 'id': '200010'}</v>
      </c>
      <c r="D28">
        <v>27</v>
      </c>
      <c r="E28" t="s">
        <v>3042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3055</v>
      </c>
      <c r="C29" t="str">
        <f>"rg:{ 'id': '"&amp;VLOOKUP(B29,Districts.csv!E:H,4,FALSE)&amp;"'}"</f>
        <v>rg:{ 'id': '200009'}</v>
      </c>
      <c r="D29">
        <v>28</v>
      </c>
      <c r="E29" t="s">
        <v>3043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3044</v>
      </c>
      <c r="C30" t="str">
        <f>"rg:{ 'id': '"&amp;VLOOKUP(B30,Districts.csv!E:H,4,FALSE)&amp;"'}"</f>
        <v>rg:{ 'id': '200011'}</v>
      </c>
      <c r="D30">
        <v>99</v>
      </c>
      <c r="E30" t="s">
        <v>3044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3045</v>
      </c>
      <c r="C31" t="str">
        <f>"rg:{ 'id': '"&amp;VLOOKUP(B31,Districts.csv!E:H,4,FALSE)&amp;"'}"</f>
        <v>rg:{ 'id': '200012'}</v>
      </c>
      <c r="D31">
        <v>999</v>
      </c>
      <c r="E31" t="s">
        <v>3045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29110144</v>
      </c>
      <c r="C2">
        <f ca="1">RANDBETWEEN(1990,YEAR(TODAY()))</f>
        <v>1999</v>
      </c>
      <c r="D2" t="s">
        <v>16</v>
      </c>
      <c r="E2" t="s">
        <v>173</v>
      </c>
      <c r="F2" t="str">
        <f ca="1">"VIP-"&amp;RANDBETWEEN(100000,500000)</f>
        <v>VIP-290359</v>
      </c>
      <c r="G2">
        <f ca="1">RANDBETWEEN(10000,50000)</f>
        <v>10947</v>
      </c>
      <c r="H2">
        <f ca="1">RANDBETWEEN(100000,500000)</f>
        <v>382664</v>
      </c>
      <c r="I2" t="str">
        <f ca="1">VLOOKUP(RANDBETWEEN(1,60),Lookups!$A:$R,12,FALSE)</f>
        <v>2WHDR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155579</v>
      </c>
      <c r="N2">
        <f ca="1">VLOOKUP(RANDBETWEEN(1,212),Lookups!$A:$R,11,FALSE)</f>
        <v>0</v>
      </c>
      <c r="O2" t="str">
        <f ca="1">INDEX(Lookups!O:O,RANDBETWEEN(2,9),1)</f>
        <v>U</v>
      </c>
      <c r="P2">
        <f ca="1">INDEX(Lookups!P:P,RANDBETWEEN(2,82),1)</f>
        <v>16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32953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2015-07-19</v>
      </c>
      <c r="AI2" t="str">
        <f ca="1">TEXT(TODAY()-RANDBETWEEN(1,365),"YYYY-MM-DD")</f>
        <v>2016-04-21</v>
      </c>
      <c r="AJ2" t="str">
        <f ca="1">TEXT(DATEVALUE(AI2)+365,"YYYY-MM-DD")</f>
        <v>2017-04-21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21834331</v>
      </c>
      <c r="C3">
        <f t="shared" ref="C3:C50" ca="1" si="1">RANDBETWEEN(1990,YEAR(TODAY()))</f>
        <v>1993</v>
      </c>
      <c r="D3" t="s">
        <v>16</v>
      </c>
      <c r="E3" t="s">
        <v>173</v>
      </c>
      <c r="F3" t="str">
        <f t="shared" ref="F3:F50" ca="1" si="2">"VIP-"&amp;RANDBETWEEN(100000,500000)</f>
        <v>VIP-333438</v>
      </c>
      <c r="G3">
        <f t="shared" ref="G3:G50" ca="1" si="3">RANDBETWEEN(10000,50000)</f>
        <v>30125</v>
      </c>
      <c r="H3">
        <f t="shared" ref="H3:H50" ca="1" si="4">RANDBETWEEN(100000,500000)</f>
        <v>375234</v>
      </c>
      <c r="I3" t="str">
        <f ca="1">VLOOKUP(RANDBETWEEN(1,60),Lookups!$A:$R,12,FALSE)</f>
        <v>CHEVY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5">RANDBETWEEN(100000,500000)</f>
        <v>242608</v>
      </c>
      <c r="N3">
        <f ca="1">VLOOKUP(RANDBETWEEN(1,212),Lookups!$A:$R,11,FALSE)</f>
        <v>0</v>
      </c>
      <c r="O3" t="str">
        <f ca="1">INDEX(Lookups!O:O,RANDBETWEEN(2,9),1)</f>
        <v>P</v>
      </c>
      <c r="P3">
        <f ca="1">INDEX(Lookups!P:P,RANDBETWEEN(2,82),1)</f>
        <v>6</v>
      </c>
      <c r="Q3" t="s">
        <v>113</v>
      </c>
      <c r="R3" t="s">
        <v>113</v>
      </c>
      <c r="S3" t="s">
        <v>113</v>
      </c>
      <c r="T3" t="str">
        <f ca="1">INDEX(Lookups!E:E,RANDBETWEEN(2,10),1)</f>
        <v>Bus Yard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49587</v>
      </c>
      <c r="AD3" t="str">
        <f t="shared" ref="AD3:AD50" ca="1" si="9">T3</f>
        <v>Bus Yard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2015-07-06</v>
      </c>
      <c r="AI3" t="str">
        <f t="shared" ref="AI3:AI50" ca="1" si="11">TEXT(TODAY()-RANDBETWEEN(1,365),"YYYY-MM-DD")</f>
        <v>2016-09-10</v>
      </c>
      <c r="AJ3" t="str">
        <f t="shared" ref="AJ3:AJ50" ca="1" si="12">TEXT(DATEVALUE(AI3)+365,"YYYY-MM-DD")</f>
        <v>2017-09-10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28410586</v>
      </c>
      <c r="C4">
        <f t="shared" ca="1" si="1"/>
        <v>1999</v>
      </c>
      <c r="D4" t="s">
        <v>16</v>
      </c>
      <c r="E4" t="s">
        <v>173</v>
      </c>
      <c r="F4" t="str">
        <f t="shared" ca="1" si="2"/>
        <v>VIP-135153</v>
      </c>
      <c r="G4">
        <f t="shared" ca="1" si="3"/>
        <v>42894</v>
      </c>
      <c r="H4">
        <f t="shared" ca="1" si="4"/>
        <v>499258</v>
      </c>
      <c r="I4" t="str">
        <f ca="1">VLOOKUP(RANDBETWEEN(1,60),Lookups!$A:$R,12,FALSE)</f>
        <v>102-EL3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105650</v>
      </c>
      <c r="N4">
        <f ca="1">VLOOKUP(RANDBETWEEN(1,212),Lookups!$A:$R,11,FALSE)</f>
        <v>0</v>
      </c>
      <c r="O4" t="str">
        <f ca="1">INDEX(Lookups!O:O,RANDBETWEEN(2,9),1)</f>
        <v>D</v>
      </c>
      <c r="P4">
        <f ca="1">INDEX(Lookups!P:P,RANDBETWEEN(2,82),1)</f>
        <v>82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45776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2014-12-21</v>
      </c>
      <c r="AI4" t="str">
        <f t="shared" ca="1" si="11"/>
        <v>2016-06-20</v>
      </c>
      <c r="AJ4" t="str">
        <f t="shared" ca="1" si="12"/>
        <v>2017-06-20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44175666</v>
      </c>
      <c r="C5">
        <f t="shared" ca="1" si="1"/>
        <v>2001</v>
      </c>
      <c r="D5" t="s">
        <v>16</v>
      </c>
      <c r="E5" t="s">
        <v>173</v>
      </c>
      <c r="F5" t="str">
        <f t="shared" ca="1" si="2"/>
        <v>VIP-237249</v>
      </c>
      <c r="G5">
        <f t="shared" ca="1" si="3"/>
        <v>31957</v>
      </c>
      <c r="H5">
        <f t="shared" ca="1" si="4"/>
        <v>491450</v>
      </c>
      <c r="I5" t="str">
        <f ca="1">VLOOKUP(RANDBETWEEN(1,60),Lookups!$A:$R,12,FALSE)</f>
        <v>CE 200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5"/>
        <v>499542</v>
      </c>
      <c r="N5">
        <f ca="1">VLOOKUP(RANDBETWEEN(1,212),Lookups!$A:$R,11,FALSE)</f>
        <v>0</v>
      </c>
      <c r="O5" t="str">
        <f ca="1">INDEX(Lookups!O:O,RANDBETWEEN(2,9),1)</f>
        <v>G</v>
      </c>
      <c r="P5">
        <f ca="1">INDEX(Lookups!P:P,RANDBETWEEN(2,82),1)</f>
        <v>9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40696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2016-01-24</v>
      </c>
      <c r="AI5" t="str">
        <f t="shared" ca="1" si="11"/>
        <v>2016-10-27</v>
      </c>
      <c r="AJ5" t="str">
        <f t="shared" ca="1" si="12"/>
        <v>2017-10-27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27498215</v>
      </c>
      <c r="C6">
        <f t="shared" ca="1" si="1"/>
        <v>2014</v>
      </c>
      <c r="D6" t="s">
        <v>16</v>
      </c>
      <c r="E6" t="s">
        <v>173</v>
      </c>
      <c r="F6" t="str">
        <f t="shared" ca="1" si="2"/>
        <v>VIP-314235</v>
      </c>
      <c r="G6">
        <f t="shared" ca="1" si="3"/>
        <v>24481</v>
      </c>
      <c r="H6">
        <f t="shared" ca="1" si="4"/>
        <v>292304</v>
      </c>
      <c r="I6" t="str">
        <f ca="1">VLOOKUP(RANDBETWEEN(1,60),Lookups!$A:$R,12,FALSE)</f>
        <v>102-EL3</v>
      </c>
      <c r="J6" t="str">
        <f ca="1">VLOOKUP(RANDBETWEEN(1,4),Lookups!A:R,13,FALSE)</f>
        <v>BLUE BIRD</v>
      </c>
      <c r="K6" t="s">
        <v>113</v>
      </c>
      <c r="L6" s="1">
        <v>42551</v>
      </c>
      <c r="M6">
        <f t="shared" ca="1" si="5"/>
        <v>217148</v>
      </c>
      <c r="N6">
        <f ca="1">VLOOKUP(RANDBETWEEN(1,212),Lookups!$A:$R,11,FALSE)</f>
        <v>0</v>
      </c>
      <c r="O6" t="str">
        <f ca="1">INDEX(Lookups!O:O,RANDBETWEEN(2,9),1)</f>
        <v>S</v>
      </c>
      <c r="P6">
        <f ca="1">INDEX(Lookups!P:P,RANDBETWEEN(2,82),1)</f>
        <v>52</v>
      </c>
      <c r="Q6" t="s">
        <v>113</v>
      </c>
      <c r="R6" t="s">
        <v>113</v>
      </c>
      <c r="S6" t="s">
        <v>113</v>
      </c>
      <c r="T6" t="str">
        <f ca="1">INDEX(Lookups!E:E,RANDBETWEEN(2,10),1)</f>
        <v>Bus Yard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Archived</v>
      </c>
      <c r="AA6" t="s">
        <v>113</v>
      </c>
      <c r="AB6" t="s">
        <v>113</v>
      </c>
      <c r="AC6">
        <f t="shared" ca="1" si="8"/>
        <v>43142</v>
      </c>
      <c r="AD6" t="str">
        <f t="shared" ca="1" si="9"/>
        <v>Bus Yard</v>
      </c>
      <c r="AE6" t="s">
        <v>113</v>
      </c>
      <c r="AF6" t="s">
        <v>113</v>
      </c>
      <c r="AG6" t="s">
        <v>113</v>
      </c>
      <c r="AH6" t="str">
        <f t="shared" ca="1" si="10"/>
        <v>2015-05-26</v>
      </c>
      <c r="AI6" t="str">
        <f t="shared" ca="1" si="11"/>
        <v>2016-09-23</v>
      </c>
      <c r="AJ6" t="str">
        <f t="shared" ca="1" si="12"/>
        <v>2017-09-23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43334116</v>
      </c>
      <c r="C7">
        <f t="shared" ca="1" si="1"/>
        <v>2017</v>
      </c>
      <c r="D7" t="s">
        <v>16</v>
      </c>
      <c r="E7" t="s">
        <v>173</v>
      </c>
      <c r="F7" t="str">
        <f t="shared" ca="1" si="2"/>
        <v>VIP-298210</v>
      </c>
      <c r="G7">
        <f t="shared" ca="1" si="3"/>
        <v>37672</v>
      </c>
      <c r="H7">
        <f t="shared" ca="1" si="4"/>
        <v>228967</v>
      </c>
      <c r="I7" t="str">
        <f ca="1">VLOOKUP(RANDBETWEEN(1,60),Lookups!$A:$R,12,FALSE)</f>
        <v>C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5"/>
        <v>155479</v>
      </c>
      <c r="N7">
        <f ca="1">VLOOKUP(RANDBETWEEN(1,212),Lookups!$A:$R,11,FALSE)</f>
        <v>0</v>
      </c>
      <c r="O7" t="str">
        <f ca="1">INDEX(Lookups!O:O,RANDBETWEEN(2,9),1)</f>
        <v>G</v>
      </c>
      <c r="P7">
        <f ca="1">INDEX(Lookups!P:P,RANDBETWEEN(2,82),1)</f>
        <v>47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27266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2013-12-18</v>
      </c>
      <c r="AI7" t="str">
        <f t="shared" ca="1" si="11"/>
        <v>2016-09-22</v>
      </c>
      <c r="AJ7" t="str">
        <f t="shared" ca="1" si="12"/>
        <v>2017-09-22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27082490</v>
      </c>
      <c r="C8">
        <f t="shared" ca="1" si="1"/>
        <v>1991</v>
      </c>
      <c r="D8" t="s">
        <v>16</v>
      </c>
      <c r="E8" t="s">
        <v>173</v>
      </c>
      <c r="F8" t="str">
        <f t="shared" ca="1" si="2"/>
        <v>VIP-387266</v>
      </c>
      <c r="G8">
        <f t="shared" ca="1" si="3"/>
        <v>25245</v>
      </c>
      <c r="H8">
        <f t="shared" ca="1" si="4"/>
        <v>203820</v>
      </c>
      <c r="I8" t="str">
        <f ca="1">VLOOKUP(RANDBETWEEN(1,60),Lookups!$A:$R,12,FALSE)</f>
        <v>102-EL3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5"/>
        <v>479386</v>
      </c>
      <c r="N8">
        <f ca="1">VLOOKUP(RANDBETWEEN(1,212),Lookups!$A:$R,11,FALSE)</f>
        <v>0</v>
      </c>
      <c r="O8" t="str">
        <f ca="1">INDEX(Lookups!O:O,RANDBETWEEN(2,9),1)</f>
        <v>G</v>
      </c>
      <c r="P8">
        <f ca="1">INDEX(Lookups!P:P,RANDBETWEEN(2,82),1)</f>
        <v>22</v>
      </c>
      <c r="Q8" t="s">
        <v>113</v>
      </c>
      <c r="R8" t="s">
        <v>113</v>
      </c>
      <c r="S8" t="s">
        <v>113</v>
      </c>
      <c r="T8" t="str">
        <f ca="1">INDEX(Lookups!E:E,RANDBETWEEN(2,10),1)</f>
        <v>Field Office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Archived</v>
      </c>
      <c r="AA8" t="s">
        <v>113</v>
      </c>
      <c r="AB8" t="s">
        <v>113</v>
      </c>
      <c r="AC8">
        <f t="shared" ca="1" si="8"/>
        <v>26063</v>
      </c>
      <c r="AD8" t="str">
        <f t="shared" ca="1" si="9"/>
        <v>Field Office</v>
      </c>
      <c r="AE8" t="s">
        <v>113</v>
      </c>
      <c r="AF8" t="s">
        <v>113</v>
      </c>
      <c r="AG8" t="s">
        <v>113</v>
      </c>
      <c r="AH8" t="str">
        <f t="shared" ca="1" si="10"/>
        <v>2013-10-07</v>
      </c>
      <c r="AI8" t="str">
        <f t="shared" ca="1" si="11"/>
        <v>2016-11-03</v>
      </c>
      <c r="AJ8" t="str">
        <f t="shared" ca="1" si="12"/>
        <v>2017-11-03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35406459</v>
      </c>
      <c r="C9">
        <f t="shared" ca="1" si="1"/>
        <v>1999</v>
      </c>
      <c r="D9" t="s">
        <v>16</v>
      </c>
      <c r="E9" t="s">
        <v>173</v>
      </c>
      <c r="F9" t="str">
        <f t="shared" ca="1" si="2"/>
        <v>VIP-417820</v>
      </c>
      <c r="G9">
        <f t="shared" ca="1" si="3"/>
        <v>36583</v>
      </c>
      <c r="H9">
        <f t="shared" ca="1" si="4"/>
        <v>163474</v>
      </c>
      <c r="I9" t="str">
        <f ca="1">VLOOKUP(RANDBETWEEN(1,60),Lookups!$A:$R,12,FALSE)</f>
        <v>COACH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5"/>
        <v>136855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201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Unit 100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Archived</v>
      </c>
      <c r="AA9" t="s">
        <v>113</v>
      </c>
      <c r="AB9" t="s">
        <v>113</v>
      </c>
      <c r="AC9">
        <f t="shared" ca="1" si="8"/>
        <v>47492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2016-09-29</v>
      </c>
      <c r="AI9" t="str">
        <f t="shared" ca="1" si="11"/>
        <v>2016-11-04</v>
      </c>
      <c r="AJ9" t="str">
        <f t="shared" ca="1" si="12"/>
        <v>2017-11-04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38506954</v>
      </c>
      <c r="C10">
        <f t="shared" ca="1" si="1"/>
        <v>2002</v>
      </c>
      <c r="D10" t="s">
        <v>16</v>
      </c>
      <c r="E10" t="s">
        <v>173</v>
      </c>
      <c r="F10" t="str">
        <f t="shared" ca="1" si="2"/>
        <v>VIP-306414</v>
      </c>
      <c r="G10">
        <f t="shared" ca="1" si="3"/>
        <v>32815</v>
      </c>
      <c r="H10">
        <f t="shared" ca="1" si="4"/>
        <v>408050</v>
      </c>
      <c r="I10" t="str">
        <f ca="1">VLOOKUP(RANDBETWEEN(1,60),Lookups!$A:$R,12,FALSE)</f>
        <v>CHEVY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5"/>
        <v>475186</v>
      </c>
      <c r="N10">
        <f ca="1">VLOOKUP(RANDBETWEEN(1,212),Lookups!$A:$R,11,FALSE)</f>
        <v>0</v>
      </c>
      <c r="O10" t="str">
        <f ca="1">INDEX(Lookups!O:O,RANDBETWEEN(2,9),1)</f>
        <v>N</v>
      </c>
      <c r="P10">
        <f ca="1">INDEX(Lookups!P:P,RANDBETWEEN(2,82),1)</f>
        <v>37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10172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2016-09-08</v>
      </c>
      <c r="AI10" t="str">
        <f t="shared" ca="1" si="11"/>
        <v>2016-10-24</v>
      </c>
      <c r="AJ10" t="str">
        <f t="shared" ca="1" si="12"/>
        <v>2017-10-24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12999548</v>
      </c>
      <c r="C11">
        <f t="shared" ca="1" si="1"/>
        <v>1999</v>
      </c>
      <c r="D11" t="s">
        <v>16</v>
      </c>
      <c r="E11" t="s">
        <v>173</v>
      </c>
      <c r="F11" t="str">
        <f t="shared" ca="1" si="2"/>
        <v>VIP-452730</v>
      </c>
      <c r="G11">
        <f t="shared" ca="1" si="3"/>
        <v>26054</v>
      </c>
      <c r="H11">
        <f t="shared" ca="1" si="4"/>
        <v>337371</v>
      </c>
      <c r="I11" t="str">
        <f ca="1">VLOOKUP(RANDBETWEEN(1,60),Lookups!$A:$R,12,FALSE)</f>
        <v>CORBEIL</v>
      </c>
      <c r="J11" t="str">
        <f ca="1">VLOOKUP(RANDBETWEEN(1,4),Lookups!A:R,13,FALSE)</f>
        <v>BLUE BIRD</v>
      </c>
      <c r="K11" t="s">
        <v>113</v>
      </c>
      <c r="L11" s="1">
        <v>42551</v>
      </c>
      <c r="M11">
        <f t="shared" ca="1" si="5"/>
        <v>335795</v>
      </c>
      <c r="N11">
        <f ca="1">VLOOKUP(RANDBETWEEN(1,212),Lookups!$A:$R,11,FALSE)</f>
        <v>0</v>
      </c>
      <c r="O11" t="str">
        <f ca="1">INDEX(Lookups!O:O,RANDBETWEEN(2,9),1)</f>
        <v>G</v>
      </c>
      <c r="P11">
        <f ca="1">INDEX(Lookups!P:P,RANDBETWEEN(2,82),1)</f>
        <v>72</v>
      </c>
      <c r="Q11" t="s">
        <v>113</v>
      </c>
      <c r="R11" t="s">
        <v>113</v>
      </c>
      <c r="S11" t="s">
        <v>113</v>
      </c>
      <c r="T11" t="str">
        <f ca="1">INDEX(Lookups!E:E,RANDBETWEEN(2,10),1)</f>
        <v>Bus Yard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34287</v>
      </c>
      <c r="AD11" t="str">
        <f t="shared" ca="1" si="9"/>
        <v>Bus Yard</v>
      </c>
      <c r="AE11" t="s">
        <v>113</v>
      </c>
      <c r="AF11" t="s">
        <v>113</v>
      </c>
      <c r="AG11" t="s">
        <v>113</v>
      </c>
      <c r="AH11" t="str">
        <f t="shared" ca="1" si="10"/>
        <v>2016-08-15</v>
      </c>
      <c r="AI11" t="str">
        <f t="shared" ca="1" si="11"/>
        <v>2016-05-21</v>
      </c>
      <c r="AJ11" t="str">
        <f t="shared" ca="1" si="12"/>
        <v>2017-05-21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25246047</v>
      </c>
      <c r="C12">
        <f t="shared" ca="1" si="1"/>
        <v>2001</v>
      </c>
      <c r="D12" t="s">
        <v>16</v>
      </c>
      <c r="E12" t="s">
        <v>173</v>
      </c>
      <c r="F12" t="str">
        <f t="shared" ca="1" si="2"/>
        <v>VIP-231893</v>
      </c>
      <c r="G12">
        <f t="shared" ca="1" si="3"/>
        <v>12686</v>
      </c>
      <c r="H12">
        <f t="shared" ca="1" si="4"/>
        <v>253946</v>
      </c>
      <c r="I12" t="str">
        <f ca="1">VLOOKUP(RANDBETWEEN(1,60),Lookups!$A:$R,12,FALSE)</f>
        <v>3200C</v>
      </c>
      <c r="J12" t="str">
        <f ca="1">VLOOKUP(RANDBETWEEN(1,4),Lookups!A:R,13,FALSE)</f>
        <v>BLUE BIRD</v>
      </c>
      <c r="K12" t="s">
        <v>113</v>
      </c>
      <c r="L12" s="1">
        <v>42551</v>
      </c>
      <c r="M12">
        <f t="shared" ca="1" si="5"/>
        <v>136803</v>
      </c>
      <c r="N12">
        <f ca="1">VLOOKUP(RANDBETWEEN(1,212),Lookups!$A:$R,11,FALSE)</f>
        <v>0</v>
      </c>
      <c r="O12" t="str">
        <f ca="1">INDEX(Lookups!O:O,RANDBETWEEN(2,9),1)</f>
        <v>U</v>
      </c>
      <c r="P12">
        <f ca="1">INDEX(Lookups!P:P,RANDBETWEEN(2,82),1)</f>
        <v>57</v>
      </c>
      <c r="Q12" t="s">
        <v>113</v>
      </c>
      <c r="R12" t="s">
        <v>113</v>
      </c>
      <c r="S12" t="s">
        <v>113</v>
      </c>
      <c r="T12" t="str">
        <f ca="1">INDEX(Lookups!E:E,RANDBETWEEN(2,10),1)</f>
        <v>Bus Yard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11541</v>
      </c>
      <c r="AD12" t="str">
        <f t="shared" ca="1" si="9"/>
        <v>Bus Yard</v>
      </c>
      <c r="AE12" t="s">
        <v>113</v>
      </c>
      <c r="AF12" t="s">
        <v>113</v>
      </c>
      <c r="AG12" t="s">
        <v>113</v>
      </c>
      <c r="AH12" t="str">
        <f t="shared" ca="1" si="10"/>
        <v>2015-01-27</v>
      </c>
      <c r="AI12" t="str">
        <f t="shared" ca="1" si="11"/>
        <v>2016-05-20</v>
      </c>
      <c r="AJ12" t="str">
        <f t="shared" ca="1" si="12"/>
        <v>2017-05-20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16189693</v>
      </c>
      <c r="C13">
        <f t="shared" ca="1" si="1"/>
        <v>1998</v>
      </c>
      <c r="D13" t="s">
        <v>16</v>
      </c>
      <c r="E13" t="s">
        <v>173</v>
      </c>
      <c r="F13" t="str">
        <f t="shared" ca="1" si="2"/>
        <v>VIP-474539</v>
      </c>
      <c r="G13">
        <f t="shared" ca="1" si="3"/>
        <v>10054</v>
      </c>
      <c r="H13">
        <f t="shared" ca="1" si="4"/>
        <v>452682</v>
      </c>
      <c r="I13" t="str">
        <f ca="1">VLOOKUP(RANDBETWEEN(1,60),Lookups!$A:$R,12,FALSE)</f>
        <v>3200C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5"/>
        <v>431353</v>
      </c>
      <c r="N13">
        <f ca="1">VLOOKUP(RANDBETWEEN(1,212),Lookups!$A:$R,11,FALSE)</f>
        <v>0</v>
      </c>
      <c r="O13" t="str">
        <f ca="1">INDEX(Lookups!O:O,RANDBETWEEN(2,9),1)</f>
        <v>P</v>
      </c>
      <c r="P13">
        <f ca="1">INDEX(Lookups!P:P,RANDBETWEEN(2,82),1)</f>
        <v>49</v>
      </c>
      <c r="Q13" t="s">
        <v>113</v>
      </c>
      <c r="R13" t="s">
        <v>113</v>
      </c>
      <c r="S13" t="s">
        <v>113</v>
      </c>
      <c r="T13" t="str">
        <f ca="1">INDEX(Lookups!E:E,RANDBETWEEN(2,10),1)</f>
        <v>Field Office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32373</v>
      </c>
      <c r="AD13" t="str">
        <f t="shared" ca="1" si="9"/>
        <v>Field Office</v>
      </c>
      <c r="AE13" t="s">
        <v>113</v>
      </c>
      <c r="AF13" t="s">
        <v>113</v>
      </c>
      <c r="AG13" t="s">
        <v>113</v>
      </c>
      <c r="AH13" t="str">
        <f t="shared" ca="1" si="10"/>
        <v>2015-05-22</v>
      </c>
      <c r="AI13" t="str">
        <f t="shared" ca="1" si="11"/>
        <v>2016-01-17</v>
      </c>
      <c r="AJ13" t="str">
        <f t="shared" ca="1" si="12"/>
        <v>2017-01-16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33688088</v>
      </c>
      <c r="C14">
        <f t="shared" ca="1" si="1"/>
        <v>2013</v>
      </c>
      <c r="D14" t="s">
        <v>16</v>
      </c>
      <c r="E14" t="s">
        <v>173</v>
      </c>
      <c r="F14" t="str">
        <f t="shared" ca="1" si="2"/>
        <v>VIP-390508</v>
      </c>
      <c r="G14">
        <f t="shared" ca="1" si="3"/>
        <v>46058</v>
      </c>
      <c r="H14">
        <f t="shared" ca="1" si="4"/>
        <v>239927</v>
      </c>
      <c r="I14">
        <f ca="1">VLOOKUP(RANDBETWEEN(1,60),Lookups!$A:$R,12,FALSE)</f>
        <v>3500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5"/>
        <v>307290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10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43338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2014-11-13</v>
      </c>
      <c r="AI14" t="str">
        <f t="shared" ca="1" si="11"/>
        <v>2016-06-03</v>
      </c>
      <c r="AJ14" t="str">
        <f t="shared" ca="1" si="12"/>
        <v>2017-06-03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46490794</v>
      </c>
      <c r="C15">
        <f t="shared" ca="1" si="1"/>
        <v>2006</v>
      </c>
      <c r="D15" t="s">
        <v>16</v>
      </c>
      <c r="E15" t="s">
        <v>173</v>
      </c>
      <c r="F15" t="str">
        <f t="shared" ca="1" si="2"/>
        <v>VIP-236927</v>
      </c>
      <c r="G15">
        <f t="shared" ca="1" si="3"/>
        <v>27805</v>
      </c>
      <c r="H15">
        <f t="shared" ca="1" si="4"/>
        <v>217558</v>
      </c>
      <c r="I15" t="str">
        <f ca="1">VLOOKUP(RANDBETWEEN(1,60),Lookups!$A:$R,12,FALSE)</f>
        <v>CE300</v>
      </c>
      <c r="J15" t="str">
        <f ca="1">VLOOKUP(RANDBETWEEN(1,4),Lookups!A:R,13,FALSE)</f>
        <v>BLUE BIRD</v>
      </c>
      <c r="K15" t="s">
        <v>113</v>
      </c>
      <c r="L15" s="1">
        <v>42551</v>
      </c>
      <c r="M15">
        <f t="shared" ca="1" si="5"/>
        <v>426639</v>
      </c>
      <c r="N15">
        <f ca="1">VLOOKUP(RANDBETWEEN(1,212),Lookups!$A:$R,11,FALSE)</f>
        <v>0</v>
      </c>
      <c r="O15" t="str">
        <f ca="1">INDEX(Lookups!O:O,RANDBETWEEN(2,9),1)</f>
        <v>U</v>
      </c>
      <c r="P15">
        <f ca="1">INDEX(Lookups!P:P,RANDBETWEEN(2,82),1)</f>
        <v>54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21171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2015-08-13</v>
      </c>
      <c r="AI15" t="str">
        <f t="shared" ca="1" si="11"/>
        <v>2016-07-01</v>
      </c>
      <c r="AJ15" t="str">
        <f t="shared" ca="1" si="12"/>
        <v>2017-07-01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40729681</v>
      </c>
      <c r="C16">
        <f t="shared" ca="1" si="1"/>
        <v>2003</v>
      </c>
      <c r="D16" t="s">
        <v>16</v>
      </c>
      <c r="E16" t="s">
        <v>173</v>
      </c>
      <c r="F16" t="str">
        <f t="shared" ca="1" si="2"/>
        <v>VIP-473320</v>
      </c>
      <c r="G16">
        <f t="shared" ca="1" si="3"/>
        <v>47558</v>
      </c>
      <c r="H16">
        <f t="shared" ca="1" si="4"/>
        <v>100652</v>
      </c>
      <c r="I16" t="str">
        <f ca="1">VLOOKUP(RANDBETWEEN(1,60),Lookups!$A:$R,12,FALSE)</f>
        <v>CANADIAN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5"/>
        <v>376404</v>
      </c>
      <c r="N16">
        <f ca="1">VLOOKUP(RANDBETWEEN(1,212),Lookups!$A:$R,11,FALSE)</f>
        <v>0</v>
      </c>
      <c r="O16" t="str">
        <f ca="1">INDEX(Lookups!O:O,RANDBETWEEN(2,9),1)</f>
        <v>D</v>
      </c>
      <c r="P16">
        <f ca="1">INDEX(Lookups!P:P,RANDBETWEEN(2,82),1)</f>
        <v>56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18665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2016-07-13</v>
      </c>
      <c r="AI16" t="str">
        <f t="shared" ca="1" si="11"/>
        <v>2016-09-18</v>
      </c>
      <c r="AJ16" t="str">
        <f t="shared" ca="1" si="12"/>
        <v>2017-09-18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28836377</v>
      </c>
      <c r="C17">
        <f t="shared" ca="1" si="1"/>
        <v>2005</v>
      </c>
      <c r="D17" t="s">
        <v>16</v>
      </c>
      <c r="E17" t="s">
        <v>173</v>
      </c>
      <c r="F17" t="str">
        <f t="shared" ca="1" si="2"/>
        <v>VIP-398052</v>
      </c>
      <c r="G17">
        <f t="shared" ca="1" si="3"/>
        <v>47591</v>
      </c>
      <c r="H17">
        <f t="shared" ca="1" si="4"/>
        <v>274477</v>
      </c>
      <c r="I17" t="str">
        <f ca="1">VLOOKUP(RANDBETWEEN(1,60),Lookups!$A:$R,12,FALSE)</f>
        <v>C5500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400384</v>
      </c>
      <c r="N17" t="str">
        <f ca="1">VLOOKUP(RANDBETWEEN(1,212),Lookups!$A:$R,11,FALSE)</f>
        <v>250-765-1346</v>
      </c>
      <c r="O17" t="str">
        <f ca="1">INDEX(Lookups!O:O,RANDBETWEEN(2,9),1)</f>
        <v>D</v>
      </c>
      <c r="P17">
        <f ca="1">INDEX(Lookups!P:P,RANDBETWEEN(2,82),1)</f>
        <v>45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Archived</v>
      </c>
      <c r="AA17" t="s">
        <v>113</v>
      </c>
      <c r="AB17" t="s">
        <v>113</v>
      </c>
      <c r="AC17">
        <f t="shared" ca="1" si="8"/>
        <v>24650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2015-09-29</v>
      </c>
      <c r="AI17" t="str">
        <f t="shared" ca="1" si="11"/>
        <v>2016-02-06</v>
      </c>
      <c r="AJ17" t="str">
        <f t="shared" ca="1" si="12"/>
        <v>2017-02-05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12268596</v>
      </c>
      <c r="C18">
        <f t="shared" ca="1" si="1"/>
        <v>2007</v>
      </c>
      <c r="D18" t="s">
        <v>16</v>
      </c>
      <c r="E18" t="s">
        <v>173</v>
      </c>
      <c r="F18" t="str">
        <f t="shared" ca="1" si="2"/>
        <v>VIP-450754</v>
      </c>
      <c r="G18">
        <f t="shared" ca="1" si="3"/>
        <v>47066</v>
      </c>
      <c r="H18">
        <f t="shared" ca="1" si="4"/>
        <v>311111</v>
      </c>
      <c r="I18" t="str">
        <f ca="1">VLOOKUP(RANDBETWEEN(1,60),Lookups!$A:$R,12,FALSE)</f>
        <v>BUS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5"/>
        <v>285932</v>
      </c>
      <c r="N18">
        <f ca="1">VLOOKUP(RANDBETWEEN(1,212),Lookups!$A:$R,11,FALSE)</f>
        <v>0</v>
      </c>
      <c r="O18" t="str">
        <f ca="1">INDEX(Lookups!O:O,RANDBETWEEN(2,9),1)</f>
        <v>S</v>
      </c>
      <c r="P18">
        <f ca="1">INDEX(Lookups!P:P,RANDBETWEEN(2,82),1)</f>
        <v>75</v>
      </c>
      <c r="Q18" t="s">
        <v>113</v>
      </c>
      <c r="R18" t="s">
        <v>113</v>
      </c>
      <c r="S18" t="s">
        <v>113</v>
      </c>
      <c r="T18" t="str">
        <f ca="1">INDEX(Lookups!E:E,RANDBETWEEN(2,10),1)</f>
        <v>Field Office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30709</v>
      </c>
      <c r="AD18" t="str">
        <f t="shared" ca="1" si="9"/>
        <v>Field Office</v>
      </c>
      <c r="AE18" t="s">
        <v>113</v>
      </c>
      <c r="AF18" t="s">
        <v>113</v>
      </c>
      <c r="AG18" t="s">
        <v>113</v>
      </c>
      <c r="AH18" t="str">
        <f t="shared" ca="1" si="10"/>
        <v>2016-06-18</v>
      </c>
      <c r="AI18" t="str">
        <f t="shared" ca="1" si="11"/>
        <v>2016-12-10</v>
      </c>
      <c r="AJ18" t="str">
        <f t="shared" ca="1" si="12"/>
        <v>2017-12-10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35216630</v>
      </c>
      <c r="C19">
        <f t="shared" ca="1" si="1"/>
        <v>1998</v>
      </c>
      <c r="D19" t="s">
        <v>16</v>
      </c>
      <c r="E19" t="s">
        <v>173</v>
      </c>
      <c r="F19" t="str">
        <f t="shared" ca="1" si="2"/>
        <v>VIP-427278</v>
      </c>
      <c r="G19">
        <f t="shared" ca="1" si="3"/>
        <v>19331</v>
      </c>
      <c r="H19">
        <f t="shared" ca="1" si="4"/>
        <v>446193</v>
      </c>
      <c r="I19" t="str">
        <f ca="1">VLOOKUP(RANDBETWEEN(1,60),Lookups!$A:$R,12,FALSE)</f>
        <v>A3RE8400S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5"/>
        <v>209412</v>
      </c>
      <c r="N19">
        <f ca="1">VLOOKUP(RANDBETWEEN(1,212),Lookups!$A:$R,11,FALSE)</f>
        <v>0</v>
      </c>
      <c r="O19" t="str">
        <f ca="1">INDEX(Lookups!O:O,RANDBETWEEN(2,9),1)</f>
        <v>S</v>
      </c>
      <c r="P19">
        <f ca="1">INDEX(Lookups!P:P,RANDBETWEEN(2,82),1)</f>
        <v>59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Archived</v>
      </c>
      <c r="AA19" t="s">
        <v>113</v>
      </c>
      <c r="AB19" t="s">
        <v>113</v>
      </c>
      <c r="AC19">
        <f t="shared" ca="1" si="8"/>
        <v>26909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2014-11-09</v>
      </c>
      <c r="AI19" t="str">
        <f t="shared" ca="1" si="11"/>
        <v>2016-12-24</v>
      </c>
      <c r="AJ19" t="str">
        <f t="shared" ca="1" si="12"/>
        <v>2017-12-24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38312924</v>
      </c>
      <c r="C20">
        <f t="shared" ca="1" si="1"/>
        <v>2007</v>
      </c>
      <c r="D20" t="s">
        <v>16</v>
      </c>
      <c r="E20" t="s">
        <v>173</v>
      </c>
      <c r="F20" t="str">
        <f t="shared" ca="1" si="2"/>
        <v>VIP-339979</v>
      </c>
      <c r="G20">
        <f t="shared" ca="1" si="3"/>
        <v>44340</v>
      </c>
      <c r="H20">
        <f t="shared" ca="1" si="4"/>
        <v>177679</v>
      </c>
      <c r="I20" t="str">
        <f ca="1">VLOOKUP(RANDBETWEEN(1,60),Lookups!$A:$R,12,FALSE)</f>
        <v>COE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5"/>
        <v>482971</v>
      </c>
      <c r="N20">
        <f ca="1">VLOOKUP(RANDBETWEEN(1,212),Lookups!$A:$R,11,FALSE)</f>
        <v>0</v>
      </c>
      <c r="O20" t="str">
        <f ca="1">INDEX(Lookups!O:O,RANDBETWEEN(2,9),1)</f>
        <v>D</v>
      </c>
      <c r="P20">
        <f ca="1">INDEX(Lookups!P:P,RANDBETWEEN(2,82),1)</f>
        <v>57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23057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2014-02-17</v>
      </c>
      <c r="AI20" t="str">
        <f t="shared" ca="1" si="11"/>
        <v>2016-08-24</v>
      </c>
      <c r="AJ20" t="str">
        <f t="shared" ca="1" si="12"/>
        <v>2017-08-24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25270698</v>
      </c>
      <c r="C21">
        <f t="shared" ca="1" si="1"/>
        <v>2012</v>
      </c>
      <c r="D21" t="s">
        <v>16</v>
      </c>
      <c r="E21" t="s">
        <v>173</v>
      </c>
      <c r="F21" t="str">
        <f t="shared" ca="1" si="2"/>
        <v>VIP-437902</v>
      </c>
      <c r="G21">
        <f t="shared" ca="1" si="3"/>
        <v>41080</v>
      </c>
      <c r="H21">
        <f t="shared" ca="1" si="4"/>
        <v>471188</v>
      </c>
      <c r="I21" t="str">
        <f ca="1">VLOOKUP(RANDBETWEEN(1,60),Lookups!$A:$R,12,FALSE)</f>
        <v>ALL CANADIAN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5"/>
        <v>489376</v>
      </c>
      <c r="N21">
        <f ca="1">VLOOKUP(RANDBETWEEN(1,212),Lookups!$A:$R,11,FALSE)</f>
        <v>0</v>
      </c>
      <c r="O21" t="str">
        <f ca="1">INDEX(Lookups!O:O,RANDBETWEEN(2,9),1)</f>
        <v>N</v>
      </c>
      <c r="P21">
        <f ca="1">INDEX(Lookups!P:P,RANDBETWEEN(2,82),1)</f>
        <v>49</v>
      </c>
      <c r="Q21" t="s">
        <v>113</v>
      </c>
      <c r="R21" t="s">
        <v>113</v>
      </c>
      <c r="S21" t="s">
        <v>113</v>
      </c>
      <c r="T21" t="str">
        <f ca="1">INDEX(Lookups!E:E,RANDBETWEEN(2,10),1)</f>
        <v>Bus Yard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14580</v>
      </c>
      <c r="AD21" t="str">
        <f t="shared" ca="1" si="9"/>
        <v>Bus Yard</v>
      </c>
      <c r="AE21" t="s">
        <v>113</v>
      </c>
      <c r="AF21" t="s">
        <v>113</v>
      </c>
      <c r="AG21" t="s">
        <v>113</v>
      </c>
      <c r="AH21" t="str">
        <f t="shared" ca="1" si="10"/>
        <v>2014-12-20</v>
      </c>
      <c r="AI21" t="str">
        <f t="shared" ca="1" si="11"/>
        <v>2016-12-05</v>
      </c>
      <c r="AJ21" t="str">
        <f t="shared" ca="1" si="12"/>
        <v>2017-12-05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12326393</v>
      </c>
      <c r="C22">
        <f t="shared" ca="1" si="1"/>
        <v>1990</v>
      </c>
      <c r="D22" t="s">
        <v>16</v>
      </c>
      <c r="E22" t="s">
        <v>173</v>
      </c>
      <c r="F22" t="str">
        <f t="shared" ca="1" si="2"/>
        <v>VIP-126220</v>
      </c>
      <c r="G22">
        <f t="shared" ca="1" si="3"/>
        <v>49573</v>
      </c>
      <c r="H22">
        <f t="shared" ca="1" si="4"/>
        <v>450367</v>
      </c>
      <c r="I22" t="str">
        <f ca="1">VLOOKUP(RANDBETWEEN(1,60),Lookups!$A:$R,12,FALSE)</f>
        <v>A3RE8400S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438456</v>
      </c>
      <c r="N22">
        <f ca="1">VLOOKUP(RANDBETWEEN(1,212),Lookups!$A:$R,11,FALSE)</f>
        <v>0</v>
      </c>
      <c r="O22" t="str">
        <f ca="1">INDEX(Lookups!O:O,RANDBETWEEN(2,9),1)</f>
        <v>P</v>
      </c>
      <c r="P22">
        <f ca="1">INDEX(Lookups!P:P,RANDBETWEEN(2,82),1)</f>
        <v>201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28736</v>
      </c>
      <c r="AD22">
        <f t="shared" ca="1" si="9"/>
        <v>0</v>
      </c>
      <c r="AE22" t="s">
        <v>113</v>
      </c>
      <c r="AF22" t="s">
        <v>113</v>
      </c>
      <c r="AG22" t="s">
        <v>113</v>
      </c>
      <c r="AH22" t="str">
        <f t="shared" ca="1" si="10"/>
        <v>2014-12-08</v>
      </c>
      <c r="AI22" t="str">
        <f t="shared" ca="1" si="11"/>
        <v>2016-10-07</v>
      </c>
      <c r="AJ22" t="str">
        <f t="shared" ca="1" si="12"/>
        <v>2017-10-07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45785327</v>
      </c>
      <c r="C23">
        <f t="shared" ca="1" si="1"/>
        <v>2011</v>
      </c>
      <c r="D23" t="s">
        <v>16</v>
      </c>
      <c r="E23" t="s">
        <v>173</v>
      </c>
      <c r="F23" t="str">
        <f t="shared" ca="1" si="2"/>
        <v>VIP-359556</v>
      </c>
      <c r="G23">
        <f t="shared" ca="1" si="3"/>
        <v>40384</v>
      </c>
      <c r="H23">
        <f t="shared" ca="1" si="4"/>
        <v>148225</v>
      </c>
      <c r="I23" t="str">
        <f ca="1">VLOOKUP(RANDBETWEEN(1,60),Lookups!$A:$R,12,FALSE)</f>
        <v>COACH</v>
      </c>
      <c r="J23" t="str">
        <f ca="1">VLOOKUP(RANDBETWEEN(1,4),Lookups!A:R,13,FALSE)</f>
        <v>ADL</v>
      </c>
      <c r="K23" t="s">
        <v>113</v>
      </c>
      <c r="L23" s="1">
        <v>42551</v>
      </c>
      <c r="M23">
        <f t="shared" ca="1" si="5"/>
        <v>222879</v>
      </c>
      <c r="N23">
        <f ca="1">VLOOKUP(RANDBETWEEN(1,212),Lookups!$A:$R,11,FALSE)</f>
        <v>0</v>
      </c>
      <c r="O23" t="str">
        <f ca="1">INDEX(Lookups!O:O,RANDBETWEEN(2,9),1)</f>
        <v>L</v>
      </c>
      <c r="P23">
        <f ca="1">INDEX(Lookups!P:P,RANDBETWEEN(2,82),1)</f>
        <v>45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41191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2014-10-31</v>
      </c>
      <c r="AI23" t="str">
        <f t="shared" ca="1" si="11"/>
        <v>2016-09-12</v>
      </c>
      <c r="AJ23" t="str">
        <f t="shared" ca="1" si="12"/>
        <v>2017-09-12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35001575</v>
      </c>
      <c r="C24">
        <f t="shared" ca="1" si="1"/>
        <v>2002</v>
      </c>
      <c r="D24" t="s">
        <v>16</v>
      </c>
      <c r="E24" t="s">
        <v>173</v>
      </c>
      <c r="F24" t="str">
        <f t="shared" ca="1" si="2"/>
        <v>VIP-139821</v>
      </c>
      <c r="G24">
        <f t="shared" ca="1" si="3"/>
        <v>49718</v>
      </c>
      <c r="H24">
        <f t="shared" ca="1" si="4"/>
        <v>174485</v>
      </c>
      <c r="I24">
        <f ca="1">VLOOKUP(RANDBETWEEN(1,60),Lookups!$A:$R,12,FALSE)</f>
        <v>300</v>
      </c>
      <c r="J24" t="str">
        <f ca="1">VLOOKUP(RANDBETWEEN(1,4),Lookups!A:R,13,FALSE)</f>
        <v>BLUE BIRD</v>
      </c>
      <c r="K24" t="s">
        <v>113</v>
      </c>
      <c r="L24" s="1">
        <v>42551</v>
      </c>
      <c r="M24">
        <f t="shared" ca="1" si="5"/>
        <v>301649</v>
      </c>
      <c r="N24">
        <f ca="1">VLOOKUP(RANDBETWEEN(1,212),Lookups!$A:$R,11,FALSE)</f>
        <v>0</v>
      </c>
      <c r="O24" t="str">
        <f ca="1">INDEX(Lookups!O:O,RANDBETWEEN(2,9),1)</f>
        <v>L</v>
      </c>
      <c r="P24">
        <f ca="1">INDEX(Lookups!P:P,RANDBETWEEN(2,82),1)</f>
        <v>81</v>
      </c>
      <c r="Q24" t="s">
        <v>113</v>
      </c>
      <c r="R24" t="s">
        <v>113</v>
      </c>
      <c r="S24" t="s">
        <v>113</v>
      </c>
      <c r="T24" t="str">
        <f ca="1">INDEX(Lookups!E:E,RANDBETWEEN(2,10),1)</f>
        <v>Headquarters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35284</v>
      </c>
      <c r="AD24" t="str">
        <f t="shared" ca="1" si="9"/>
        <v>Headquarters</v>
      </c>
      <c r="AE24" t="s">
        <v>113</v>
      </c>
      <c r="AF24" t="s">
        <v>113</v>
      </c>
      <c r="AG24" t="s">
        <v>113</v>
      </c>
      <c r="AH24" t="str">
        <f t="shared" ca="1" si="10"/>
        <v>2013-10-21</v>
      </c>
      <c r="AI24" t="str">
        <f t="shared" ca="1" si="11"/>
        <v>2016-07-10</v>
      </c>
      <c r="AJ24" t="str">
        <f t="shared" ca="1" si="12"/>
        <v>2017-07-10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25369992</v>
      </c>
      <c r="C25">
        <f t="shared" ca="1" si="1"/>
        <v>1994</v>
      </c>
      <c r="D25" t="s">
        <v>16</v>
      </c>
      <c r="E25" t="s">
        <v>173</v>
      </c>
      <c r="F25" t="str">
        <f t="shared" ca="1" si="2"/>
        <v>VIP-406590</v>
      </c>
      <c r="G25">
        <f t="shared" ca="1" si="3"/>
        <v>32304</v>
      </c>
      <c r="H25">
        <f t="shared" ca="1" si="4"/>
        <v>165620</v>
      </c>
      <c r="I25" t="str">
        <f ca="1">VLOOKUP(RANDBETWEEN(1,60),Lookups!$A:$R,12,FALSE)</f>
        <v>A3RE8400S</v>
      </c>
      <c r="J25" t="str">
        <f ca="1">VLOOKUP(RANDBETWEEN(1,4),Lookups!A:R,13,FALSE)</f>
        <v>BLUE BIRDS</v>
      </c>
      <c r="K25" t="s">
        <v>113</v>
      </c>
      <c r="L25" s="1">
        <v>42551</v>
      </c>
      <c r="M25">
        <f t="shared" ca="1" si="5"/>
        <v>255708</v>
      </c>
      <c r="N25">
        <f ca="1">VLOOKUP(RANDBETWEEN(1,212),Lookups!$A:$R,11,FALSE)</f>
        <v>0</v>
      </c>
      <c r="O25" t="str">
        <f ca="1">INDEX(Lookups!O:O,RANDBETWEEN(2,9),1)</f>
        <v>H</v>
      </c>
      <c r="P25">
        <f ca="1">INDEX(Lookups!P:P,RANDBETWEEN(2,82),1)</f>
        <v>3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6"/>
        <v>Unit 100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Archived</v>
      </c>
      <c r="AA25" t="s">
        <v>113</v>
      </c>
      <c r="AB25" t="s">
        <v>113</v>
      </c>
      <c r="AC25">
        <f t="shared" ca="1" si="8"/>
        <v>49367</v>
      </c>
      <c r="AD25">
        <f t="shared" ca="1" si="9"/>
        <v>0</v>
      </c>
      <c r="AE25" t="s">
        <v>113</v>
      </c>
      <c r="AF25" t="s">
        <v>113</v>
      </c>
      <c r="AG25" t="s">
        <v>113</v>
      </c>
      <c r="AH25" t="str">
        <f t="shared" ca="1" si="10"/>
        <v>2013-09-18</v>
      </c>
      <c r="AI25" t="str">
        <f t="shared" ca="1" si="11"/>
        <v>2016-08-30</v>
      </c>
      <c r="AJ25" t="str">
        <f t="shared" ca="1" si="12"/>
        <v>2017-08-30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40082574</v>
      </c>
      <c r="C26">
        <f t="shared" ca="1" si="1"/>
        <v>2008</v>
      </c>
      <c r="D26" t="s">
        <v>16</v>
      </c>
      <c r="E26" t="s">
        <v>173</v>
      </c>
      <c r="F26" t="str">
        <f t="shared" ca="1" si="2"/>
        <v>VIP-194042</v>
      </c>
      <c r="G26">
        <f t="shared" ca="1" si="3"/>
        <v>12529</v>
      </c>
      <c r="H26">
        <f t="shared" ca="1" si="4"/>
        <v>255732</v>
      </c>
      <c r="I26" t="str">
        <f ca="1">VLOOKUP(RANDBETWEEN(1,60),Lookups!$A:$R,12,FALSE)</f>
        <v>COE</v>
      </c>
      <c r="J26" t="str">
        <f ca="1">VLOOKUP(RANDBETWEEN(1,4),Lookups!A:R,13,FALSE)</f>
        <v>BLUE BIRDS</v>
      </c>
      <c r="K26" t="s">
        <v>113</v>
      </c>
      <c r="L26" s="1">
        <v>42551</v>
      </c>
      <c r="M26">
        <f t="shared" ca="1" si="5"/>
        <v>403032</v>
      </c>
      <c r="N26">
        <f ca="1">VLOOKUP(RANDBETWEEN(1,212),Lookups!$A:$R,11,FALSE)</f>
        <v>0</v>
      </c>
      <c r="O26" t="str">
        <f ca="1">INDEX(Lookups!O:O,RANDBETWEEN(2,9),1)</f>
        <v>L</v>
      </c>
      <c r="P26">
        <f ca="1">INDEX(Lookups!P:P,RANDBETWEEN(2,82),1)</f>
        <v>57</v>
      </c>
      <c r="Q26" t="s">
        <v>113</v>
      </c>
      <c r="R26" t="s">
        <v>113</v>
      </c>
      <c r="S26" t="s">
        <v>113</v>
      </c>
      <c r="T26" t="str">
        <f ca="1">INDEX(Lookups!E:E,RANDBETWEEN(2,10),1)</f>
        <v>Headquarters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35814</v>
      </c>
      <c r="AD26" t="str">
        <f t="shared" ca="1" si="9"/>
        <v>Headquarters</v>
      </c>
      <c r="AE26" t="s">
        <v>113</v>
      </c>
      <c r="AF26" t="s">
        <v>113</v>
      </c>
      <c r="AG26" t="s">
        <v>113</v>
      </c>
      <c r="AH26" t="str">
        <f t="shared" ca="1" si="10"/>
        <v>2014-11-21</v>
      </c>
      <c r="AI26" t="str">
        <f t="shared" ca="1" si="11"/>
        <v>2016-01-29</v>
      </c>
      <c r="AJ26" t="str">
        <f t="shared" ca="1" si="12"/>
        <v>2017-01-28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28250431</v>
      </c>
      <c r="C27">
        <f t="shared" ca="1" si="1"/>
        <v>1996</v>
      </c>
      <c r="D27" t="s">
        <v>16</v>
      </c>
      <c r="E27" t="s">
        <v>173</v>
      </c>
      <c r="F27" t="str">
        <f t="shared" ca="1" si="2"/>
        <v>VIP-157638</v>
      </c>
      <c r="G27">
        <f t="shared" ca="1" si="3"/>
        <v>41067</v>
      </c>
      <c r="H27">
        <f t="shared" ca="1" si="4"/>
        <v>114477</v>
      </c>
      <c r="I27">
        <f ca="1">VLOOKUP(RANDBETWEEN(1,60),Lookups!$A:$R,12,FALSE)</f>
        <v>300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5"/>
        <v>497844</v>
      </c>
      <c r="N27">
        <f ca="1">VLOOKUP(RANDBETWEEN(1,212),Lookups!$A:$R,11,FALSE)</f>
        <v>0</v>
      </c>
      <c r="O27" t="str">
        <f ca="1">INDEX(Lookups!O:O,RANDBETWEEN(2,9),1)</f>
        <v>G</v>
      </c>
      <c r="P27">
        <f ca="1">INDEX(Lookups!P:P,RANDBETWEEN(2,82),1)</f>
        <v>63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30309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2015-01-06</v>
      </c>
      <c r="AI27" t="str">
        <f t="shared" ca="1" si="11"/>
        <v>2016-01-27</v>
      </c>
      <c r="AJ27" t="str">
        <f t="shared" ca="1" si="12"/>
        <v>2017-01-26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29119671</v>
      </c>
      <c r="C28">
        <f t="shared" ca="1" si="1"/>
        <v>2014</v>
      </c>
      <c r="D28" t="s">
        <v>16</v>
      </c>
      <c r="E28" t="s">
        <v>173</v>
      </c>
      <c r="F28" t="str">
        <f t="shared" ca="1" si="2"/>
        <v>VIP-303993</v>
      </c>
      <c r="G28">
        <f t="shared" ca="1" si="3"/>
        <v>19768</v>
      </c>
      <c r="H28">
        <f t="shared" ca="1" si="4"/>
        <v>305629</v>
      </c>
      <c r="I28" t="str">
        <f ca="1">VLOOKUP(RANDBETWEEN(1,60),Lookups!$A:$R,12,FALSE)</f>
        <v>DYNAMIC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5"/>
        <v>393018</v>
      </c>
      <c r="N28">
        <f ca="1">VLOOKUP(RANDBETWEEN(1,212),Lookups!$A:$R,11,FALSE)</f>
        <v>0</v>
      </c>
      <c r="O28" t="str">
        <f ca="1">INDEX(Lookups!O:O,RANDBETWEEN(2,9),1)</f>
        <v>D</v>
      </c>
      <c r="P28">
        <f ca="1">INDEX(Lookups!P:P,RANDBETWEEN(2,82),1)</f>
        <v>32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Archived</v>
      </c>
      <c r="AA28" t="s">
        <v>113</v>
      </c>
      <c r="AB28" t="s">
        <v>113</v>
      </c>
      <c r="AC28">
        <f t="shared" ca="1" si="8"/>
        <v>39777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2014-05-13</v>
      </c>
      <c r="AI28" t="str">
        <f t="shared" ca="1" si="11"/>
        <v>2016-11-29</v>
      </c>
      <c r="AJ28" t="str">
        <f t="shared" ca="1" si="12"/>
        <v>2017-11-29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46704858</v>
      </c>
      <c r="C29">
        <f t="shared" ca="1" si="1"/>
        <v>2014</v>
      </c>
      <c r="D29" t="s">
        <v>16</v>
      </c>
      <c r="E29" t="s">
        <v>173</v>
      </c>
      <c r="F29" t="str">
        <f t="shared" ca="1" si="2"/>
        <v>VIP-151727</v>
      </c>
      <c r="G29">
        <f t="shared" ca="1" si="3"/>
        <v>43670</v>
      </c>
      <c r="H29">
        <f t="shared" ca="1" si="4"/>
        <v>457760</v>
      </c>
      <c r="I29" t="str">
        <f ca="1">VLOOKUP(RANDBETWEEN(1,60),Lookups!$A:$R,12,FALSE)</f>
        <v>BUS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5"/>
        <v>199315</v>
      </c>
      <c r="N29">
        <f ca="1">VLOOKUP(RANDBETWEEN(1,212),Lookups!$A:$R,11,FALSE)</f>
        <v>0</v>
      </c>
      <c r="O29" t="str">
        <f ca="1">INDEX(Lookups!O:O,RANDBETWEEN(2,9),1)</f>
        <v>P</v>
      </c>
      <c r="P29">
        <f ca="1">INDEX(Lookups!P:P,RANDBETWEEN(2,82),1)</f>
        <v>41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25244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2016-06-28</v>
      </c>
      <c r="AI29" t="str">
        <f t="shared" ca="1" si="11"/>
        <v>2016-08-26</v>
      </c>
      <c r="AJ29" t="str">
        <f t="shared" ca="1" si="12"/>
        <v>2017-08-26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17840171</v>
      </c>
      <c r="C30">
        <f t="shared" ca="1" si="1"/>
        <v>1991</v>
      </c>
      <c r="D30" t="s">
        <v>16</v>
      </c>
      <c r="E30" t="s">
        <v>173</v>
      </c>
      <c r="F30" t="str">
        <f t="shared" ca="1" si="2"/>
        <v>VIP-370760</v>
      </c>
      <c r="G30">
        <f t="shared" ca="1" si="3"/>
        <v>45368</v>
      </c>
      <c r="H30">
        <f t="shared" ca="1" si="4"/>
        <v>468944</v>
      </c>
      <c r="I30" t="str">
        <f ca="1">VLOOKUP(RANDBETWEEN(1,60),Lookups!$A:$R,12,FALSE)</f>
        <v>DART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399201</v>
      </c>
      <c r="N30">
        <f ca="1">VLOOKUP(RANDBETWEEN(1,212),Lookups!$A:$R,11,FALSE)</f>
        <v>0</v>
      </c>
      <c r="O30" t="str">
        <f ca="1">INDEX(Lookups!O:O,RANDBETWEEN(2,9),1)</f>
        <v>H</v>
      </c>
      <c r="P30">
        <f ca="1">INDEX(Lookups!P:P,RANDBETWEEN(2,82),1)</f>
        <v>78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43285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2015-02-04</v>
      </c>
      <c r="AI30" t="str">
        <f t="shared" ca="1" si="11"/>
        <v>2016-05-16</v>
      </c>
      <c r="AJ30" t="str">
        <f t="shared" ca="1" si="12"/>
        <v>2017-05-16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31237772</v>
      </c>
      <c r="C31">
        <f t="shared" ca="1" si="1"/>
        <v>2005</v>
      </c>
      <c r="D31" t="s">
        <v>16</v>
      </c>
      <c r="E31" t="s">
        <v>173</v>
      </c>
      <c r="F31" t="str">
        <f t="shared" ca="1" si="2"/>
        <v>VIP-135626</v>
      </c>
      <c r="G31">
        <f t="shared" ca="1" si="3"/>
        <v>25877</v>
      </c>
      <c r="H31">
        <f t="shared" ca="1" si="4"/>
        <v>149912</v>
      </c>
      <c r="I31">
        <f ca="1">VLOOKUP(RANDBETWEEN(1,60),Lookups!$A:$R,12,FALSE)</f>
        <v>121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5"/>
        <v>320557</v>
      </c>
      <c r="N31">
        <f ca="1">VLOOKUP(RANDBETWEEN(1,212),Lookups!$A:$R,11,FALSE)</f>
        <v>0</v>
      </c>
      <c r="O31" t="str">
        <f ca="1">INDEX(Lookups!O:O,RANDBETWEEN(2,9),1)</f>
        <v>P</v>
      </c>
      <c r="P31">
        <f ca="1">INDEX(Lookups!P:P,RANDBETWEEN(2,82),1)</f>
        <v>80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15759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2016-10-12</v>
      </c>
      <c r="AI31" t="str">
        <f t="shared" ca="1" si="11"/>
        <v>2016-12-05</v>
      </c>
      <c r="AJ31" t="str">
        <f t="shared" ca="1" si="12"/>
        <v>2017-12-05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23084753</v>
      </c>
      <c r="C32">
        <f t="shared" ca="1" si="1"/>
        <v>1996</v>
      </c>
      <c r="D32" t="s">
        <v>16</v>
      </c>
      <c r="E32" t="s">
        <v>173</v>
      </c>
      <c r="F32" t="str">
        <f t="shared" ca="1" si="2"/>
        <v>VIP-421855</v>
      </c>
      <c r="G32">
        <f t="shared" ca="1" si="3"/>
        <v>23372</v>
      </c>
      <c r="H32">
        <f t="shared" ca="1" si="4"/>
        <v>325663</v>
      </c>
      <c r="I32" t="str">
        <f ca="1">VLOOKUP(RANDBETWEEN(1,60),Lookups!$A:$R,12,FALSE)</f>
        <v>102DL3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5"/>
        <v>217698</v>
      </c>
      <c r="N32">
        <f ca="1">VLOOKUP(RANDBETWEEN(1,212),Lookups!$A:$R,11,FALSE)</f>
        <v>0</v>
      </c>
      <c r="O32" t="str">
        <f ca="1">INDEX(Lookups!O:O,RANDBETWEEN(2,9),1)</f>
        <v>L</v>
      </c>
      <c r="P32">
        <f ca="1">INDEX(Lookups!P:P,RANDBETWEEN(2,82),1)</f>
        <v>17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Archived</v>
      </c>
      <c r="AA32" t="s">
        <v>113</v>
      </c>
      <c r="AB32" t="s">
        <v>113</v>
      </c>
      <c r="AC32">
        <f t="shared" ca="1" si="8"/>
        <v>28791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2013-09-18</v>
      </c>
      <c r="AI32" t="str">
        <f t="shared" ca="1" si="11"/>
        <v>2016-07-14</v>
      </c>
      <c r="AJ32" t="str">
        <f t="shared" ca="1" si="12"/>
        <v>2017-07-14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28365405</v>
      </c>
      <c r="C33">
        <f t="shared" ca="1" si="1"/>
        <v>2016</v>
      </c>
      <c r="D33" t="s">
        <v>16</v>
      </c>
      <c r="E33" t="s">
        <v>173</v>
      </c>
      <c r="F33" t="str">
        <f t="shared" ca="1" si="2"/>
        <v>VIP-491080</v>
      </c>
      <c r="G33">
        <f t="shared" ca="1" si="3"/>
        <v>13590</v>
      </c>
      <c r="H33">
        <f t="shared" ca="1" si="4"/>
        <v>373967</v>
      </c>
      <c r="I33">
        <f ca="1">VLOOKUP(RANDBETWEEN(1,60),Lookups!$A:$R,12,FALSE)</f>
        <v>4500</v>
      </c>
      <c r="J33" t="str">
        <f ca="1">VLOOKUP(RANDBETWEEN(1,4),Lookups!A:R,13,FALSE)</f>
        <v>ADL</v>
      </c>
      <c r="K33" t="s">
        <v>113</v>
      </c>
      <c r="L33" s="1">
        <v>42551</v>
      </c>
      <c r="M33">
        <f t="shared" ca="1" si="5"/>
        <v>242176</v>
      </c>
      <c r="N33">
        <f ca="1">VLOOKUP(RANDBETWEEN(1,212),Lookups!$A:$R,11,FALSE)</f>
        <v>0</v>
      </c>
      <c r="O33" t="str">
        <f ca="1">INDEX(Lookups!O:O,RANDBETWEEN(2,9),1)</f>
        <v>P</v>
      </c>
      <c r="P33">
        <f ca="1">INDEX(Lookups!P:P,RANDBETWEEN(2,82),1)</f>
        <v>57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45414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2015-04-02</v>
      </c>
      <c r="AI33" t="str">
        <f t="shared" ca="1" si="11"/>
        <v>2016-03-20</v>
      </c>
      <c r="AJ33" t="str">
        <f t="shared" ca="1" si="12"/>
        <v>2017-03-20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21791642</v>
      </c>
      <c r="C34">
        <f t="shared" ca="1" si="1"/>
        <v>2006</v>
      </c>
      <c r="D34" t="s">
        <v>16</v>
      </c>
      <c r="E34" t="s">
        <v>173</v>
      </c>
      <c r="F34" t="str">
        <f t="shared" ca="1" si="2"/>
        <v>VIP-276120</v>
      </c>
      <c r="G34">
        <f t="shared" ca="1" si="3"/>
        <v>21924</v>
      </c>
      <c r="H34">
        <f t="shared" ca="1" si="4"/>
        <v>463166</v>
      </c>
      <c r="I34">
        <f ca="1">VLOOKUP(RANDBETWEEN(1,60),Lookups!$A:$R,12,FALSE)</f>
        <v>3800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5"/>
        <v>130561</v>
      </c>
      <c r="N34">
        <f ca="1">VLOOKUP(RANDBETWEEN(1,212),Lookups!$A:$R,11,FALSE)</f>
        <v>0</v>
      </c>
      <c r="O34" t="str">
        <f ca="1">INDEX(Lookups!O:O,RANDBETWEEN(2,9),1)</f>
        <v>H</v>
      </c>
      <c r="P34">
        <f ca="1">INDEX(Lookups!P:P,RANDBETWEEN(2,82),1)</f>
        <v>23</v>
      </c>
      <c r="Q34" t="s">
        <v>113</v>
      </c>
      <c r="R34" t="s">
        <v>113</v>
      </c>
      <c r="S34" t="s">
        <v>113</v>
      </c>
      <c r="T34" t="str">
        <f ca="1">INDEX(Lookups!E:E,RANDBETWEEN(2,10),1)</f>
        <v>Bus Yard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14508</v>
      </c>
      <c r="AD34" t="str">
        <f t="shared" ca="1" si="9"/>
        <v>Bus Yard</v>
      </c>
      <c r="AE34" t="s">
        <v>113</v>
      </c>
      <c r="AF34" t="s">
        <v>113</v>
      </c>
      <c r="AG34" t="s">
        <v>113</v>
      </c>
      <c r="AH34" t="str">
        <f t="shared" ca="1" si="10"/>
        <v>2015-02-28</v>
      </c>
      <c r="AI34" t="str">
        <f t="shared" ca="1" si="11"/>
        <v>2016-12-31</v>
      </c>
      <c r="AJ34" t="str">
        <f t="shared" ca="1" si="12"/>
        <v>2017-12-31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21004741</v>
      </c>
      <c r="C35">
        <f t="shared" ca="1" si="1"/>
        <v>1993</v>
      </c>
      <c r="D35" t="s">
        <v>16</v>
      </c>
      <c r="E35" t="s">
        <v>173</v>
      </c>
      <c r="F35" t="str">
        <f t="shared" ca="1" si="2"/>
        <v>VIP-477347</v>
      </c>
      <c r="G35">
        <f t="shared" ca="1" si="3"/>
        <v>39067</v>
      </c>
      <c r="H35">
        <f t="shared" ca="1" si="4"/>
        <v>161275</v>
      </c>
      <c r="I35" t="str">
        <f ca="1">VLOOKUP(RANDBETWEEN(1,60),Lookups!$A:$R,12,FALSE)</f>
        <v>B7T042HD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5"/>
        <v>421756</v>
      </c>
      <c r="N35">
        <f ca="1">VLOOKUP(RANDBETWEEN(1,212),Lookups!$A:$R,11,FALSE)</f>
        <v>0</v>
      </c>
      <c r="O35" t="str">
        <f ca="1">INDEX(Lookups!O:O,RANDBETWEEN(2,9),1)</f>
        <v>H</v>
      </c>
      <c r="P35">
        <f ca="1">INDEX(Lookups!P:P,RANDBETWEEN(2,82),1)</f>
        <v>14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46615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2014-02-04</v>
      </c>
      <c r="AI35" t="str">
        <f t="shared" ca="1" si="11"/>
        <v>2016-11-30</v>
      </c>
      <c r="AJ35" t="str">
        <f t="shared" ca="1" si="12"/>
        <v>2017-11-30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20677274</v>
      </c>
      <c r="C36">
        <f t="shared" ca="1" si="1"/>
        <v>2004</v>
      </c>
      <c r="D36" t="s">
        <v>16</v>
      </c>
      <c r="E36" t="s">
        <v>173</v>
      </c>
      <c r="F36" t="str">
        <f t="shared" ca="1" si="2"/>
        <v>VIP-454912</v>
      </c>
      <c r="G36">
        <f t="shared" ca="1" si="3"/>
        <v>14667</v>
      </c>
      <c r="H36">
        <f t="shared" ca="1" si="4"/>
        <v>308620</v>
      </c>
      <c r="I36" t="str">
        <f ca="1">VLOOKUP(RANDBETWEEN(1,60),Lookups!$A:$R,12,FALSE)</f>
        <v>3200C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5"/>
        <v>472907</v>
      </c>
      <c r="N36">
        <f ca="1">VLOOKUP(RANDBETWEEN(1,212),Lookups!$A:$R,11,FALSE)</f>
        <v>0</v>
      </c>
      <c r="O36" t="str">
        <f ca="1">INDEX(Lookups!O:O,RANDBETWEEN(2,9),1)</f>
        <v>L</v>
      </c>
      <c r="P36">
        <f ca="1">INDEX(Lookups!P:P,RANDBETWEEN(2,82),1)</f>
        <v>36</v>
      </c>
      <c r="Q36" t="s">
        <v>113</v>
      </c>
      <c r="R36" t="s">
        <v>113</v>
      </c>
      <c r="S36" t="s">
        <v>113</v>
      </c>
      <c r="T36" t="str">
        <f ca="1">INDEX(Lookups!E:E,RANDBETWEEN(2,10),1)</f>
        <v>Headquarters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22559</v>
      </c>
      <c r="AD36" t="str">
        <f t="shared" ca="1" si="9"/>
        <v>Headquarters</v>
      </c>
      <c r="AE36" t="s">
        <v>113</v>
      </c>
      <c r="AF36" t="s">
        <v>113</v>
      </c>
      <c r="AG36" t="s">
        <v>113</v>
      </c>
      <c r="AH36" t="str">
        <f t="shared" ca="1" si="10"/>
        <v>2016-08-23</v>
      </c>
      <c r="AI36" t="str">
        <f t="shared" ca="1" si="11"/>
        <v>2016-01-18</v>
      </c>
      <c r="AJ36" t="str">
        <f t="shared" ca="1" si="12"/>
        <v>2017-01-17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19390974</v>
      </c>
      <c r="C37">
        <f t="shared" ca="1" si="1"/>
        <v>2007</v>
      </c>
      <c r="D37" t="s">
        <v>16</v>
      </c>
      <c r="E37" t="s">
        <v>173</v>
      </c>
      <c r="F37" t="str">
        <f t="shared" ca="1" si="2"/>
        <v>VIP-296530</v>
      </c>
      <c r="G37">
        <f t="shared" ca="1" si="3"/>
        <v>38728</v>
      </c>
      <c r="H37">
        <f t="shared" ca="1" si="4"/>
        <v>211669</v>
      </c>
      <c r="I37" t="str">
        <f ca="1">VLOOKUP(RANDBETWEEN(1,60),Lookups!$A:$R,12,FALSE)</f>
        <v>C300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364298</v>
      </c>
      <c r="N37">
        <f ca="1">VLOOKUP(RANDBETWEEN(1,212),Lookups!$A:$R,11,FALSE)</f>
        <v>0</v>
      </c>
      <c r="O37" t="str">
        <f ca="1">INDEX(Lookups!O:O,RANDBETWEEN(2,9),1)</f>
        <v>S</v>
      </c>
      <c r="P37">
        <f ca="1">INDEX(Lookups!P:P,RANDBETWEEN(2,82),1)</f>
        <v>31</v>
      </c>
      <c r="Q37" t="s">
        <v>113</v>
      </c>
      <c r="R37" t="s">
        <v>113</v>
      </c>
      <c r="S37" t="s">
        <v>113</v>
      </c>
      <c r="T37" t="str">
        <f ca="1">INDEX(Lookups!E:E,RANDBETWEEN(2,10),1)</f>
        <v>Headquarters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36212</v>
      </c>
      <c r="AD37" t="str">
        <f t="shared" ca="1" si="9"/>
        <v>Headquarters</v>
      </c>
      <c r="AE37" t="s">
        <v>113</v>
      </c>
      <c r="AF37" t="s">
        <v>113</v>
      </c>
      <c r="AG37" t="s">
        <v>113</v>
      </c>
      <c r="AH37" t="str">
        <f t="shared" ca="1" si="10"/>
        <v>2014-10-27</v>
      </c>
      <c r="AI37" t="str">
        <f t="shared" ca="1" si="11"/>
        <v>2016-06-23</v>
      </c>
      <c r="AJ37" t="str">
        <f t="shared" ca="1" si="12"/>
        <v>2017-06-23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30498036</v>
      </c>
      <c r="C38">
        <f t="shared" ca="1" si="1"/>
        <v>2005</v>
      </c>
      <c r="D38" t="s">
        <v>16</v>
      </c>
      <c r="E38" t="s">
        <v>173</v>
      </c>
      <c r="F38" t="str">
        <f t="shared" ca="1" si="2"/>
        <v>VIP-386312</v>
      </c>
      <c r="G38">
        <f t="shared" ca="1" si="3"/>
        <v>32668</v>
      </c>
      <c r="H38">
        <f t="shared" ca="1" si="4"/>
        <v>394298</v>
      </c>
      <c r="I38">
        <f ca="1">VLOOKUP(RANDBETWEEN(1,60),Lookups!$A:$R,12,FALSE)</f>
        <v>2145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5"/>
        <v>192545</v>
      </c>
      <c r="N38" t="str">
        <f ca="1">VLOOKUP(RANDBETWEEN(1,212),Lookups!$A:$R,11,FALSE)</f>
        <v>250-764-5537</v>
      </c>
      <c r="O38" t="str">
        <f ca="1">INDEX(Lookups!O:O,RANDBETWEEN(2,9),1)</f>
        <v>S</v>
      </c>
      <c r="P38">
        <f ca="1">INDEX(Lookups!P:P,RANDBETWEEN(2,82),1)</f>
        <v>47</v>
      </c>
      <c r="Q38" t="s">
        <v>113</v>
      </c>
      <c r="R38" t="s">
        <v>113</v>
      </c>
      <c r="S38" t="s">
        <v>113</v>
      </c>
      <c r="T38" t="str">
        <f ca="1">INDEX(Lookups!E:E,RANDBETWEEN(2,10),1)</f>
        <v>Bus Yard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48405</v>
      </c>
      <c r="AD38" t="str">
        <f t="shared" ca="1" si="9"/>
        <v>Bus Yard</v>
      </c>
      <c r="AE38" t="s">
        <v>113</v>
      </c>
      <c r="AF38" t="s">
        <v>113</v>
      </c>
      <c r="AG38" t="s">
        <v>113</v>
      </c>
      <c r="AH38" t="str">
        <f t="shared" ca="1" si="10"/>
        <v>2015-11-13</v>
      </c>
      <c r="AI38" t="str">
        <f t="shared" ca="1" si="11"/>
        <v>2017-01-07</v>
      </c>
      <c r="AJ38" t="str">
        <f t="shared" ca="1" si="12"/>
        <v>2018-01-07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24412566</v>
      </c>
      <c r="C39">
        <f t="shared" ca="1" si="1"/>
        <v>2015</v>
      </c>
      <c r="D39" t="s">
        <v>16</v>
      </c>
      <c r="E39" t="s">
        <v>173</v>
      </c>
      <c r="F39" t="str">
        <f t="shared" ca="1" si="2"/>
        <v>VIP-104150</v>
      </c>
      <c r="G39">
        <f t="shared" ca="1" si="3"/>
        <v>39356</v>
      </c>
      <c r="H39">
        <f t="shared" ca="1" si="4"/>
        <v>322281</v>
      </c>
      <c r="I39" t="str">
        <f ca="1">VLOOKUP(RANDBETWEEN(1,60),Lookups!$A:$R,12,FALSE)</f>
        <v>AAFC39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5"/>
        <v>140391</v>
      </c>
      <c r="N39">
        <f ca="1">VLOOKUP(RANDBETWEEN(1,212),Lookups!$A:$R,11,FALSE)</f>
        <v>0</v>
      </c>
      <c r="O39" t="str">
        <f ca="1">INDEX(Lookups!O:O,RANDBETWEEN(2,9),1)</f>
        <v>D</v>
      </c>
      <c r="P39">
        <f ca="1">INDEX(Lookups!P:P,RANDBETWEEN(2,82),1)</f>
        <v>73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38829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2014-08-27</v>
      </c>
      <c r="AI39" t="str">
        <f t="shared" ca="1" si="11"/>
        <v>2016-04-23</v>
      </c>
      <c r="AJ39" t="str">
        <f t="shared" ca="1" si="12"/>
        <v>2017-04-23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15490381</v>
      </c>
      <c r="C40">
        <f t="shared" ca="1" si="1"/>
        <v>2013</v>
      </c>
      <c r="D40" t="s">
        <v>16</v>
      </c>
      <c r="E40" t="s">
        <v>173</v>
      </c>
      <c r="F40" t="str">
        <f t="shared" ca="1" si="2"/>
        <v>VIP-188145</v>
      </c>
      <c r="G40">
        <f t="shared" ca="1" si="3"/>
        <v>33237</v>
      </c>
      <c r="H40">
        <f t="shared" ca="1" si="4"/>
        <v>203190</v>
      </c>
      <c r="I40" t="str">
        <f ca="1">VLOOKUP(RANDBETWEEN(1,60),Lookups!$A:$R,12,FALSE)</f>
        <v>3200C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5"/>
        <v>358432</v>
      </c>
      <c r="N40">
        <f ca="1">VLOOKUP(RANDBETWEEN(1,212),Lookups!$A:$R,11,FALSE)</f>
        <v>0</v>
      </c>
      <c r="O40" t="str">
        <f ca="1">INDEX(Lookups!O:O,RANDBETWEEN(2,9),1)</f>
        <v>N</v>
      </c>
      <c r="P40">
        <f ca="1">INDEX(Lookups!P:P,RANDBETWEEN(2,82),1)</f>
        <v>12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21955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2013-11-17</v>
      </c>
      <c r="AI40" t="str">
        <f t="shared" ca="1" si="11"/>
        <v>2016-09-06</v>
      </c>
      <c r="AJ40" t="str">
        <f t="shared" ca="1" si="12"/>
        <v>2017-09-06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40672855</v>
      </c>
      <c r="C41">
        <f t="shared" ca="1" si="1"/>
        <v>1993</v>
      </c>
      <c r="D41" t="s">
        <v>16</v>
      </c>
      <c r="E41" t="s">
        <v>173</v>
      </c>
      <c r="F41" t="str">
        <f t="shared" ca="1" si="2"/>
        <v>VIP-277639</v>
      </c>
      <c r="G41">
        <f t="shared" ca="1" si="3"/>
        <v>39191</v>
      </c>
      <c r="H41">
        <f t="shared" ca="1" si="4"/>
        <v>283182</v>
      </c>
      <c r="I41" t="str">
        <f ca="1">VLOOKUP(RANDBETWEEN(1,60),Lookups!$A:$R,12,FALSE)</f>
        <v>DL3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202129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3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19199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2016-06-01</v>
      </c>
      <c r="AI41" t="str">
        <f t="shared" ca="1" si="11"/>
        <v>2016-02-25</v>
      </c>
      <c r="AJ41" t="str">
        <f t="shared" ca="1" si="12"/>
        <v>2017-02-24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45676809</v>
      </c>
      <c r="C42">
        <f t="shared" ca="1" si="1"/>
        <v>2008</v>
      </c>
      <c r="D42" t="s">
        <v>16</v>
      </c>
      <c r="E42" t="s">
        <v>173</v>
      </c>
      <c r="F42" t="str">
        <f t="shared" ca="1" si="2"/>
        <v>VIP-253448</v>
      </c>
      <c r="G42">
        <f t="shared" ca="1" si="3"/>
        <v>40735</v>
      </c>
      <c r="H42">
        <f t="shared" ca="1" si="4"/>
        <v>192920</v>
      </c>
      <c r="I42" t="str">
        <f ca="1">VLOOKUP(RANDBETWEEN(1,60),Lookups!$A:$R,12,FALSE)</f>
        <v>DART</v>
      </c>
      <c r="J42" t="str">
        <f ca="1">VLOOKUP(RANDBETWEEN(1,4),Lookups!A:R,13,FALSE)</f>
        <v>BLUE BIRDS</v>
      </c>
      <c r="K42" t="s">
        <v>113</v>
      </c>
      <c r="L42" s="1">
        <v>42551</v>
      </c>
      <c r="M42">
        <f t="shared" ca="1" si="5"/>
        <v>186652</v>
      </c>
      <c r="N42">
        <f ca="1">VLOOKUP(RANDBETWEEN(1,212),Lookups!$A:$R,11,FALSE)</f>
        <v>0</v>
      </c>
      <c r="O42" t="str">
        <f ca="1">INDEX(Lookups!O:O,RANDBETWEEN(2,9),1)</f>
        <v>S</v>
      </c>
      <c r="P42">
        <f ca="1">INDEX(Lookups!P:P,RANDBETWEEN(2,82),1)</f>
        <v>49</v>
      </c>
      <c r="Q42" t="s">
        <v>113</v>
      </c>
      <c r="R42" t="s">
        <v>113</v>
      </c>
      <c r="S42" t="s">
        <v>113</v>
      </c>
      <c r="T42" t="str">
        <f ca="1">INDEX(Lookups!E:E,RANDBETWEEN(2,10),1)</f>
        <v>Bus Yard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30255</v>
      </c>
      <c r="AD42" t="str">
        <f t="shared" ca="1" si="9"/>
        <v>Bus Yard</v>
      </c>
      <c r="AE42" t="s">
        <v>113</v>
      </c>
      <c r="AF42" t="s">
        <v>113</v>
      </c>
      <c r="AG42" t="s">
        <v>113</v>
      </c>
      <c r="AH42" t="str">
        <f t="shared" ca="1" si="10"/>
        <v>2016-09-06</v>
      </c>
      <c r="AI42" t="str">
        <f t="shared" ca="1" si="11"/>
        <v>2016-04-01</v>
      </c>
      <c r="AJ42" t="str">
        <f t="shared" ca="1" si="12"/>
        <v>2017-04-01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11925765</v>
      </c>
      <c r="C43">
        <f t="shared" ca="1" si="1"/>
        <v>2014</v>
      </c>
      <c r="D43" t="s">
        <v>16</v>
      </c>
      <c r="E43" t="s">
        <v>173</v>
      </c>
      <c r="F43" t="str">
        <f t="shared" ca="1" si="2"/>
        <v>VIP-372989</v>
      </c>
      <c r="G43">
        <f t="shared" ca="1" si="3"/>
        <v>28886</v>
      </c>
      <c r="H43">
        <f t="shared" ca="1" si="4"/>
        <v>463294</v>
      </c>
      <c r="I43" t="str">
        <f ca="1">VLOOKUP(RANDBETWEEN(1,60),Lookups!$A:$R,12,FALSE)</f>
        <v>102 D-3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5"/>
        <v>443108</v>
      </c>
      <c r="N43">
        <f ca="1">VLOOKUP(RANDBETWEEN(1,212),Lookups!$A:$R,11,FALSE)</f>
        <v>0</v>
      </c>
      <c r="O43" t="str">
        <f ca="1">INDEX(Lookups!O:O,RANDBETWEEN(2,9),1)</f>
        <v>D</v>
      </c>
      <c r="P43">
        <f ca="1">INDEX(Lookups!P:P,RANDBETWEEN(2,82),1)</f>
        <v>66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17143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2014-10-19</v>
      </c>
      <c r="AI43" t="str">
        <f t="shared" ca="1" si="11"/>
        <v>2016-12-24</v>
      </c>
      <c r="AJ43" t="str">
        <f t="shared" ca="1" si="12"/>
        <v>2017-12-24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23594651</v>
      </c>
      <c r="C44">
        <f t="shared" ca="1" si="1"/>
        <v>2014</v>
      </c>
      <c r="D44" t="s">
        <v>16</v>
      </c>
      <c r="E44" t="s">
        <v>173</v>
      </c>
      <c r="F44" t="str">
        <f t="shared" ca="1" si="2"/>
        <v>VIP-112672</v>
      </c>
      <c r="G44">
        <f t="shared" ca="1" si="3"/>
        <v>24177</v>
      </c>
      <c r="H44">
        <f t="shared" ca="1" si="4"/>
        <v>429320</v>
      </c>
      <c r="I44" t="str">
        <f ca="1">VLOOKUP(RANDBETWEEN(1,60),Lookups!$A:$R,12,FALSE)</f>
        <v>102DL3</v>
      </c>
      <c r="J44" t="str">
        <f ca="1">VLOOKUP(RANDBETWEEN(1,4),Lookups!A:R,13,FALSE)</f>
        <v>BBIRD</v>
      </c>
      <c r="K44" t="s">
        <v>113</v>
      </c>
      <c r="L44" s="1">
        <v>42551</v>
      </c>
      <c r="M44">
        <f t="shared" ca="1" si="5"/>
        <v>186113</v>
      </c>
      <c r="N44">
        <f ca="1">VLOOKUP(RANDBETWEEN(1,212),Lookups!$A:$R,11,FALSE)</f>
        <v>0</v>
      </c>
      <c r="O44" t="str">
        <f ca="1">INDEX(Lookups!O:O,RANDBETWEEN(2,9),1)</f>
        <v>N</v>
      </c>
      <c r="P44">
        <f ca="1">INDEX(Lookups!P:P,RANDBETWEEN(2,82),1)</f>
        <v>8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16871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2016-08-09</v>
      </c>
      <c r="AI44" t="str">
        <f t="shared" ca="1" si="11"/>
        <v>2016-04-20</v>
      </c>
      <c r="AJ44" t="str">
        <f t="shared" ca="1" si="12"/>
        <v>2017-04-20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25470642</v>
      </c>
      <c r="C45">
        <f t="shared" ca="1" si="1"/>
        <v>1996</v>
      </c>
      <c r="D45" t="s">
        <v>16</v>
      </c>
      <c r="E45" t="s">
        <v>173</v>
      </c>
      <c r="F45" t="str">
        <f t="shared" ca="1" si="2"/>
        <v>VIP-341322</v>
      </c>
      <c r="G45">
        <f t="shared" ca="1" si="3"/>
        <v>37315</v>
      </c>
      <c r="H45">
        <f t="shared" ca="1" si="4"/>
        <v>281851</v>
      </c>
      <c r="I45" t="str">
        <f ca="1">VLOOKUP(RANDBETWEEN(1,60),Lookups!$A:$R,12,FALSE)</f>
        <v>ALL CANADIAN</v>
      </c>
      <c r="J45" t="str">
        <f ca="1">VLOOKUP(RANDBETWEEN(1,4),Lookups!A:R,13,FALSE)</f>
        <v>BBIRD</v>
      </c>
      <c r="K45" t="s">
        <v>113</v>
      </c>
      <c r="L45" s="1">
        <v>42551</v>
      </c>
      <c r="M45">
        <f t="shared" ca="1" si="5"/>
        <v>230617</v>
      </c>
      <c r="N45">
        <f ca="1">VLOOKUP(RANDBETWEEN(1,212),Lookups!$A:$R,11,FALSE)</f>
        <v>0</v>
      </c>
      <c r="O45" t="str">
        <f ca="1">INDEX(Lookups!O:O,RANDBETWEEN(2,9),1)</f>
        <v>G</v>
      </c>
      <c r="P45">
        <f ca="1">INDEX(Lookups!P:P,RANDBETWEEN(2,82),1)</f>
        <v>29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27917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2014-04-18</v>
      </c>
      <c r="AI45" t="str">
        <f t="shared" ca="1" si="11"/>
        <v>2016-11-25</v>
      </c>
      <c r="AJ45" t="str">
        <f t="shared" ca="1" si="12"/>
        <v>2017-11-25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38459140</v>
      </c>
      <c r="C46">
        <f t="shared" ca="1" si="1"/>
        <v>1999</v>
      </c>
      <c r="D46" t="s">
        <v>16</v>
      </c>
      <c r="E46" t="s">
        <v>173</v>
      </c>
      <c r="F46" t="str">
        <f t="shared" ca="1" si="2"/>
        <v>VIP-178379</v>
      </c>
      <c r="G46">
        <f t="shared" ca="1" si="3"/>
        <v>25506</v>
      </c>
      <c r="H46">
        <f t="shared" ca="1" si="4"/>
        <v>103063</v>
      </c>
      <c r="I46" t="str">
        <f ca="1">VLOOKUP(RANDBETWEEN(1,60),Lookups!$A:$R,12,FALSE)</f>
        <v>102 D-3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5"/>
        <v>370195</v>
      </c>
      <c r="N46">
        <f ca="1">VLOOKUP(RANDBETWEEN(1,212),Lookups!$A:$R,11,FALSE)</f>
        <v>0</v>
      </c>
      <c r="O46" t="str">
        <f ca="1">INDEX(Lookups!O:O,RANDBETWEEN(2,9),1)</f>
        <v>U</v>
      </c>
      <c r="P46">
        <f ca="1">INDEX(Lookups!P:P,RANDBETWEEN(2,82),1)</f>
        <v>60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31569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2016-11-21</v>
      </c>
      <c r="AI46" t="str">
        <f t="shared" ca="1" si="11"/>
        <v>2016-06-13</v>
      </c>
      <c r="AJ46" t="str">
        <f t="shared" ca="1" si="12"/>
        <v>2017-06-13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19657433</v>
      </c>
      <c r="C47">
        <f t="shared" ca="1" si="1"/>
        <v>2017</v>
      </c>
      <c r="D47" t="s">
        <v>16</v>
      </c>
      <c r="E47" t="s">
        <v>173</v>
      </c>
      <c r="F47" t="str">
        <f t="shared" ca="1" si="2"/>
        <v>VIP-285897</v>
      </c>
      <c r="G47">
        <f t="shared" ca="1" si="3"/>
        <v>39826</v>
      </c>
      <c r="H47">
        <f t="shared" ca="1" si="4"/>
        <v>326621</v>
      </c>
      <c r="I47" t="str">
        <f ca="1">VLOOKUP(RANDBETWEEN(1,60),Lookups!$A:$R,12,FALSE)</f>
        <v>DL3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475191</v>
      </c>
      <c r="N47">
        <f ca="1">VLOOKUP(RANDBETWEEN(1,212),Lookups!$A:$R,11,FALSE)</f>
        <v>0</v>
      </c>
      <c r="O47" t="str">
        <f ca="1">INDEX(Lookups!O:O,RANDBETWEEN(2,9),1)</f>
        <v>G</v>
      </c>
      <c r="P47">
        <f ca="1">INDEX(Lookups!P:P,RANDBETWEEN(2,82),1)</f>
        <v>83</v>
      </c>
      <c r="Q47" t="s">
        <v>113</v>
      </c>
      <c r="R47" t="s">
        <v>113</v>
      </c>
      <c r="S47" t="s">
        <v>113</v>
      </c>
      <c r="T47" t="str">
        <f ca="1">INDEX(Lookups!E:E,RANDBETWEEN(2,10),1)</f>
        <v>Field Office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32134</v>
      </c>
      <c r="AD47" t="str">
        <f t="shared" ca="1" si="9"/>
        <v>Field Office</v>
      </c>
      <c r="AE47" t="s">
        <v>113</v>
      </c>
      <c r="AF47" t="s">
        <v>113</v>
      </c>
      <c r="AG47" t="s">
        <v>113</v>
      </c>
      <c r="AH47" t="str">
        <f t="shared" ca="1" si="10"/>
        <v>2016-12-20</v>
      </c>
      <c r="AI47" t="str">
        <f t="shared" ca="1" si="11"/>
        <v>2016-03-02</v>
      </c>
      <c r="AJ47" t="str">
        <f t="shared" ca="1" si="12"/>
        <v>2017-03-02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42223348</v>
      </c>
      <c r="C48">
        <f t="shared" ca="1" si="1"/>
        <v>2011</v>
      </c>
      <c r="D48" t="s">
        <v>16</v>
      </c>
      <c r="E48" t="s">
        <v>173</v>
      </c>
      <c r="F48" t="str">
        <f t="shared" ca="1" si="2"/>
        <v>VIP-465415</v>
      </c>
      <c r="G48">
        <f t="shared" ca="1" si="3"/>
        <v>10964</v>
      </c>
      <c r="H48">
        <f t="shared" ca="1" si="4"/>
        <v>365536</v>
      </c>
      <c r="I48" t="str">
        <f ca="1">VLOOKUP(RANDBETWEEN(1,60),Lookups!$A:$R,12,FALSE)</f>
        <v>DYNAMIC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340217</v>
      </c>
      <c r="N48">
        <f ca="1">VLOOKUP(RANDBETWEEN(1,212),Lookups!$A:$R,11,FALSE)</f>
        <v>0</v>
      </c>
      <c r="O48" t="str">
        <f ca="1">INDEX(Lookups!O:O,RANDBETWEEN(2,9),1)</f>
        <v>U</v>
      </c>
      <c r="P48">
        <f ca="1">INDEX(Lookups!P:P,RANDBETWEEN(2,82),1)</f>
        <v>60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48580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2016-10-05</v>
      </c>
      <c r="AI48" t="str">
        <f t="shared" ca="1" si="11"/>
        <v>2016-10-12</v>
      </c>
      <c r="AJ48" t="str">
        <f t="shared" ca="1" si="12"/>
        <v>2017-10-12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45174602</v>
      </c>
      <c r="C49">
        <f t="shared" ca="1" si="1"/>
        <v>1992</v>
      </c>
      <c r="D49" t="s">
        <v>16</v>
      </c>
      <c r="E49" t="s">
        <v>173</v>
      </c>
      <c r="F49" t="str">
        <f t="shared" ca="1" si="2"/>
        <v>VIP-406690</v>
      </c>
      <c r="G49">
        <f t="shared" ca="1" si="3"/>
        <v>35926</v>
      </c>
      <c r="H49">
        <f t="shared" ca="1" si="4"/>
        <v>419728</v>
      </c>
      <c r="I49" t="str">
        <f ca="1">VLOOKUP(RANDBETWEEN(1,60),Lookups!$A:$R,12,FALSE)</f>
        <v>CE200</v>
      </c>
      <c r="J49" t="str">
        <f ca="1">VLOOKUP(RANDBETWEEN(1,4),Lookups!A:R,13,FALSE)</f>
        <v>BBIRD</v>
      </c>
      <c r="K49" t="s">
        <v>113</v>
      </c>
      <c r="L49" s="1">
        <v>42551</v>
      </c>
      <c r="M49">
        <f t="shared" ca="1" si="5"/>
        <v>422967</v>
      </c>
      <c r="N49">
        <f ca="1">VLOOKUP(RANDBETWEEN(1,212),Lookups!$A:$R,11,FALSE)</f>
        <v>0</v>
      </c>
      <c r="O49" t="str">
        <f ca="1">INDEX(Lookups!O:O,RANDBETWEEN(2,9),1)</f>
        <v>G</v>
      </c>
      <c r="P49">
        <f ca="1">INDEX(Lookups!P:P,RANDBETWEEN(2,82),1)</f>
        <v>24</v>
      </c>
      <c r="Q49" t="s">
        <v>113</v>
      </c>
      <c r="R49" t="s">
        <v>113</v>
      </c>
      <c r="S49" t="s">
        <v>113</v>
      </c>
      <c r="T49" t="str">
        <f ca="1">INDEX(Lookups!E:E,RANDBETWEEN(2,10),1)</f>
        <v>Bus Yard</v>
      </c>
      <c r="U49" t="str">
        <f>INDEX(Names!G:G,60+ROW(),1)</f>
        <v>1198 Cardero St</v>
      </c>
      <c r="V49" t="str">
        <f t="shared" ca="1" si="6"/>
        <v>Unit 100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26627</v>
      </c>
      <c r="AD49" t="str">
        <f t="shared" ca="1" si="9"/>
        <v>Bus Yard</v>
      </c>
      <c r="AE49" t="s">
        <v>113</v>
      </c>
      <c r="AF49" t="s">
        <v>113</v>
      </c>
      <c r="AG49" t="s">
        <v>113</v>
      </c>
      <c r="AH49" t="str">
        <f t="shared" ca="1" si="10"/>
        <v>2013-12-29</v>
      </c>
      <c r="AI49" t="str">
        <f t="shared" ca="1" si="11"/>
        <v>2017-01-06</v>
      </c>
      <c r="AJ49" t="str">
        <f t="shared" ca="1" si="12"/>
        <v>2018-01-06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40808743</v>
      </c>
      <c r="C50">
        <f t="shared" ca="1" si="1"/>
        <v>2003</v>
      </c>
      <c r="D50" t="s">
        <v>16</v>
      </c>
      <c r="E50" t="s">
        <v>173</v>
      </c>
      <c r="F50" t="str">
        <f t="shared" ca="1" si="2"/>
        <v>VIP-357567</v>
      </c>
      <c r="G50">
        <f t="shared" ca="1" si="3"/>
        <v>24010</v>
      </c>
      <c r="H50">
        <f t="shared" ca="1" si="4"/>
        <v>130573</v>
      </c>
      <c r="I50" t="str">
        <f ca="1">VLOOKUP(RANDBETWEEN(1,60),Lookups!$A:$R,12,FALSE)</f>
        <v>CE 200</v>
      </c>
      <c r="J50" t="str">
        <f ca="1">VLOOKUP(RANDBETWEEN(1,4),Lookups!A:R,13,FALSE)</f>
        <v>BBIRD</v>
      </c>
      <c r="K50" t="s">
        <v>113</v>
      </c>
      <c r="L50" s="1">
        <v>42551</v>
      </c>
      <c r="M50">
        <f t="shared" ca="1" si="5"/>
        <v>415133</v>
      </c>
      <c r="N50">
        <f ca="1">VLOOKUP(RANDBETWEEN(1,212),Lookups!$A:$R,11,FALSE)</f>
        <v>0</v>
      </c>
      <c r="O50" t="str">
        <f ca="1">INDEX(Lookups!O:O,RANDBETWEEN(2,9),1)</f>
        <v>S</v>
      </c>
      <c r="P50">
        <f ca="1">INDEX(Lookups!P:P,RANDBETWEEN(2,82),1)</f>
        <v>60</v>
      </c>
      <c r="Q50" t="s">
        <v>113</v>
      </c>
      <c r="R50" t="s">
        <v>113</v>
      </c>
      <c r="S50" t="s">
        <v>113</v>
      </c>
      <c r="T50" t="str">
        <f ca="1">INDEX(Lookups!E:E,RANDBETWEEN(2,10),1)</f>
        <v>Headquarters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28950</v>
      </c>
      <c r="AD50" t="str">
        <f t="shared" ca="1" si="9"/>
        <v>Headquarters</v>
      </c>
      <c r="AE50" t="s">
        <v>113</v>
      </c>
      <c r="AF50" t="s">
        <v>113</v>
      </c>
      <c r="AG50" t="s">
        <v>113</v>
      </c>
      <c r="AH50" t="str">
        <f t="shared" ca="1" si="10"/>
        <v>2015-03-15</v>
      </c>
      <c r="AI50" t="str">
        <f t="shared" ca="1" si="11"/>
        <v>2016-07-30</v>
      </c>
      <c r="AJ50" t="str">
        <f t="shared" ca="1" si="12"/>
        <v>2017-07-30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G19" sqref="G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0" x14ac:dyDescent="0.3">
      <c r="A1" t="s">
        <v>100</v>
      </c>
      <c r="B1" t="s">
        <v>109</v>
      </c>
      <c r="C1" t="s">
        <v>5501</v>
      </c>
      <c r="D1" t="s">
        <v>414</v>
      </c>
      <c r="E1" t="s">
        <v>3015</v>
      </c>
      <c r="F1" t="s">
        <v>6131</v>
      </c>
      <c r="G1" s="5" t="s">
        <v>6130</v>
      </c>
      <c r="H1" t="s">
        <v>6132</v>
      </c>
      <c r="I1" t="s">
        <v>6133</v>
      </c>
      <c r="J1" t="s">
        <v>3016</v>
      </c>
    </row>
    <row r="2" spans="1:10" x14ac:dyDescent="0.3">
      <c r="A2" t="s">
        <v>3017</v>
      </c>
      <c r="B2" t="s">
        <v>1</v>
      </c>
      <c r="C2">
        <f>IF(ISNUMBER(C1),C1+1,200000)</f>
        <v>200000</v>
      </c>
      <c r="D2" t="s">
        <v>5502</v>
      </c>
      <c r="E2" t="str">
        <f ca="1">TEXT(TODAY()-RANDBETWEEN(200,5000),"YYYY-MM-DD")</f>
        <v>2010-10-02</v>
      </c>
      <c r="F2" t="str">
        <f ca="1" xml:space="preserve"> "rg:{'id':'" &amp; G2 &amp; "'}"</f>
        <v>rg:{'id':'49'}</v>
      </c>
      <c r="G2" s="5">
        <f ca="1">VLOOKUP(C2,OwnerContacts.csv!C:E,3,FALSE)</f>
        <v>49</v>
      </c>
      <c r="H2" s="1" t="str">
        <f ca="1">INDEX(ServiceAreas.csv!E:E,RANDBETWEEN(2,30),1)</f>
        <v>Selkirk</v>
      </c>
      <c r="I2">
        <f ca="1">VLOOKUP(H2,ServiceAreas.csv!E:H,4,FALSE)</f>
        <v>200011</v>
      </c>
      <c r="J2" t="str">
        <f ca="1" xml:space="preserve"> "rg:{'id':'" &amp; I2 &amp; "'}"</f>
        <v>rg:{'id':'200011'}</v>
      </c>
    </row>
    <row r="3" spans="1:10" x14ac:dyDescent="0.3">
      <c r="A3" t="s">
        <v>3017</v>
      </c>
      <c r="B3" t="s">
        <v>407</v>
      </c>
      <c r="C3">
        <f t="shared" ref="C3:C19" si="0">IF(ISNUMBER(C2),C2+1,101)</f>
        <v>200001</v>
      </c>
      <c r="D3" t="s">
        <v>2979</v>
      </c>
      <c r="E3" t="str">
        <f ca="1">TEXT(TODAY()-RANDBETWEEN(200,5000),"YYYY-MM-DD")</f>
        <v>2007-09-30</v>
      </c>
      <c r="F3" t="str">
        <f t="shared" ref="F3:F19" ca="1" si="1" xml:space="preserve"> "rg:{'id':'" &amp; G3 &amp; "'}"</f>
        <v>rg:{'id':'22'}</v>
      </c>
      <c r="G3" s="5">
        <f ca="1">VLOOKUP(C3,OwnerContacts.csv!C:E,3,FALSE)</f>
        <v>22</v>
      </c>
      <c r="H3" s="1" t="str">
        <f ca="1">INDEX(ServiceAreas.csv!E:E,RANDBETWEEN(2,30),1)</f>
        <v>Bulkley - Nass</v>
      </c>
      <c r="I3">
        <f ca="1">VLOOKUP(H3,ServiceAreas.csv!E:H,4,FALSE)</f>
        <v>200024</v>
      </c>
      <c r="J3" t="str">
        <f t="shared" ref="J3:J19" ca="1" si="2" xml:space="preserve"> "rg:{'id':'" &amp; I3 &amp; "'}"</f>
        <v>rg:{'id':'200024'}</v>
      </c>
    </row>
    <row r="4" spans="1:10" x14ac:dyDescent="0.3">
      <c r="A4" t="s">
        <v>3017</v>
      </c>
      <c r="B4" t="s">
        <v>7</v>
      </c>
      <c r="C4">
        <f t="shared" si="0"/>
        <v>200002</v>
      </c>
      <c r="D4" t="s">
        <v>2979</v>
      </c>
      <c r="E4" t="str">
        <f t="shared" ref="E4:E19" ca="1" si="3">TEXT(TODAY()-RANDBETWEEN(200,5000),"YYYY-MM-DD")</f>
        <v>2006-10-08</v>
      </c>
      <c r="F4" t="str">
        <f t="shared" ca="1" si="1"/>
        <v>rg:{'id':'11'}</v>
      </c>
      <c r="G4" s="5">
        <f ca="1">VLOOKUP(C4,OwnerContacts.csv!C:E,3,FALSE)</f>
        <v>11</v>
      </c>
      <c r="H4" s="1" t="str">
        <f ca="1">INDEX(ServiceAreas.csv!E:E,RANDBETWEEN(2,30),1)</f>
        <v>Skeena</v>
      </c>
      <c r="I4">
        <f ca="1">VLOOKUP(H4,ServiceAreas.csv!E:H,4,FALSE)</f>
        <v>200025</v>
      </c>
      <c r="J4" t="str">
        <f t="shared" ca="1" si="2"/>
        <v>rg:{'id':'200025'}</v>
      </c>
    </row>
    <row r="5" spans="1:10" x14ac:dyDescent="0.3">
      <c r="A5" t="s">
        <v>3017</v>
      </c>
      <c r="B5" t="s">
        <v>8</v>
      </c>
      <c r="C5">
        <f t="shared" si="0"/>
        <v>200003</v>
      </c>
      <c r="D5" t="s">
        <v>2979</v>
      </c>
      <c r="E5" t="str">
        <f t="shared" ca="1" si="3"/>
        <v>2010-04-04</v>
      </c>
      <c r="F5" t="str">
        <f t="shared" ca="1" si="1"/>
        <v>rg:{'id':'149'}</v>
      </c>
      <c r="G5" s="5">
        <f ca="1">VLOOKUP(C5,OwnerContacts.csv!C:E,3,FALSE)</f>
        <v>149</v>
      </c>
      <c r="H5" s="1" t="str">
        <f ca="1">INDEX(ServiceAreas.csv!E:E,RANDBETWEEN(2,30),1)</f>
        <v>South Island</v>
      </c>
      <c r="I5">
        <f ca="1">VLOOKUP(H5,ServiceAreas.csv!E:H,4,FALSE)</f>
        <v>200000</v>
      </c>
      <c r="J5" t="str">
        <f t="shared" ca="1" si="2"/>
        <v>rg:{'id':'200000'}</v>
      </c>
    </row>
    <row r="6" spans="1:10" x14ac:dyDescent="0.3">
      <c r="A6" t="s">
        <v>3017</v>
      </c>
      <c r="B6" t="s">
        <v>9</v>
      </c>
      <c r="C6">
        <f t="shared" si="0"/>
        <v>200004</v>
      </c>
      <c r="D6" t="s">
        <v>2979</v>
      </c>
      <c r="E6" t="str">
        <f t="shared" ca="1" si="3"/>
        <v>2016-03-22</v>
      </c>
      <c r="F6" t="str">
        <f t="shared" ca="1" si="1"/>
        <v>rg:{'id':'117'}</v>
      </c>
      <c r="G6" s="5">
        <f ca="1">VLOOKUP(C6,OwnerContacts.csv!C:E,3,FALSE)</f>
        <v>117</v>
      </c>
      <c r="H6" s="1" t="str">
        <f ca="1">INDEX(ServiceAreas.csv!E:E,RANDBETWEEN(2,30),1)</f>
        <v>Skeena</v>
      </c>
      <c r="I6">
        <f ca="1">VLOOKUP(H6,ServiceAreas.csv!E:H,4,FALSE)</f>
        <v>200025</v>
      </c>
      <c r="J6" t="str">
        <f t="shared" ca="1" si="2"/>
        <v>rg:{'id':'200025'}</v>
      </c>
    </row>
    <row r="7" spans="1:10" x14ac:dyDescent="0.3">
      <c r="A7" t="s">
        <v>3017</v>
      </c>
      <c r="B7" t="s">
        <v>10</v>
      </c>
      <c r="C7">
        <f t="shared" si="0"/>
        <v>200005</v>
      </c>
      <c r="D7" t="s">
        <v>2979</v>
      </c>
      <c r="E7" t="str">
        <f t="shared" ca="1" si="3"/>
        <v>2015-02-19</v>
      </c>
      <c r="F7" t="str">
        <f t="shared" ca="1" si="1"/>
        <v>rg:{'id':'42'}</v>
      </c>
      <c r="G7" s="5">
        <f ca="1">VLOOKUP(C7,OwnerContacts.csv!C:E,3,FALSE)</f>
        <v>42</v>
      </c>
      <c r="H7" s="1" t="str">
        <f ca="1">INDEX(ServiceAreas.csv!E:E,RANDBETWEEN(2,30),1)</f>
        <v>South Cariboo</v>
      </c>
      <c r="I7">
        <f ca="1">VLOOKUP(H7,ServiceAreas.csv!E:H,4,FALSE)</f>
        <v>200015</v>
      </c>
      <c r="J7" t="str">
        <f t="shared" ca="1" si="2"/>
        <v>rg:{'id':'200015'}</v>
      </c>
    </row>
    <row r="8" spans="1:10" x14ac:dyDescent="0.3">
      <c r="A8" t="s">
        <v>3017</v>
      </c>
      <c r="B8" t="s">
        <v>11</v>
      </c>
      <c r="C8">
        <f t="shared" si="0"/>
        <v>200006</v>
      </c>
      <c r="D8" t="s">
        <v>2979</v>
      </c>
      <c r="E8" t="str">
        <f t="shared" ca="1" si="3"/>
        <v>2005-07-26</v>
      </c>
      <c r="F8" t="str">
        <f t="shared" ca="1" si="1"/>
        <v>rg:{'id':'69'}</v>
      </c>
      <c r="G8" s="5">
        <f ca="1">VLOOKUP(C8,OwnerContacts.csv!C:E,3,FALSE)</f>
        <v>69</v>
      </c>
      <c r="H8" s="1" t="str">
        <f ca="1">INDEX(ServiceAreas.csv!E:E,RANDBETWEEN(2,30),1)</f>
        <v>Sunshine Coast</v>
      </c>
      <c r="I8">
        <f ca="1">VLOOKUP(H8,ServiceAreas.csv!E:H,4,FALSE)</f>
        <v>200004</v>
      </c>
      <c r="J8" t="str">
        <f t="shared" ca="1" si="2"/>
        <v>rg:{'id':'200004'}</v>
      </c>
    </row>
    <row r="9" spans="1:10" x14ac:dyDescent="0.3">
      <c r="A9" t="s">
        <v>3017</v>
      </c>
      <c r="B9" t="s">
        <v>12</v>
      </c>
      <c r="C9">
        <f t="shared" si="0"/>
        <v>200007</v>
      </c>
      <c r="D9" t="s">
        <v>2979</v>
      </c>
      <c r="E9" t="str">
        <f t="shared" ca="1" si="3"/>
        <v>2008-01-02</v>
      </c>
      <c r="F9" t="str">
        <f t="shared" ca="1" si="1"/>
        <v>rg:{'id':'75'}</v>
      </c>
      <c r="G9" s="5">
        <f ca="1">VLOOKUP(C9,OwnerContacts.csv!C:E,3,FALSE)</f>
        <v>75</v>
      </c>
      <c r="H9" s="1" t="str">
        <f ca="1">INDEX(ServiceAreas.csv!E:E,RANDBETWEEN(2,30),1)</f>
        <v>Central  Island</v>
      </c>
      <c r="I9">
        <f ca="1">VLOOKUP(H9,ServiceAreas.csv!E:H,4,FALSE)</f>
        <v>200001</v>
      </c>
      <c r="J9" t="str">
        <f t="shared" ca="1" si="2"/>
        <v>rg:{'id':'200001'}</v>
      </c>
    </row>
    <row r="10" spans="1:10" x14ac:dyDescent="0.3">
      <c r="A10" t="s">
        <v>3017</v>
      </c>
      <c r="B10" t="s">
        <v>13</v>
      </c>
      <c r="C10">
        <f t="shared" si="0"/>
        <v>200008</v>
      </c>
      <c r="D10" t="s">
        <v>2979</v>
      </c>
      <c r="E10" t="str">
        <f t="shared" ca="1" si="3"/>
        <v>2010-03-27</v>
      </c>
      <c r="F10" t="str">
        <f t="shared" ca="1" si="1"/>
        <v>rg:{'id':'14'}</v>
      </c>
      <c r="G10" s="5">
        <f ca="1">VLOOKUP(C10,OwnerContacts.csv!C:E,3,FALSE)</f>
        <v>14</v>
      </c>
      <c r="H10" s="1" t="str">
        <f ca="1">INDEX(ServiceAreas.csv!E:E,RANDBETWEEN(2,30),1)</f>
        <v>Lakes</v>
      </c>
      <c r="I10">
        <f ca="1">VLOOKUP(H10,ServiceAreas.csv!E:H,4,FALSE)</f>
        <v>200023</v>
      </c>
      <c r="J10" t="str">
        <f t="shared" ca="1" si="2"/>
        <v>rg:{'id':'200023'}</v>
      </c>
    </row>
    <row r="11" spans="1:10" x14ac:dyDescent="0.3">
      <c r="A11" t="s">
        <v>3017</v>
      </c>
      <c r="B11" t="s">
        <v>408</v>
      </c>
      <c r="C11">
        <f t="shared" si="0"/>
        <v>200009</v>
      </c>
      <c r="D11" t="s">
        <v>2979</v>
      </c>
      <c r="E11" t="str">
        <f t="shared" ca="1" si="3"/>
        <v>2012-04-10</v>
      </c>
      <c r="F11" t="str">
        <f t="shared" ca="1" si="1"/>
        <v>rg:{'id':'98'}</v>
      </c>
      <c r="G11" s="5">
        <f ca="1">VLOOKUP(C11,OwnerContacts.csv!C:E,3,FALSE)</f>
        <v>98</v>
      </c>
      <c r="H11" s="1" t="str">
        <f ca="1">INDEX(ServiceAreas.csv!E:E,RANDBETWEEN(2,30),1)</f>
        <v>Central Cariboo</v>
      </c>
      <c r="I11">
        <f ca="1">VLOOKUP(H11,ServiceAreas.csv!E:H,4,FALSE)</f>
        <v>200016</v>
      </c>
      <c r="J11" t="str">
        <f t="shared" ca="1" si="2"/>
        <v>rg:{'id':'200016'}</v>
      </c>
    </row>
    <row r="12" spans="1:10" x14ac:dyDescent="0.3">
      <c r="A12" t="s">
        <v>3017</v>
      </c>
      <c r="B12" t="s">
        <v>5450</v>
      </c>
      <c r="C12">
        <f t="shared" si="0"/>
        <v>200010</v>
      </c>
      <c r="D12" t="s">
        <v>2979</v>
      </c>
      <c r="E12" t="str">
        <f t="shared" ca="1" si="3"/>
        <v>2013-01-08</v>
      </c>
      <c r="F12" t="e">
        <f t="shared" ca="1" si="1"/>
        <v>#N/A</v>
      </c>
      <c r="G12" s="5" t="e">
        <f ca="1">VLOOKUP(C12,OwnerContacts.csv!C:E,3,FALSE)</f>
        <v>#N/A</v>
      </c>
      <c r="H12" s="1" t="str">
        <f ca="1">INDEX(ServiceAreas.csv!E:E,RANDBETWEEN(2,30),1)</f>
        <v>NON-BC</v>
      </c>
      <c r="I12">
        <f ca="1">VLOOKUP(H12,ServiceAreas.csv!E:H,4,FALSE)</f>
        <v>200028</v>
      </c>
      <c r="J12" t="str">
        <f t="shared" ca="1" si="2"/>
        <v>rg:{'id':'200028'}</v>
      </c>
    </row>
    <row r="13" spans="1:10" x14ac:dyDescent="0.3">
      <c r="A13" t="s">
        <v>3017</v>
      </c>
      <c r="B13" t="s">
        <v>3569</v>
      </c>
      <c r="C13">
        <f t="shared" si="0"/>
        <v>200011</v>
      </c>
      <c r="D13" t="s">
        <v>2979</v>
      </c>
      <c r="E13" t="str">
        <f t="shared" ca="1" si="3"/>
        <v>2010-11-25</v>
      </c>
      <c r="F13" t="e">
        <f t="shared" ca="1" si="1"/>
        <v>#N/A</v>
      </c>
      <c r="G13" s="5" t="e">
        <f ca="1">VLOOKUP(C13,OwnerContacts.csv!C:E,3,FALSE)</f>
        <v>#N/A</v>
      </c>
      <c r="H13" s="1" t="str">
        <f ca="1">INDEX(ServiceAreas.csv!E:E,RANDBETWEEN(2,30),1)</f>
        <v>Robson</v>
      </c>
      <c r="I13">
        <f ca="1">VLOOKUP(H13,ServiceAreas.csv!E:H,4,FALSE)</f>
        <v>200019</v>
      </c>
      <c r="J13" t="str">
        <f t="shared" ca="1" si="2"/>
        <v>rg:{'id':'200019'}</v>
      </c>
    </row>
    <row r="14" spans="1:10" x14ac:dyDescent="0.3">
      <c r="A14" t="s">
        <v>3017</v>
      </c>
      <c r="B14" t="s">
        <v>3586</v>
      </c>
      <c r="C14">
        <f t="shared" si="0"/>
        <v>200012</v>
      </c>
      <c r="D14" t="s">
        <v>2979</v>
      </c>
      <c r="E14" t="str">
        <f t="shared" ca="1" si="3"/>
        <v>2013-06-15</v>
      </c>
      <c r="F14" t="e">
        <f t="shared" ca="1" si="1"/>
        <v>#N/A</v>
      </c>
      <c r="G14" s="5" t="e">
        <f ca="1">VLOOKUP(C14,OwnerContacts.csv!C:E,3,FALSE)</f>
        <v>#N/A</v>
      </c>
      <c r="H14" s="1" t="str">
        <f ca="1">INDEX(ServiceAreas.csv!E:E,RANDBETWEEN(2,30),1)</f>
        <v>Skeena</v>
      </c>
      <c r="I14">
        <f ca="1">VLOOKUP(H14,ServiceAreas.csv!E:H,4,FALSE)</f>
        <v>200025</v>
      </c>
      <c r="J14" t="str">
        <f t="shared" ca="1" si="2"/>
        <v>rg:{'id':'200025'}</v>
      </c>
    </row>
    <row r="15" spans="1:10" x14ac:dyDescent="0.3">
      <c r="A15" t="s">
        <v>3017</v>
      </c>
      <c r="B15" t="s">
        <v>3490</v>
      </c>
      <c r="C15">
        <f t="shared" si="0"/>
        <v>200013</v>
      </c>
      <c r="D15" t="s">
        <v>2979</v>
      </c>
      <c r="E15" t="str">
        <f t="shared" ca="1" si="3"/>
        <v>2014-12-02</v>
      </c>
      <c r="F15" t="e">
        <f t="shared" ca="1" si="1"/>
        <v>#N/A</v>
      </c>
      <c r="G15" s="5" t="e">
        <f ca="1">VLOOKUP(C15,OwnerContacts.csv!C:E,3,FALSE)</f>
        <v>#N/A</v>
      </c>
      <c r="H15" s="1" t="str">
        <f ca="1">INDEX(ServiceAreas.csv!E:E,RANDBETWEEN(2,30),1)</f>
        <v>South Peace</v>
      </c>
      <c r="I15">
        <f ca="1">VLOOKUP(H15,ServiceAreas.csv!E:H,4,FALSE)</f>
        <v>200020</v>
      </c>
      <c r="J15" t="str">
        <f t="shared" ca="1" si="2"/>
        <v>rg:{'id':'200020'}</v>
      </c>
    </row>
    <row r="16" spans="1:10" x14ac:dyDescent="0.3">
      <c r="A16" t="s">
        <v>3017</v>
      </c>
      <c r="B16" t="s">
        <v>3620</v>
      </c>
      <c r="C16">
        <f t="shared" si="0"/>
        <v>200014</v>
      </c>
      <c r="D16" t="s">
        <v>2979</v>
      </c>
      <c r="E16" t="str">
        <f t="shared" ca="1" si="3"/>
        <v>2008-08-03</v>
      </c>
      <c r="F16" t="e">
        <f t="shared" ca="1" si="1"/>
        <v>#N/A</v>
      </c>
      <c r="G16" s="5" t="e">
        <f ca="1">VLOOKUP(C16,OwnerContacts.csv!C:E,3,FALSE)</f>
        <v>#N/A</v>
      </c>
      <c r="H16" s="1" t="str">
        <f ca="1">INDEX(ServiceAreas.csv!E:E,RANDBETWEEN(2,30),1)</f>
        <v>Bulkley - Nass</v>
      </c>
      <c r="I16">
        <f ca="1">VLOOKUP(H16,ServiceAreas.csv!E:H,4,FALSE)</f>
        <v>200024</v>
      </c>
      <c r="J16" t="str">
        <f t="shared" ca="1" si="2"/>
        <v>rg:{'id':'200024'}</v>
      </c>
    </row>
    <row r="17" spans="1:10" x14ac:dyDescent="0.3">
      <c r="A17" t="s">
        <v>3017</v>
      </c>
      <c r="B17" t="s">
        <v>3522</v>
      </c>
      <c r="C17">
        <f t="shared" si="0"/>
        <v>200015</v>
      </c>
      <c r="D17" t="s">
        <v>2979</v>
      </c>
      <c r="E17" t="str">
        <f t="shared" ca="1" si="3"/>
        <v>2014-03-06</v>
      </c>
      <c r="F17" t="e">
        <f t="shared" ca="1" si="1"/>
        <v>#N/A</v>
      </c>
      <c r="G17" s="5" t="e">
        <f ca="1">VLOOKUP(C17,OwnerContacts.csv!C:E,3,FALSE)</f>
        <v>#N/A</v>
      </c>
      <c r="H17" s="1" t="str">
        <f ca="1">INDEX(ServiceAreas.csv!E:E,RANDBETWEEN(2,30),1)</f>
        <v>Central Cariboo</v>
      </c>
      <c r="I17">
        <f ca="1">VLOOKUP(H17,ServiceAreas.csv!E:H,4,FALSE)</f>
        <v>200016</v>
      </c>
      <c r="J17" t="str">
        <f t="shared" ca="1" si="2"/>
        <v>rg:{'id':'200016'}</v>
      </c>
    </row>
    <row r="18" spans="1:10" x14ac:dyDescent="0.3">
      <c r="A18" t="s">
        <v>3017</v>
      </c>
      <c r="B18" t="s">
        <v>3635</v>
      </c>
      <c r="C18">
        <f t="shared" si="0"/>
        <v>200016</v>
      </c>
      <c r="D18" t="s">
        <v>2979</v>
      </c>
      <c r="E18" t="str">
        <f t="shared" ca="1" si="3"/>
        <v>2007-05-11</v>
      </c>
      <c r="F18" t="e">
        <f t="shared" ca="1" si="1"/>
        <v>#N/A</v>
      </c>
      <c r="G18" s="5" t="e">
        <f ca="1">VLOOKUP(C18,OwnerContacts.csv!C:E,3,FALSE)</f>
        <v>#N/A</v>
      </c>
      <c r="H18" s="1" t="str">
        <f ca="1">INDEX(ServiceAreas.csv!E:E,RANDBETWEEN(2,30),1)</f>
        <v>South Cariboo</v>
      </c>
      <c r="I18">
        <f ca="1">VLOOKUP(H18,ServiceAreas.csv!E:H,4,FALSE)</f>
        <v>200015</v>
      </c>
      <c r="J18" t="str">
        <f t="shared" ca="1" si="2"/>
        <v>rg:{'id':'200015'}</v>
      </c>
    </row>
    <row r="19" spans="1:10" x14ac:dyDescent="0.3">
      <c r="A19" t="s">
        <v>3017</v>
      </c>
      <c r="B19" t="s">
        <v>3603</v>
      </c>
      <c r="C19">
        <f t="shared" si="0"/>
        <v>200017</v>
      </c>
      <c r="D19" t="s">
        <v>2979</v>
      </c>
      <c r="E19" t="str">
        <f t="shared" ca="1" si="3"/>
        <v>2015-01-31</v>
      </c>
      <c r="F19" t="e">
        <f t="shared" ca="1" si="1"/>
        <v>#N/A</v>
      </c>
      <c r="G19" s="5" t="e">
        <f ca="1">VLOOKUP(C19,OwnerContacts.csv!C:E,3,FALSE)</f>
        <v>#N/A</v>
      </c>
      <c r="H19" s="1" t="str">
        <f ca="1">INDEX(ServiceAreas.csv!E:E,RANDBETWEEN(2,30),1)</f>
        <v>Nicola</v>
      </c>
      <c r="I19">
        <f ca="1">VLOOKUP(H19,ServiceAreas.csv!E:H,4,FALSE)</f>
        <v>200013</v>
      </c>
      <c r="J19" t="str">
        <f t="shared" ca="1" si="2"/>
        <v>rg:{'id':'200013'}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5501</v>
      </c>
      <c r="C1" t="s">
        <v>6143</v>
      </c>
      <c r="D1" t="s">
        <v>412</v>
      </c>
      <c r="E1" t="s">
        <v>5512</v>
      </c>
      <c r="F1" t="s">
        <v>5491</v>
      </c>
      <c r="G1" t="s">
        <v>5490</v>
      </c>
      <c r="H1" t="s">
        <v>5506</v>
      </c>
      <c r="I1" t="s">
        <v>5507</v>
      </c>
      <c r="J1" t="s">
        <v>5508</v>
      </c>
      <c r="K1" t="s">
        <v>5510</v>
      </c>
      <c r="L1" t="s">
        <v>5511</v>
      </c>
      <c r="M1" t="s">
        <v>5509</v>
      </c>
      <c r="N1" t="s">
        <v>6144</v>
      </c>
      <c r="O1" t="s">
        <v>6145</v>
      </c>
      <c r="P1" t="s">
        <v>6142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MAX(Owners.csv!C:C)),"-",IF(ISNUMBER(C1),IF(RANDBETWEEN(1,5)&gt;3,C1+1,C1),Owners.csv!C2))</f>
        <v>200000</v>
      </c>
      <c r="D2" t="str">
        <f ca="1">"rg:{'id':'" &amp; C2 &amp; "'}"</f>
        <v>rg:{'id':'200000'}</v>
      </c>
      <c r="E2">
        <f ca="1">RANDBETWEEN(1,150)</f>
        <v>49</v>
      </c>
      <c r="F2" s="1" t="str">
        <f ca="1">INDEX(Names!D:D,$E2,1)</f>
        <v>Hilary</v>
      </c>
      <c r="G2" s="1" t="str">
        <f ca="1">INDEX(Names!F:F,$E2,1)</f>
        <v>Williams</v>
      </c>
      <c r="H2" t="str">
        <f ca="1">INDEX(Lookups!C:C,RANDBETWEEN(2,7),1)</f>
        <v>Assistant</v>
      </c>
      <c r="I2" t="str">
        <f ca="1">IF(RANDBETWEEN(1,5) &gt; 4,"This is a note","rg:None")</f>
        <v>rg:None</v>
      </c>
      <c r="J2" t="str">
        <f ca="1">INDEX(Names!P:P,$E2,1)</f>
        <v>250-760-4303</v>
      </c>
      <c r="K2" s="1" t="str">
        <f ca="1">INDEX(Lookups!D:D,RANDBETWEEN(2,4),1)</f>
        <v>Work</v>
      </c>
      <c r="L2" t="str">
        <f ca="1">IF(RANDBETWEEN(1,3) &gt; 1, "",LEFT(J2,8)&amp;RANDBETWEEN(1111,9999))</f>
        <v/>
      </c>
      <c r="M2" t="str">
        <f ca="1">INDEX(Lookups!D:D,RANDBETWEEN(2,4),1)</f>
        <v>Cell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'250-760-4303'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MAX(Owners.csv!C:C)),"-",IF(ISNUMBER(C2),IF(RANDBETWEEN(1,5)&gt;3,C2+1,C2),Owners.csv!C3))</f>
        <v>200000</v>
      </c>
      <c r="D3" t="str">
        <f t="shared" ref="D3:D34" ca="1" si="3">"rg:{'id':'" &amp; C3 &amp; "'}"</f>
        <v>rg:{'id':'200000'}</v>
      </c>
      <c r="E3">
        <f t="shared" ref="E3:E34" ca="1" si="4">RANDBETWEEN(1,150)</f>
        <v>75</v>
      </c>
      <c r="F3" s="1" t="str">
        <f ca="1">INDEX(Names!D:D,$E3,1)</f>
        <v>Margaret</v>
      </c>
      <c r="G3" s="1" t="str">
        <f ca="1">INDEX(Names!F:F,$E3,1)</f>
        <v>Reynolds</v>
      </c>
      <c r="H3" t="str">
        <f ca="1">INDEX(Lookups!C:C,RANDBETWEEN(2,7),1)</f>
        <v>Owner</v>
      </c>
      <c r="I3" t="str">
        <f t="shared" ref="I3:I34" ca="1" si="5">IF(RANDBETWEEN(1,5) &gt; 4,"This is a note","rg:None")</f>
        <v>rg:None</v>
      </c>
      <c r="J3" t="str">
        <f ca="1">INDEX(Names!P:P,$E3,1)</f>
        <v>604-556-6977</v>
      </c>
      <c r="K3" s="1" t="str">
        <f ca="1">INDEX(Lookups!D:D,RANDBETWEEN(2,4),1)</f>
        <v>Work</v>
      </c>
      <c r="L3" t="str">
        <f t="shared" ref="L3:L34" ca="1" si="6">IF(RANDBETWEEN(1,3) &gt; 1, "",LEFT(J3,8)&amp;RANDBETWEEN(1111,9999))</f>
        <v>604-556-4068</v>
      </c>
      <c r="M3" t="str">
        <f ca="1">INDEX(Lookups!D:D,RANDBETWEEN(2,4),1)</f>
        <v>Cell</v>
      </c>
      <c r="N3" t="str">
        <f t="shared" ca="1" si="0"/>
        <v>rg:[ {'id':'200001', 'type': 'Work',  'phoneNumber': '604-556-6977' },{'type': 'Cell',  'phoneNumber': '604-556-4068'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MAX(Owners.csv!C:C)),"-",IF(ISNUMBER(C3),IF(RANDBETWEEN(1,5)&gt;3,C3+1,C3),Owners.csv!C4))</f>
        <v>200001</v>
      </c>
      <c r="D4" t="str">
        <f t="shared" ca="1" si="3"/>
        <v>rg:{'id':'200001'}</v>
      </c>
      <c r="E4">
        <f t="shared" ca="1" si="4"/>
        <v>22</v>
      </c>
      <c r="F4" s="1" t="str">
        <f ca="1">INDEX(Names!D:D,$E4,1)</f>
        <v>Bill</v>
      </c>
      <c r="G4" s="1" t="str">
        <f ca="1">INDEX(Names!F:F,$E4,1)</f>
        <v>Finley</v>
      </c>
      <c r="H4" t="str">
        <f ca="1">INDEX(Lookups!C:C,RANDBETWEEN(2,7),1)</f>
        <v>Supervisor</v>
      </c>
      <c r="I4" t="str">
        <f t="shared" ca="1" si="5"/>
        <v>rg:None</v>
      </c>
      <c r="J4" t="str">
        <f ca="1">INDEX(Names!P:P,$E4,1)</f>
        <v>250-858-1942</v>
      </c>
      <c r="K4" s="1" t="str">
        <f ca="1">INDEX(Lookups!D:D,RANDBETWEEN(2,4),1)</f>
        <v>Cell</v>
      </c>
      <c r="L4" t="str">
        <f t="shared" ca="1" si="6"/>
        <v>250-858-4586</v>
      </c>
      <c r="M4" t="str">
        <f ca="1">INDEX(Lookups!D:D,RANDBETWEEN(2,4),1)</f>
        <v>Cell</v>
      </c>
      <c r="N4" t="str">
        <f t="shared" ca="1" si="0"/>
        <v>rg:[ {'id':'200002', 'type': 'Cell',  'phoneNumber': '250-858-1942' },{'type': 'Cell',  'phoneNumber': '250-858-4586' } ]</v>
      </c>
      <c r="O4" t="str">
        <f t="shared" si="1"/>
        <v>rg:dataset('ContactAddress.csv','3')</v>
      </c>
      <c r="P4">
        <f t="shared" ref="P4:P34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MAX(Owners.csv!C:C)),"-",IF(ISNUMBER(C4),IF(RANDBETWEEN(1,5)&gt;3,C4+1,C4),Owners.csv!C5))</f>
        <v>200002</v>
      </c>
      <c r="D5" t="str">
        <f t="shared" ca="1" si="3"/>
        <v>rg:{'id':'200002'}</v>
      </c>
      <c r="E5">
        <f t="shared" ca="1" si="4"/>
        <v>11</v>
      </c>
      <c r="F5" s="1" t="str">
        <f ca="1">INDEX(Names!D:D,$E5,1)</f>
        <v>Michael</v>
      </c>
      <c r="G5" s="1" t="str">
        <f ca="1">INDEX(Names!F:F,$E5,1)</f>
        <v>Washington</v>
      </c>
      <c r="H5" t="str">
        <f ca="1">INDEX(Lookups!C:C,RANDBETWEEN(2,7),1)</f>
        <v>rg:None</v>
      </c>
      <c r="I5" t="str">
        <f t="shared" ca="1" si="5"/>
        <v>rg:None</v>
      </c>
      <c r="J5" t="str">
        <f ca="1">INDEX(Names!P:P,$E5,1)</f>
        <v>604-702-5984</v>
      </c>
      <c r="K5" s="1" t="str">
        <f ca="1">INDEX(Lookups!D:D,RANDBETWEEN(2,4),1)</f>
        <v>Cell</v>
      </c>
      <c r="L5" t="str">
        <f t="shared" ca="1" si="6"/>
        <v/>
      </c>
      <c r="M5" t="str">
        <f ca="1">INDEX(Lookups!D:D,RANDBETWEEN(2,4),1)</f>
        <v>Yard</v>
      </c>
      <c r="N5" t="str">
        <f t="shared" ca="1" si="0"/>
        <v>rg:[ {'id':'200003', 'type': 'Cell',  'phoneNumber': '604-702-5984'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MAX(Owners.csv!C:C)),"-",IF(ISNUMBER(C5),IF(RANDBETWEEN(1,5)&gt;3,C5+1,C5),Owners.csv!C6))</f>
        <v>200002</v>
      </c>
      <c r="D6" t="str">
        <f t="shared" ca="1" si="3"/>
        <v>rg:{'id':'200002'}</v>
      </c>
      <c r="E6">
        <f t="shared" ca="1" si="4"/>
        <v>5</v>
      </c>
      <c r="F6" s="1" t="str">
        <f ca="1">INDEX(Names!D:D,$E6,1)</f>
        <v>Betty</v>
      </c>
      <c r="G6" s="1" t="str">
        <f ca="1">INDEX(Names!F:F,$E6,1)</f>
        <v>Tacker</v>
      </c>
      <c r="H6" t="str">
        <f ca="1">INDEX(Lookups!C:C,RANDBETWEEN(2,7),1)</f>
        <v>Assistant</v>
      </c>
      <c r="I6" t="str">
        <f t="shared" ca="1" si="5"/>
        <v>This is a note</v>
      </c>
      <c r="J6" t="str">
        <f ca="1">INDEX(Names!P:P,$E6,1)</f>
        <v>250-658-6228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Cell</v>
      </c>
      <c r="N6" t="str">
        <f t="shared" ca="1" si="0"/>
        <v>rg:[ {'id':'200004', 'type': 'Yard',  'phoneNumber': '250-658-6228'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MAX(Owners.csv!C:C)),"-",IF(ISNUMBER(C6),IF(RANDBETWEEN(1,5)&gt;3,C6+1,C6),Owners.csv!C7))</f>
        <v>200002</v>
      </c>
      <c r="D7" t="str">
        <f t="shared" ca="1" si="3"/>
        <v>rg:{'id':'200002'}</v>
      </c>
      <c r="E7">
        <f t="shared" ca="1" si="4"/>
        <v>52</v>
      </c>
      <c r="F7" s="1" t="str">
        <f ca="1">INDEX(Names!D:D,$E7,1)</f>
        <v>Deborah</v>
      </c>
      <c r="G7" s="1" t="str">
        <f ca="1">INDEX(Names!F:F,$E7,1)</f>
        <v>McMillian</v>
      </c>
      <c r="H7" t="str">
        <f ca="1">INDEX(Lookups!C:C,RANDBETWEEN(2,7),1)</f>
        <v>Supervisor</v>
      </c>
      <c r="I7" t="str">
        <f t="shared" ca="1" si="5"/>
        <v>rg:None</v>
      </c>
      <c r="J7" t="str">
        <f ca="1">INDEX(Names!P:P,$E7,1)</f>
        <v>604-720-7885</v>
      </c>
      <c r="K7" s="1" t="str">
        <f ca="1">INDEX(Lookups!D:D,RANDBETWEEN(2,4),1)</f>
        <v>Yard</v>
      </c>
      <c r="L7" t="str">
        <f t="shared" ca="1" si="6"/>
        <v/>
      </c>
      <c r="M7" t="str">
        <f ca="1">INDEX(Lookups!D:D,RANDBETWEEN(2,4),1)</f>
        <v>Yard</v>
      </c>
      <c r="N7" t="str">
        <f t="shared" ca="1" si="0"/>
        <v>rg:[ {'id':'200005', 'type': 'Yard',  'phoneNumber': '604-720-7885'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MAX(Owners.csv!C:C)),"-",IF(ISNUMBER(C7),IF(RANDBETWEEN(1,5)&gt;3,C7+1,C7),Owners.csv!C8))</f>
        <v>200002</v>
      </c>
      <c r="D8" t="str">
        <f t="shared" ca="1" si="3"/>
        <v>rg:{'id':'200002'}</v>
      </c>
      <c r="E8">
        <f t="shared" ca="1" si="4"/>
        <v>62</v>
      </c>
      <c r="F8" s="1" t="str">
        <f ca="1">INDEX(Names!D:D,$E8,1)</f>
        <v>Margaret</v>
      </c>
      <c r="G8" s="1" t="str">
        <f ca="1">INDEX(Names!F:F,$E8,1)</f>
        <v>Roberts</v>
      </c>
      <c r="H8" t="str">
        <f ca="1">INDEX(Lookups!C:C,RANDBETWEEN(2,7),1)</f>
        <v>Assistant</v>
      </c>
      <c r="I8" t="str">
        <f t="shared" ca="1" si="5"/>
        <v>rg:None</v>
      </c>
      <c r="J8" t="str">
        <f ca="1">INDEX(Names!P:P,$E8,1)</f>
        <v>604-204-5042</v>
      </c>
      <c r="K8" s="1" t="str">
        <f ca="1">INDEX(Lookups!D:D,RANDBETWEEN(2,4),1)</f>
        <v>Work</v>
      </c>
      <c r="L8" t="str">
        <f t="shared" ca="1" si="6"/>
        <v>604-204-3894</v>
      </c>
      <c r="M8" t="str">
        <f ca="1">INDEX(Lookups!D:D,RANDBETWEEN(2,4),1)</f>
        <v>Yard</v>
      </c>
      <c r="N8" t="str">
        <f t="shared" ca="1" si="0"/>
        <v>rg:[ {'id':'200006', 'type': 'Work',  'phoneNumber': '604-204-5042' },{'type': 'Yard',  'phoneNumber': '604-204-3894'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MAX(Owners.csv!C:C)),"-",IF(ISNUMBER(C8),IF(RANDBETWEEN(1,5)&gt;3,C8+1,C8),Owners.csv!C9))</f>
        <v>200003</v>
      </c>
      <c r="D9" t="str">
        <f t="shared" ca="1" si="3"/>
        <v>rg:{'id':'200003'}</v>
      </c>
      <c r="E9">
        <f t="shared" ca="1" si="4"/>
        <v>149</v>
      </c>
      <c r="F9" s="1" t="str">
        <f ca="1">INDEX(Names!D:D,$E9,1)</f>
        <v>Kenneth</v>
      </c>
      <c r="G9" s="1" t="str">
        <f ca="1">INDEX(Names!F:F,$E9,1)</f>
        <v>Powell</v>
      </c>
      <c r="H9" t="str">
        <f ca="1">INDEX(Lookups!C:C,RANDBETWEEN(2,7),1)</f>
        <v>rg:None</v>
      </c>
      <c r="I9" t="str">
        <f t="shared" ca="1" si="5"/>
        <v>rg:None</v>
      </c>
      <c r="J9" t="str">
        <f ca="1">INDEX(Names!P:P,$E9,1)</f>
        <v>250-558-9656</v>
      </c>
      <c r="K9" s="1" t="str">
        <f ca="1">INDEX(Lookups!D:D,RANDBETWEEN(2,4),1)</f>
        <v>Work</v>
      </c>
      <c r="L9" t="str">
        <f t="shared" ca="1" si="6"/>
        <v>250-558-1999</v>
      </c>
      <c r="M9" t="str">
        <f ca="1">INDEX(Lookups!D:D,RANDBETWEEN(2,4),1)</f>
        <v>Work</v>
      </c>
      <c r="N9" t="str">
        <f t="shared" ca="1" si="0"/>
        <v>rg:[ {'id':'200007', 'type': 'Work',  'phoneNumber': '250-558-9656' },{'type': 'Work',  'phoneNumber': '250-558-1999'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MAX(Owners.csv!C:C)),"-",IF(ISNUMBER(C9),IF(RANDBETWEEN(1,5)&gt;3,C9+1,C9),Owners.csv!C10))</f>
        <v>200004</v>
      </c>
      <c r="D10" t="str">
        <f t="shared" ca="1" si="3"/>
        <v>rg:{'id':'200004'}</v>
      </c>
      <c r="E10">
        <f t="shared" ca="1" si="4"/>
        <v>117</v>
      </c>
      <c r="F10" s="1" t="str">
        <f ca="1">INDEX(Names!D:D,$E10,1)</f>
        <v>Mary</v>
      </c>
      <c r="G10" s="1" t="str">
        <f ca="1">INDEX(Names!F:F,$E10,1)</f>
        <v>Pointer</v>
      </c>
      <c r="H10" t="str">
        <f ca="1">INDEX(Lookups!C:C,RANDBETWEEN(2,7),1)</f>
        <v>Driver</v>
      </c>
      <c r="I10" t="str">
        <f t="shared" ca="1" si="5"/>
        <v>rg:None</v>
      </c>
      <c r="J10" t="str">
        <f ca="1">INDEX(Names!P:P,$E10,1)</f>
        <v>250-969-0438</v>
      </c>
      <c r="K10" s="1" t="str">
        <f ca="1">INDEX(Lookups!D:D,RANDBETWEEN(2,4),1)</f>
        <v>Work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'Work',  'phoneNumber': '250-969-0438'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MAX(Owners.csv!C:C)),"-",IF(ISNUMBER(C10),IF(RANDBETWEEN(1,5)&gt;3,C10+1,C10),Owners.csv!C11))</f>
        <v>200004</v>
      </c>
      <c r="D11" t="str">
        <f t="shared" ca="1" si="3"/>
        <v>rg:{'id':'200004'}</v>
      </c>
      <c r="E11">
        <f t="shared" ca="1" si="4"/>
        <v>36</v>
      </c>
      <c r="F11" s="1" t="str">
        <f ca="1">INDEX(Names!D:D,$E11,1)</f>
        <v>Stephanie</v>
      </c>
      <c r="G11" s="1" t="str">
        <f ca="1">INDEX(Names!F:F,$E11,1)</f>
        <v>Young</v>
      </c>
      <c r="H11" t="str">
        <f ca="1">INDEX(Lookups!C:C,RANDBETWEEN(2,7),1)</f>
        <v>rg:None</v>
      </c>
      <c r="I11" t="str">
        <f t="shared" ca="1" si="5"/>
        <v>rg:None</v>
      </c>
      <c r="J11" t="str">
        <f ca="1">INDEX(Names!P:P,$E11,1)</f>
        <v>604-824-5554</v>
      </c>
      <c r="K11" s="1" t="str">
        <f ca="1">INDEX(Lookups!D:D,RANDBETWEEN(2,4),1)</f>
        <v>Yard</v>
      </c>
      <c r="L11" t="str">
        <f t="shared" ca="1" si="6"/>
        <v>604-824-2660</v>
      </c>
      <c r="M11" t="str">
        <f ca="1">INDEX(Lookups!D:D,RANDBETWEEN(2,4),1)</f>
        <v>Work</v>
      </c>
      <c r="N11" t="str">
        <f t="shared" ca="1" si="0"/>
        <v>rg:[ {'id':'200009', 'type': 'Yard',  'phoneNumber': '604-824-5554' },{'type': 'Work',  'phoneNumber': '604-824-2660'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MAX(Owners.csv!C:C)),"-",IF(ISNUMBER(C11),IF(RANDBETWEEN(1,5)&gt;3,C11+1,C11),Owners.csv!C12))</f>
        <v>200005</v>
      </c>
      <c r="D12" t="str">
        <f t="shared" ca="1" si="3"/>
        <v>rg:{'id':'200005'}</v>
      </c>
      <c r="E12">
        <f t="shared" ca="1" si="4"/>
        <v>42</v>
      </c>
      <c r="F12" s="1" t="str">
        <f ca="1">INDEX(Names!D:D,$E12,1)</f>
        <v>Kelly</v>
      </c>
      <c r="G12" s="1" t="str">
        <f ca="1">INDEX(Names!F:F,$E12,1)</f>
        <v>Torrence</v>
      </c>
      <c r="H12" t="str">
        <f ca="1">INDEX(Lookups!C:C,RANDBETWEEN(2,7),1)</f>
        <v>Supervisor</v>
      </c>
      <c r="I12" t="str">
        <f t="shared" ca="1" si="5"/>
        <v>This is a note</v>
      </c>
      <c r="J12" t="str">
        <f ca="1">INDEX(Names!P:P,$E12,1)</f>
        <v>250-674-1387</v>
      </c>
      <c r="K12" s="1" t="str">
        <f ca="1">INDEX(Lookups!D:D,RANDBETWEEN(2,4),1)</f>
        <v>Cell</v>
      </c>
      <c r="L12" t="str">
        <f t="shared" ca="1" si="6"/>
        <v/>
      </c>
      <c r="M12" t="str">
        <f ca="1">INDEX(Lookups!D:D,RANDBETWEEN(2,4),1)</f>
        <v>Work</v>
      </c>
      <c r="N12" t="str">
        <f t="shared" ca="1" si="0"/>
        <v>rg:[ {'id':'200010', 'type': 'Cell',  'phoneNumber': '250-674-1387'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MAX(Owners.csv!C:C)),"-",IF(ISNUMBER(C12),IF(RANDBETWEEN(1,5)&gt;3,C12+1,C12),Owners.csv!C13))</f>
        <v>200005</v>
      </c>
      <c r="D13" t="str">
        <f t="shared" ca="1" si="3"/>
        <v>rg:{'id':'200005'}</v>
      </c>
      <c r="E13">
        <f t="shared" ca="1" si="4"/>
        <v>103</v>
      </c>
      <c r="F13" s="1" t="str">
        <f ca="1">INDEX(Names!D:D,$E13,1)</f>
        <v>Marla</v>
      </c>
      <c r="G13" s="1" t="str">
        <f ca="1">INDEX(Names!F:F,$E13,1)</f>
        <v>Schreffler</v>
      </c>
      <c r="H13" t="str">
        <f ca="1">INDEX(Lookups!C:C,RANDBETWEEN(2,7),1)</f>
        <v>Supervisor</v>
      </c>
      <c r="I13" t="str">
        <f t="shared" ca="1" si="5"/>
        <v>This is a note</v>
      </c>
      <c r="J13" t="str">
        <f ca="1">INDEX(Names!P:P,$E13,1)</f>
        <v>867-444-0382</v>
      </c>
      <c r="K13" s="1" t="str">
        <f ca="1">INDEX(Lookups!D:D,RANDBETWEEN(2,4),1)</f>
        <v>Yard</v>
      </c>
      <c r="L13" t="str">
        <f t="shared" ca="1" si="6"/>
        <v>867-444-3586</v>
      </c>
      <c r="M13" t="str">
        <f ca="1">INDEX(Lookups!D:D,RANDBETWEEN(2,4),1)</f>
        <v>Work</v>
      </c>
      <c r="N13" t="str">
        <f t="shared" ca="1" si="0"/>
        <v>rg:[ {'id':'200011', 'type': 'Yard',  'phoneNumber': '867-444-0382' },{'type': 'Work',  'phoneNumber': '867-444-3586'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MAX(Owners.csv!C:C)),"-",IF(ISNUMBER(C13),IF(RANDBETWEEN(1,5)&gt;3,C13+1,C13),Owners.csv!C14))</f>
        <v>200005</v>
      </c>
      <c r="D14" t="str">
        <f t="shared" ca="1" si="3"/>
        <v>rg:{'id':'200005'}</v>
      </c>
      <c r="E14">
        <f t="shared" ca="1" si="4"/>
        <v>27</v>
      </c>
      <c r="F14" s="1" t="str">
        <f ca="1">INDEX(Names!D:D,$E14,1)</f>
        <v>Richard</v>
      </c>
      <c r="G14" s="1" t="str">
        <f ca="1">INDEX(Names!F:F,$E14,1)</f>
        <v>Turner</v>
      </c>
      <c r="H14" t="str">
        <f ca="1">INDEX(Lookups!C:C,RANDBETWEEN(2,7),1)</f>
        <v>Mechanic</v>
      </c>
      <c r="I14" t="str">
        <f t="shared" ca="1" si="5"/>
        <v>rg:None</v>
      </c>
      <c r="J14" t="str">
        <f ca="1">INDEX(Names!P:P,$E14,1)</f>
        <v>250-658-1819</v>
      </c>
      <c r="K14" s="1" t="str">
        <f ca="1">INDEX(Lookups!D:D,RANDBETWEEN(2,4),1)</f>
        <v>Yard</v>
      </c>
      <c r="L14" t="str">
        <f t="shared" ca="1" si="6"/>
        <v/>
      </c>
      <c r="M14" t="str">
        <f ca="1">INDEX(Lookups!D:D,RANDBETWEEN(2,4),1)</f>
        <v>Yard</v>
      </c>
      <c r="N14" t="str">
        <f t="shared" ca="1" si="0"/>
        <v>rg:[ {'id':'200012', 'type': 'Yard',  'phoneNumber': '250-658-1819'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MAX(Owners.csv!C:C)),"-",IF(ISNUMBER(C14),IF(RANDBETWEEN(1,5)&gt;3,C14+1,C14),Owners.csv!C15))</f>
        <v>200005</v>
      </c>
      <c r="D15" t="str">
        <f t="shared" ca="1" si="3"/>
        <v>rg:{'id':'200005'}</v>
      </c>
      <c r="E15">
        <f t="shared" ca="1" si="4"/>
        <v>132</v>
      </c>
      <c r="F15" s="1" t="str">
        <f ca="1">INDEX(Names!D:D,$E15,1)</f>
        <v>Richard</v>
      </c>
      <c r="G15" s="1" t="str">
        <f ca="1">INDEX(Names!F:F,$E15,1)</f>
        <v>Forrester</v>
      </c>
      <c r="H15" t="str">
        <f ca="1">INDEX(Lookups!C:C,RANDBETWEEN(2,7),1)</f>
        <v>Owner</v>
      </c>
      <c r="I15" t="str">
        <f t="shared" ca="1" si="5"/>
        <v>This is a note</v>
      </c>
      <c r="J15" t="str">
        <f ca="1">INDEX(Names!P:P,$E15,1)</f>
        <v>250-751-4611</v>
      </c>
      <c r="K15" s="1" t="str">
        <f ca="1">INDEX(Lookups!D:D,RANDBETWEEN(2,4),1)</f>
        <v>Yard</v>
      </c>
      <c r="L15" t="str">
        <f t="shared" ca="1" si="6"/>
        <v/>
      </c>
      <c r="M15" t="str">
        <f ca="1">INDEX(Lookups!D:D,RANDBETWEEN(2,4),1)</f>
        <v>Cell</v>
      </c>
      <c r="N15" t="str">
        <f t="shared" ca="1" si="0"/>
        <v>rg:[ {'id':'200013', 'type': 'Yard',  'phoneNumber': '250-751-4611'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MAX(Owners.csv!C:C)),"-",IF(ISNUMBER(C15),IF(RANDBETWEEN(1,5)&gt;3,C15+1,C15),Owners.csv!C16))</f>
        <v>200006</v>
      </c>
      <c r="D16" t="str">
        <f t="shared" ca="1" si="3"/>
        <v>rg:{'id':'200006'}</v>
      </c>
      <c r="E16">
        <f t="shared" ca="1" si="4"/>
        <v>69</v>
      </c>
      <c r="F16" s="1" t="str">
        <f ca="1">INDEX(Names!D:D,$E16,1)</f>
        <v>Darlene</v>
      </c>
      <c r="G16" s="1" t="str">
        <f ca="1">INDEX(Names!F:F,$E16,1)</f>
        <v>Garcia</v>
      </c>
      <c r="H16" t="str">
        <f ca="1">INDEX(Lookups!C:C,RANDBETWEEN(2,7),1)</f>
        <v>Owner</v>
      </c>
      <c r="I16" t="str">
        <f t="shared" ca="1" si="5"/>
        <v>rg:None</v>
      </c>
      <c r="J16" t="str">
        <f ca="1">INDEX(Names!P:P,$E16,1)</f>
        <v>604-266-2345</v>
      </c>
      <c r="K16" s="1" t="str">
        <f ca="1">INDEX(Lookups!D:D,RANDBETWEEN(2,4),1)</f>
        <v>Yard</v>
      </c>
      <c r="L16" t="str">
        <f t="shared" ca="1" si="6"/>
        <v/>
      </c>
      <c r="M16" t="str">
        <f ca="1">INDEX(Lookups!D:D,RANDBETWEEN(2,4),1)</f>
        <v>Yard</v>
      </c>
      <c r="N16" t="str">
        <f t="shared" ca="1" si="0"/>
        <v>rg:[ {'id':'200014', 'type': 'Yard',  'phoneNumber': '604-266-2345'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MAX(Owners.csv!C:C)),"-",IF(ISNUMBER(C16),IF(RANDBETWEEN(1,5)&gt;3,C16+1,C16),Owners.csv!C17))</f>
        <v>200007</v>
      </c>
      <c r="D17" t="str">
        <f t="shared" ca="1" si="3"/>
        <v>rg:{'id':'200007'}</v>
      </c>
      <c r="E17">
        <f t="shared" ca="1" si="4"/>
        <v>75</v>
      </c>
      <c r="F17" s="1" t="str">
        <f ca="1">INDEX(Names!D:D,$E17,1)</f>
        <v>Margaret</v>
      </c>
      <c r="G17" s="1" t="str">
        <f ca="1">INDEX(Names!F:F,$E17,1)</f>
        <v>Reynolds</v>
      </c>
      <c r="H17" t="str">
        <f ca="1">INDEX(Lookups!C:C,RANDBETWEEN(2,7),1)</f>
        <v>Driver</v>
      </c>
      <c r="I17" t="str">
        <f t="shared" ca="1" si="5"/>
        <v>rg:None</v>
      </c>
      <c r="J17" t="str">
        <f ca="1">INDEX(Names!P:P,$E17,1)</f>
        <v>604-556-6977</v>
      </c>
      <c r="K17" s="1" t="str">
        <f ca="1">INDEX(Lookups!D:D,RANDBETWEEN(2,4),1)</f>
        <v>Work</v>
      </c>
      <c r="L17" t="str">
        <f t="shared" ca="1" si="6"/>
        <v>604-556-1119</v>
      </c>
      <c r="M17" t="str">
        <f ca="1">INDEX(Lookups!D:D,RANDBETWEEN(2,4),1)</f>
        <v>Cell</v>
      </c>
      <c r="N17" t="str">
        <f t="shared" ca="1" si="0"/>
        <v>rg:[ {'id':'200015', 'type': 'Work',  'phoneNumber': '604-556-6977' },{'type': 'Cell',  'phoneNumber': '604-556-1119'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MAX(Owners.csv!C:C)),"-",IF(ISNUMBER(C17),IF(RANDBETWEEN(1,5)&gt;3,C17+1,C17),Owners.csv!C18))</f>
        <v>200007</v>
      </c>
      <c r="D18" t="str">
        <f t="shared" ca="1" si="3"/>
        <v>rg:{'id':'200007'}</v>
      </c>
      <c r="E18">
        <f t="shared" ca="1" si="4"/>
        <v>46</v>
      </c>
      <c r="F18" s="1" t="str">
        <f ca="1">INDEX(Names!D:D,$E18,1)</f>
        <v>Esteban</v>
      </c>
      <c r="G18" s="1" t="str">
        <f ca="1">INDEX(Names!F:F,$E18,1)</f>
        <v>Zavala</v>
      </c>
      <c r="H18" t="str">
        <f ca="1">INDEX(Lookups!C:C,RANDBETWEEN(2,7),1)</f>
        <v>Owner</v>
      </c>
      <c r="I18" t="str">
        <f t="shared" ca="1" si="5"/>
        <v>This is a note</v>
      </c>
      <c r="J18" t="str">
        <f ca="1">INDEX(Names!P:P,$E18,1)</f>
        <v>250-412-4504</v>
      </c>
      <c r="K18" s="1" t="str">
        <f ca="1">INDEX(Lookups!D:D,RANDBETWEEN(2,4),1)</f>
        <v>Work</v>
      </c>
      <c r="L18" t="str">
        <f t="shared" ca="1" si="6"/>
        <v/>
      </c>
      <c r="M18" t="str">
        <f ca="1">INDEX(Lookups!D:D,RANDBETWEEN(2,4),1)</f>
        <v>Work</v>
      </c>
      <c r="N18" t="str">
        <f t="shared" ca="1" si="0"/>
        <v>rg:[ {'id':'200016', 'type': 'Work',  'phoneNumber': '250-412-4504'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MAX(Owners.csv!C:C)),"-",IF(ISNUMBER(C18),IF(RANDBETWEEN(1,5)&gt;3,C18+1,C18),Owners.csv!C19))</f>
        <v>200007</v>
      </c>
      <c r="D19" t="str">
        <f t="shared" ca="1" si="3"/>
        <v>rg:{'id':'200007'}</v>
      </c>
      <c r="E19">
        <f t="shared" ca="1" si="4"/>
        <v>61</v>
      </c>
      <c r="F19" s="1" t="str">
        <f ca="1">INDEX(Names!D:D,$E19,1)</f>
        <v>Keith</v>
      </c>
      <c r="G19" s="1" t="str">
        <f ca="1">INDEX(Names!F:F,$E19,1)</f>
        <v>Shepherd</v>
      </c>
      <c r="H19" t="str">
        <f ca="1">INDEX(Lookups!C:C,RANDBETWEEN(2,7),1)</f>
        <v>Driver</v>
      </c>
      <c r="I19" t="str">
        <f t="shared" ca="1" si="5"/>
        <v>rg:None</v>
      </c>
      <c r="J19" t="str">
        <f ca="1">INDEX(Names!P:P,$E19,1)</f>
        <v>778-688-2229</v>
      </c>
      <c r="K19" s="1" t="str">
        <f ca="1">INDEX(Lookups!D:D,RANDBETWEEN(2,4),1)</f>
        <v>Yard</v>
      </c>
      <c r="L19" t="str">
        <f t="shared" ca="1" si="6"/>
        <v/>
      </c>
      <c r="M19" t="str">
        <f ca="1">INDEX(Lookups!D:D,RANDBETWEEN(2,4),1)</f>
        <v>Yard</v>
      </c>
      <c r="N19" t="str">
        <f t="shared" ca="1" si="0"/>
        <v>rg:[ {'id':'200017', 'type': 'Yard',  'phoneNumber': '778-688-2229'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MAX(Owners.csv!C:C)),"-",IF(ISNUMBER(C19),IF(RANDBETWEEN(1,5)&gt;3,C19+1,C19),Owners.csv!C20))</f>
        <v>200008</v>
      </c>
      <c r="D20" t="str">
        <f t="shared" ca="1" si="3"/>
        <v>rg:{'id':'200008'}</v>
      </c>
      <c r="E20">
        <f t="shared" ca="1" si="4"/>
        <v>14</v>
      </c>
      <c r="F20" s="1" t="str">
        <f ca="1">INDEX(Names!D:D,$E20,1)</f>
        <v>Cheryl</v>
      </c>
      <c r="G20" s="1" t="str">
        <f ca="1">INDEX(Names!F:F,$E20,1)</f>
        <v>Mills</v>
      </c>
      <c r="H20" t="str">
        <f ca="1">INDEX(Lookups!C:C,RANDBETWEEN(2,7),1)</f>
        <v>Driver</v>
      </c>
      <c r="I20" t="str">
        <f t="shared" ca="1" si="5"/>
        <v>This is a note</v>
      </c>
      <c r="J20" t="str">
        <f ca="1">INDEX(Names!P:P,$E20,1)</f>
        <v>604-277-2069</v>
      </c>
      <c r="K20" s="1" t="str">
        <f ca="1">INDEX(Lookups!D:D,RANDBETWEEN(2,4),1)</f>
        <v>Work</v>
      </c>
      <c r="L20" t="str">
        <f t="shared" ca="1" si="6"/>
        <v>604-277-4610</v>
      </c>
      <c r="M20" t="str">
        <f ca="1">INDEX(Lookups!D:D,RANDBETWEEN(2,4),1)</f>
        <v>Yard</v>
      </c>
      <c r="N20" t="str">
        <f t="shared" ca="1" si="0"/>
        <v>rg:[ {'id':'200018', 'type': 'Work',  'phoneNumber': '604-277-2069' },{'type': 'Yard',  'phoneNumber': '604-277-4610'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MAX(Owners.csv!C:C)),"-",IF(ISNUMBER(C20),IF(RANDBETWEEN(1,5)&gt;3,C20+1,C20),Owners.csv!C21))</f>
        <v>200008</v>
      </c>
      <c r="D21" t="str">
        <f t="shared" ca="1" si="3"/>
        <v>rg:{'id':'200008'}</v>
      </c>
      <c r="E21">
        <f t="shared" ca="1" si="4"/>
        <v>77</v>
      </c>
      <c r="F21" s="1" t="str">
        <f ca="1">INDEX(Names!D:D,$E21,1)</f>
        <v>Renee</v>
      </c>
      <c r="G21" s="1" t="str">
        <f ca="1">INDEX(Names!F:F,$E21,1)</f>
        <v>Smith</v>
      </c>
      <c r="H21" t="str">
        <f ca="1">INDEX(Lookups!C:C,RANDBETWEEN(2,7),1)</f>
        <v>Driver</v>
      </c>
      <c r="I21" t="str">
        <f t="shared" ca="1" si="5"/>
        <v>rg:None</v>
      </c>
      <c r="J21" t="str">
        <f ca="1">INDEX(Names!P:P,$E21,1)</f>
        <v>250-716-1092</v>
      </c>
      <c r="K21" s="1" t="str">
        <f ca="1">INDEX(Lookups!D:D,RANDBETWEEN(2,4),1)</f>
        <v>Work</v>
      </c>
      <c r="L21" t="str">
        <f t="shared" ca="1" si="6"/>
        <v/>
      </c>
      <c r="M21" t="str">
        <f ca="1">INDEX(Lookups!D:D,RANDBETWEEN(2,4),1)</f>
        <v>Work</v>
      </c>
      <c r="N21" t="str">
        <f t="shared" ca="1" si="0"/>
        <v>rg:[ {'id':'200019', 'type': 'Work',  'phoneNumber': '250-716-1092'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MAX(Owners.csv!C:C)),"-",IF(ISNUMBER(C21),IF(RANDBETWEEN(1,5)&gt;3,C21+1,C21),Owners.csv!C22))</f>
        <v>200008</v>
      </c>
      <c r="D22" t="str">
        <f t="shared" ca="1" si="3"/>
        <v>rg:{'id':'200008'}</v>
      </c>
      <c r="E22">
        <f t="shared" ca="1" si="4"/>
        <v>55</v>
      </c>
      <c r="F22" s="1" t="str">
        <f ca="1">INDEX(Names!D:D,$E22,1)</f>
        <v>John</v>
      </c>
      <c r="G22" s="1" t="str">
        <f ca="1">INDEX(Names!F:F,$E22,1)</f>
        <v>Key</v>
      </c>
      <c r="H22" t="str">
        <f ca="1">INDEX(Lookups!C:C,RANDBETWEEN(2,7),1)</f>
        <v>rg:None</v>
      </c>
      <c r="I22" t="str">
        <f t="shared" ca="1" si="5"/>
        <v>This is a note</v>
      </c>
      <c r="J22" t="str">
        <f ca="1">INDEX(Names!P:P,$E22,1)</f>
        <v>250-531-4874</v>
      </c>
      <c r="K22" s="1" t="str">
        <f ca="1">INDEX(Lookups!D:D,RANDBETWEEN(2,4),1)</f>
        <v>Work</v>
      </c>
      <c r="L22" t="str">
        <f t="shared" ca="1" si="6"/>
        <v>250-531-8602</v>
      </c>
      <c r="M22" t="str">
        <f ca="1">INDEX(Lookups!D:D,RANDBETWEEN(2,4),1)</f>
        <v>Work</v>
      </c>
      <c r="N22" t="str">
        <f t="shared" ca="1" si="0"/>
        <v>rg:[ {'id':'200020', 'type': 'Work',  'phoneNumber': '250-531-4874' },{'type': 'Work',  'phoneNumber': '250-531-8602'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MAX(Owners.csv!C:C)),"-",IF(ISNUMBER(C22),IF(RANDBETWEEN(1,5)&gt;3,C22+1,C22),Owners.csv!C23))</f>
        <v>200008</v>
      </c>
      <c r="D23" t="str">
        <f t="shared" ca="1" si="3"/>
        <v>rg:{'id':'200008'}</v>
      </c>
      <c r="E23">
        <f t="shared" ca="1" si="4"/>
        <v>143</v>
      </c>
      <c r="F23" s="1" t="str">
        <f ca="1">INDEX(Names!D:D,$E23,1)</f>
        <v>John</v>
      </c>
      <c r="G23" s="1" t="str">
        <f ca="1">INDEX(Names!F:F,$E23,1)</f>
        <v>Shaffer</v>
      </c>
      <c r="H23" t="str">
        <f ca="1">INDEX(Lookups!C:C,RANDBETWEEN(2,7),1)</f>
        <v>Mechanic</v>
      </c>
      <c r="I23" t="str">
        <f t="shared" ca="1" si="5"/>
        <v>This is a note</v>
      </c>
      <c r="J23" t="str">
        <f ca="1">INDEX(Names!P:P,$E23,1)</f>
        <v>604-932-1761</v>
      </c>
      <c r="K23" s="1" t="str">
        <f ca="1">INDEX(Lookups!D:D,RANDBETWEEN(2,4),1)</f>
        <v>Work</v>
      </c>
      <c r="L23" t="str">
        <f t="shared" ca="1" si="6"/>
        <v/>
      </c>
      <c r="M23" t="str">
        <f ca="1">INDEX(Lookups!D:D,RANDBETWEEN(2,4),1)</f>
        <v>Yard</v>
      </c>
      <c r="N23" t="str">
        <f t="shared" ca="1" si="0"/>
        <v>rg:[ {'id':'200021', 'type': 'Work',  'phoneNumber': '604-932-1761'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MAX(Owners.csv!C:C)),"-",IF(ISNUMBER(C23),IF(RANDBETWEEN(1,5)&gt;3,C23+1,C23),Owners.csv!C24))</f>
        <v>200008</v>
      </c>
      <c r="D24" t="str">
        <f t="shared" ca="1" si="3"/>
        <v>rg:{'id':'200008'}</v>
      </c>
      <c r="E24">
        <f t="shared" ca="1" si="4"/>
        <v>91</v>
      </c>
      <c r="F24" s="1" t="str">
        <f ca="1">INDEX(Names!D:D,$E24,1)</f>
        <v>Doris</v>
      </c>
      <c r="G24" s="1" t="str">
        <f ca="1">INDEX(Names!F:F,$E24,1)</f>
        <v>Nickens</v>
      </c>
      <c r="H24" t="str">
        <f ca="1">INDEX(Lookups!C:C,RANDBETWEEN(2,7),1)</f>
        <v>Supervisor</v>
      </c>
      <c r="I24" t="str">
        <f t="shared" ca="1" si="5"/>
        <v>rg:None</v>
      </c>
      <c r="J24" t="str">
        <f ca="1">INDEX(Names!P:P,$E24,1)</f>
        <v>250-380-2994</v>
      </c>
      <c r="K24" s="1" t="str">
        <f ca="1">INDEX(Lookups!D:D,RANDBETWEEN(2,4),1)</f>
        <v>Work</v>
      </c>
      <c r="L24" t="str">
        <f t="shared" ca="1" si="6"/>
        <v/>
      </c>
      <c r="M24" t="str">
        <f ca="1">INDEX(Lookups!D:D,RANDBETWEEN(2,4),1)</f>
        <v>Cell</v>
      </c>
      <c r="N24" t="str">
        <f t="shared" ca="1" si="0"/>
        <v>rg:[ {'id':'200022', 'type': 'Work',  'phoneNumber': '250-380-2994'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MAX(Owners.csv!C:C)),"-",IF(ISNUMBER(C24),IF(RANDBETWEEN(1,5)&gt;3,C24+1,C24),Owners.csv!C25))</f>
        <v>200008</v>
      </c>
      <c r="D25" t="str">
        <f t="shared" ca="1" si="3"/>
        <v>rg:{'id':'200008'}</v>
      </c>
      <c r="E25">
        <f t="shared" ca="1" si="4"/>
        <v>37</v>
      </c>
      <c r="F25" s="1" t="str">
        <f ca="1">INDEX(Names!D:D,$E25,1)</f>
        <v>Wilma</v>
      </c>
      <c r="G25" s="1" t="str">
        <f ca="1">INDEX(Names!F:F,$E25,1)</f>
        <v>Urbanski</v>
      </c>
      <c r="H25" t="str">
        <f ca="1">INDEX(Lookups!C:C,RANDBETWEEN(2,7),1)</f>
        <v>rg:None</v>
      </c>
      <c r="I25" t="str">
        <f t="shared" ca="1" si="5"/>
        <v>This is a note</v>
      </c>
      <c r="J25" t="str">
        <f ca="1">INDEX(Names!P:P,$E25,1)</f>
        <v>250-360-5236</v>
      </c>
      <c r="K25" s="1" t="str">
        <f ca="1">INDEX(Lookups!D:D,RANDBETWEEN(2,4),1)</f>
        <v>Yard</v>
      </c>
      <c r="L25" t="str">
        <f t="shared" ca="1" si="6"/>
        <v/>
      </c>
      <c r="M25" t="str">
        <f ca="1">INDEX(Lookups!D:D,RANDBETWEEN(2,4),1)</f>
        <v>Cell</v>
      </c>
      <c r="N25" t="str">
        <f t="shared" ca="1" si="0"/>
        <v>rg:[ {'id':'200023', 'type': 'Yard',  'phoneNumber': '250-360-5236'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MAX(Owners.csv!C:C)),"-",IF(ISNUMBER(C25),IF(RANDBETWEEN(1,5)&gt;3,C25+1,C25),Owners.csv!C26))</f>
        <v>200008</v>
      </c>
      <c r="D26" t="str">
        <f t="shared" ca="1" si="3"/>
        <v>rg:{'id':'200008'}</v>
      </c>
      <c r="E26">
        <f t="shared" ca="1" si="4"/>
        <v>43</v>
      </c>
      <c r="F26" s="1" t="str">
        <f ca="1">INDEX(Names!D:D,$E26,1)</f>
        <v>Antonio</v>
      </c>
      <c r="G26" s="1" t="str">
        <f ca="1">INDEX(Names!F:F,$E26,1)</f>
        <v>Mitchell</v>
      </c>
      <c r="H26" t="str">
        <f ca="1">INDEX(Lookups!C:C,RANDBETWEEN(2,7),1)</f>
        <v>Assistant</v>
      </c>
      <c r="I26" t="str">
        <f t="shared" ca="1" si="5"/>
        <v>This is a note</v>
      </c>
      <c r="J26" t="str">
        <f ca="1">INDEX(Names!P:P,$E26,1)</f>
        <v>250-651-0742</v>
      </c>
      <c r="K26" s="1" t="str">
        <f ca="1">INDEX(Lookups!D:D,RANDBETWEEN(2,4),1)</f>
        <v>Yard</v>
      </c>
      <c r="L26" t="str">
        <f t="shared" ca="1" si="6"/>
        <v>250-651-8685</v>
      </c>
      <c r="M26" t="str">
        <f ca="1">INDEX(Lookups!D:D,RANDBETWEEN(2,4),1)</f>
        <v>Work</v>
      </c>
      <c r="N26" t="str">
        <f t="shared" ca="1" si="0"/>
        <v>rg:[ {'id':'200024', 'type': 'Yard',  'phoneNumber': '250-651-0742' },{'type': 'Work',  'phoneNumber': '250-651-8685'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MAX(Owners.csv!C:C)),"-",IF(ISNUMBER(C26),IF(RANDBETWEEN(1,5)&gt;3,C26+1,C26),Owners.csv!C27))</f>
        <v>200008</v>
      </c>
      <c r="D27" t="str">
        <f t="shared" ca="1" si="3"/>
        <v>rg:{'id':'200008'}</v>
      </c>
      <c r="E27">
        <f t="shared" ca="1" si="4"/>
        <v>70</v>
      </c>
      <c r="F27" s="1" t="str">
        <f ca="1">INDEX(Names!D:D,$E27,1)</f>
        <v>Mattie</v>
      </c>
      <c r="G27" s="1" t="str">
        <f ca="1">INDEX(Names!F:F,$E27,1)</f>
        <v>Brown</v>
      </c>
      <c r="H27" t="str">
        <f ca="1">INDEX(Lookups!C:C,RANDBETWEEN(2,7),1)</f>
        <v>rg:None</v>
      </c>
      <c r="I27" t="str">
        <f t="shared" ca="1" si="5"/>
        <v>rg:None</v>
      </c>
      <c r="J27" t="str">
        <f ca="1">INDEX(Names!P:P,$E27,1)</f>
        <v>250-858-4353</v>
      </c>
      <c r="K27" s="1" t="str">
        <f ca="1">INDEX(Lookups!D:D,RANDBETWEEN(2,4),1)</f>
        <v>Yard</v>
      </c>
      <c r="L27" t="str">
        <f t="shared" ca="1" si="6"/>
        <v/>
      </c>
      <c r="M27" t="str">
        <f ca="1">INDEX(Lookups!D:D,RANDBETWEEN(2,4),1)</f>
        <v>Yard</v>
      </c>
      <c r="N27" t="str">
        <f t="shared" ca="1" si="0"/>
        <v>rg:[ {'id':'200025', 'type': 'Yard',  'phoneNumber': '250-858-4353'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MAX(Owners.csv!C:C)),"-",IF(ISNUMBER(C27),IF(RANDBETWEEN(1,5)&gt;3,C27+1,C27),Owners.csv!C28))</f>
        <v>200008</v>
      </c>
      <c r="D28" t="str">
        <f t="shared" ca="1" si="3"/>
        <v>rg:{'id':'200008'}</v>
      </c>
      <c r="E28">
        <f t="shared" ca="1" si="4"/>
        <v>44</v>
      </c>
      <c r="F28" s="1" t="str">
        <f ca="1">INDEX(Names!D:D,$E28,1)</f>
        <v>Todd</v>
      </c>
      <c r="G28" s="1" t="str">
        <f ca="1">INDEX(Names!F:F,$E28,1)</f>
        <v>Daniels</v>
      </c>
      <c r="H28" t="str">
        <f ca="1">INDEX(Lookups!C:C,RANDBETWEEN(2,7),1)</f>
        <v>Driver</v>
      </c>
      <c r="I28" t="str">
        <f t="shared" ca="1" si="5"/>
        <v>This is a note</v>
      </c>
      <c r="J28" t="str">
        <f ca="1">INDEX(Names!P:P,$E28,1)</f>
        <v>250-731-5024</v>
      </c>
      <c r="K28" s="1" t="str">
        <f ca="1">INDEX(Lookups!D:D,RANDBETWEEN(2,4),1)</f>
        <v>Yard</v>
      </c>
      <c r="L28" t="str">
        <f t="shared" ca="1" si="6"/>
        <v/>
      </c>
      <c r="M28" t="str">
        <f ca="1">INDEX(Lookups!D:D,RANDBETWEEN(2,4),1)</f>
        <v>Yard</v>
      </c>
      <c r="N28" t="str">
        <f t="shared" ca="1" si="0"/>
        <v>rg:[ {'id':'200026', 'type': 'Yard',  'phoneNumber': '250-731-5024'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MAX(Owners.csv!C:C)),"-",IF(ISNUMBER(C28),IF(RANDBETWEEN(1,5)&gt;3,C28+1,C28),Owners.csv!C29))</f>
        <v>200008</v>
      </c>
      <c r="D29" t="str">
        <f t="shared" ca="1" si="3"/>
        <v>rg:{'id':'200008'}</v>
      </c>
      <c r="E29">
        <f t="shared" ca="1" si="4"/>
        <v>38</v>
      </c>
      <c r="F29" s="1" t="str">
        <f ca="1">INDEX(Names!D:D,$E29,1)</f>
        <v>Keli</v>
      </c>
      <c r="G29" s="1" t="str">
        <f ca="1">INDEX(Names!F:F,$E29,1)</f>
        <v>Warren</v>
      </c>
      <c r="H29" t="str">
        <f ca="1">INDEX(Lookups!C:C,RANDBETWEEN(2,7),1)</f>
        <v>rg:None</v>
      </c>
      <c r="I29" t="str">
        <f t="shared" ca="1" si="5"/>
        <v>This is a note</v>
      </c>
      <c r="J29" t="str">
        <f ca="1">INDEX(Names!P:P,$E29,1)</f>
        <v>604-646-2730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Work</v>
      </c>
      <c r="N29" t="str">
        <f t="shared" ca="1" si="0"/>
        <v>rg:[ {'id':'200027', 'type': 'Yard',  'phoneNumber': '604-646-2730'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MAX(Owners.csv!C:C)),"-",IF(ISNUMBER(C29),IF(RANDBETWEEN(1,5)&gt;3,C29+1,C29),Owners.csv!C30))</f>
        <v>200009</v>
      </c>
      <c r="D30" t="str">
        <f t="shared" ca="1" si="3"/>
        <v>rg:{'id':'200009'}</v>
      </c>
      <c r="E30">
        <f t="shared" ca="1" si="4"/>
        <v>98</v>
      </c>
      <c r="F30" s="1" t="str">
        <f ca="1">INDEX(Names!D:D,$E30,1)</f>
        <v>Mildred</v>
      </c>
      <c r="G30" s="1" t="str">
        <f ca="1">INDEX(Names!F:F,$E30,1)</f>
        <v>Trevino</v>
      </c>
      <c r="H30" t="str">
        <f ca="1">INDEX(Lookups!C:C,RANDBETWEEN(2,7),1)</f>
        <v>Mechanic</v>
      </c>
      <c r="I30" t="str">
        <f t="shared" ca="1" si="5"/>
        <v>rg:None</v>
      </c>
      <c r="J30" t="str">
        <f ca="1">INDEX(Names!P:P,$E30,1)</f>
        <v>778-688-4239</v>
      </c>
      <c r="K30" s="1" t="str">
        <f ca="1">INDEX(Lookups!D:D,RANDBETWEEN(2,4),1)</f>
        <v>Yard</v>
      </c>
      <c r="L30" t="str">
        <f t="shared" ca="1" si="6"/>
        <v/>
      </c>
      <c r="M30" t="str">
        <f ca="1">INDEX(Lookups!D:D,RANDBETWEEN(2,4),1)</f>
        <v>Yard</v>
      </c>
      <c r="N30" t="str">
        <f t="shared" ca="1" si="0"/>
        <v>rg:[ {'id':'200028', 'type': 'Yard',  'phoneNumber': '778-688-4239'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MAX(Owners.csv!C:C)),"-",IF(ISNUMBER(C30),IF(RANDBETWEEN(1,5)&gt;3,C30+1,C30),Owners.csv!C31))</f>
        <v>200009</v>
      </c>
      <c r="D31" t="str">
        <f t="shared" ca="1" si="3"/>
        <v>rg:{'id':'200009'}</v>
      </c>
      <c r="E31">
        <f t="shared" ca="1" si="4"/>
        <v>115</v>
      </c>
      <c r="F31" s="1" t="str">
        <f ca="1">INDEX(Names!D:D,$E31,1)</f>
        <v>Richard</v>
      </c>
      <c r="G31" s="1" t="str">
        <f ca="1">INDEX(Names!F:F,$E31,1)</f>
        <v>Kline</v>
      </c>
      <c r="H31" t="str">
        <f ca="1">INDEX(Lookups!C:C,RANDBETWEEN(2,7),1)</f>
        <v>Assistant</v>
      </c>
      <c r="I31" t="str">
        <f t="shared" ca="1" si="5"/>
        <v>rg:None</v>
      </c>
      <c r="J31" t="str">
        <f ca="1">INDEX(Names!P:P,$E31,1)</f>
        <v>250-357-1332</v>
      </c>
      <c r="K31" s="1" t="str">
        <f ca="1">INDEX(Lookups!D:D,RANDBETWEEN(2,4),1)</f>
        <v>Yard</v>
      </c>
      <c r="L31" t="str">
        <f t="shared" ca="1" si="6"/>
        <v/>
      </c>
      <c r="M31" t="str">
        <f ca="1">INDEX(Lookups!D:D,RANDBETWEEN(2,4),1)</f>
        <v>Yard</v>
      </c>
      <c r="N31" t="str">
        <f t="shared" ca="1" si="0"/>
        <v>rg:[ {'id':'200029', 'type': 'Yard',  'phoneNumber': '250-357-1332'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MAX(Owners.csv!C:C)),"-",IF(ISNUMBER(C31),IF(RANDBETWEEN(1,5)&gt;3,C31+1,C31),Owners.csv!C32))</f>
        <v>200009</v>
      </c>
      <c r="D32" t="str">
        <f t="shared" ca="1" si="3"/>
        <v>rg:{'id':'200009'}</v>
      </c>
      <c r="E32">
        <f t="shared" ca="1" si="4"/>
        <v>75</v>
      </c>
      <c r="F32" s="1" t="str">
        <f ca="1">INDEX(Names!D:D,$E32,1)</f>
        <v>Margaret</v>
      </c>
      <c r="G32" s="1" t="str">
        <f ca="1">INDEX(Names!F:F,$E32,1)</f>
        <v>Reynolds</v>
      </c>
      <c r="H32" t="str">
        <f ca="1">INDEX(Lookups!C:C,RANDBETWEEN(2,7),1)</f>
        <v>Supervisor</v>
      </c>
      <c r="I32" t="str">
        <f t="shared" ca="1" si="5"/>
        <v>rg:None</v>
      </c>
      <c r="J32" t="str">
        <f ca="1">INDEX(Names!P:P,$E32,1)</f>
        <v>604-556-6977</v>
      </c>
      <c r="K32" s="1" t="str">
        <f ca="1">INDEX(Lookups!D:D,RANDBETWEEN(2,4),1)</f>
        <v>Yard</v>
      </c>
      <c r="L32" t="str">
        <f t="shared" ca="1" si="6"/>
        <v>604-556-8595</v>
      </c>
      <c r="M32" t="str">
        <f ca="1">INDEX(Lookups!D:D,RANDBETWEEN(2,4),1)</f>
        <v>Yard</v>
      </c>
      <c r="N32" t="str">
        <f t="shared" ca="1" si="0"/>
        <v>rg:[ {'id':'200030', 'type': 'Yard',  'phoneNumber': '604-556-6977' },{'type': 'Yard',  'phoneNumber': '604-556-8595'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MAX(Owners.csv!C:C)),"-",IF(ISNUMBER(C32),IF(RANDBETWEEN(1,5)&gt;3,C32+1,C32),Owners.csv!C33))</f>
        <v>200009</v>
      </c>
      <c r="D33" t="str">
        <f t="shared" ca="1" si="3"/>
        <v>rg:{'id':'200009'}</v>
      </c>
      <c r="E33">
        <f t="shared" ca="1" si="4"/>
        <v>100</v>
      </c>
      <c r="F33" s="1" t="str">
        <f ca="1">INDEX(Names!D:D,$E33,1)</f>
        <v>Evelyn</v>
      </c>
      <c r="G33" s="1" t="str">
        <f ca="1">INDEX(Names!F:F,$E33,1)</f>
        <v>Taylor</v>
      </c>
      <c r="H33" t="str">
        <f ca="1">INDEX(Lookups!C:C,RANDBETWEEN(2,7),1)</f>
        <v>Mechanic</v>
      </c>
      <c r="I33" t="str">
        <f t="shared" ca="1" si="5"/>
        <v>rg:None</v>
      </c>
      <c r="J33" t="str">
        <f ca="1">INDEX(Names!P:P,$E33,1)</f>
        <v>604-632-0078</v>
      </c>
      <c r="K33" s="1" t="str">
        <f ca="1">INDEX(Lookups!D:D,RANDBETWEEN(2,4),1)</f>
        <v>Cell</v>
      </c>
      <c r="L33" t="str">
        <f t="shared" ca="1" si="6"/>
        <v/>
      </c>
      <c r="M33" t="str">
        <f ca="1">INDEX(Lookups!D:D,RANDBETWEEN(2,4),1)</f>
        <v>Yard</v>
      </c>
      <c r="N33" t="str">
        <f t="shared" ca="1" si="0"/>
        <v>rg:[ {'id':'200031', 'type': 'Cell',  'phoneNumber': '604-632-0078'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MAX(Owners.csv!C:C)),"-",IF(ISNUMBER(C33),IF(RANDBETWEEN(1,5)&gt;3,C33+1,C33),Owners.csv!C34))</f>
        <v>200009</v>
      </c>
      <c r="D34" t="str">
        <f t="shared" ca="1" si="3"/>
        <v>rg:{'id':'200009'}</v>
      </c>
      <c r="E34">
        <f t="shared" ca="1" si="4"/>
        <v>143</v>
      </c>
      <c r="F34" s="1" t="str">
        <f ca="1">INDEX(Names!D:D,$E34,1)</f>
        <v>John</v>
      </c>
      <c r="G34" s="1" t="str">
        <f ca="1">INDEX(Names!F:F,$E34,1)</f>
        <v>Shaffer</v>
      </c>
      <c r="H34" t="str">
        <f ca="1">INDEX(Lookups!C:C,RANDBETWEEN(2,7),1)</f>
        <v>Owner</v>
      </c>
      <c r="I34" t="str">
        <f t="shared" ca="1" si="5"/>
        <v>rg:None</v>
      </c>
      <c r="J34" t="str">
        <f ca="1">INDEX(Names!P:P,$E34,1)</f>
        <v>604-932-1761</v>
      </c>
      <c r="K34" s="1" t="str">
        <f ca="1">INDEX(Lookups!D:D,RANDBETWEEN(2,4),1)</f>
        <v>Work</v>
      </c>
      <c r="L34" t="str">
        <f t="shared" ca="1" si="6"/>
        <v/>
      </c>
      <c r="M34" t="str">
        <f ca="1">INDEX(Lookups!D:D,RANDBETWEEN(2,4),1)</f>
        <v>Work</v>
      </c>
      <c r="N34" t="str">
        <f t="shared" ca="1" si="0"/>
        <v>rg:[ {'id':'200032', 'type': 'Work',  'phoneNumber': '604-932-1761'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B35" s="4"/>
      <c r="F35" s="1"/>
      <c r="G35" s="1"/>
      <c r="K35" s="1"/>
    </row>
    <row r="36" spans="1:16" x14ac:dyDescent="0.3">
      <c r="B36" s="4"/>
      <c r="F36" s="1"/>
      <c r="G36" s="1"/>
      <c r="K36" s="1"/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5512</v>
      </c>
      <c r="C1" t="s">
        <v>5501</v>
      </c>
      <c r="D1" t="s">
        <v>5514</v>
      </c>
      <c r="E1" t="s">
        <v>5515</v>
      </c>
      <c r="F1" t="s">
        <v>5516</v>
      </c>
      <c r="G1" t="s">
        <v>5517</v>
      </c>
      <c r="H1" t="s">
        <v>5518</v>
      </c>
      <c r="I1" t="s">
        <v>5519</v>
      </c>
    </row>
    <row r="2" spans="1:9" x14ac:dyDescent="0.3">
      <c r="A2">
        <v>1</v>
      </c>
      <c r="B2">
        <f ca="1">RANDBETWEEN(2,150)</f>
        <v>42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2191 Blind Bay Road</v>
      </c>
      <c r="F2" t="s">
        <v>113</v>
      </c>
      <c r="G2" t="str">
        <f ca="1">INDEX(Names!H:H,$B2,1)</f>
        <v>Clearwater</v>
      </c>
      <c r="H2" t="str">
        <f ca="1">INDEX(Names!I:I,$B2,1)</f>
        <v>BC</v>
      </c>
      <c r="I2" t="str">
        <f ca="1">INDEX(Names!J:J,$B2,1)</f>
        <v>V0E 1N0</v>
      </c>
    </row>
    <row r="3" spans="1:9" x14ac:dyDescent="0.3">
      <c r="A3">
        <f>A2+1</f>
        <v>2</v>
      </c>
      <c r="B3">
        <f t="shared" ref="B3:B66" ca="1" si="0">RANDBETWEEN(2,150)</f>
        <v>145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1710 Yoho Valley Road</v>
      </c>
      <c r="F3" t="s">
        <v>113</v>
      </c>
      <c r="G3" t="str">
        <f ca="1">INDEX(Names!H:H,$B3,1)</f>
        <v>Golden</v>
      </c>
      <c r="H3" t="str">
        <f ca="1">INDEX(Names!I:I,$B3,1)</f>
        <v>BC</v>
      </c>
      <c r="I3" t="str">
        <f ca="1">INDEX(Names!J:J,$B3,1)</f>
        <v>V0A 1H0</v>
      </c>
    </row>
    <row r="4" spans="1:9" x14ac:dyDescent="0.3">
      <c r="A4">
        <f t="shared" ref="A4:A67" si="2">A3+1</f>
        <v>3</v>
      </c>
      <c r="B4">
        <f t="shared" ca="1" si="0"/>
        <v>118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104 Roger Street</v>
      </c>
      <c r="F4" t="s">
        <v>113</v>
      </c>
      <c r="G4" t="str">
        <f ca="1">INDEX(Names!H:H,$B4,1)</f>
        <v>Comox</v>
      </c>
      <c r="H4" t="str">
        <f ca="1">INDEX(Names!I:I,$B4,1)</f>
        <v>BC</v>
      </c>
      <c r="I4" t="str">
        <f ca="1">INDEX(Names!J:J,$B4,1)</f>
        <v>V9N 6A1</v>
      </c>
    </row>
    <row r="5" spans="1:9" x14ac:dyDescent="0.3">
      <c r="A5">
        <f t="shared" si="2"/>
        <v>4</v>
      </c>
      <c r="B5">
        <f t="shared" ca="1" si="0"/>
        <v>149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806 Coldstream Avenue</v>
      </c>
      <c r="F5" t="s">
        <v>113</v>
      </c>
      <c r="G5" t="str">
        <f ca="1">INDEX(Names!H:H,$B5,1)</f>
        <v>Vernon</v>
      </c>
      <c r="H5" t="str">
        <f ca="1">INDEX(Names!I:I,$B5,1)</f>
        <v>BC</v>
      </c>
      <c r="I5" t="str">
        <f ca="1">INDEX(Names!J:J,$B5,1)</f>
        <v>V1T 6N1</v>
      </c>
    </row>
    <row r="6" spans="1:9" x14ac:dyDescent="0.3">
      <c r="A6">
        <f t="shared" si="2"/>
        <v>5</v>
      </c>
      <c r="B6">
        <f t="shared" ca="1" si="0"/>
        <v>90</v>
      </c>
      <c r="C6">
        <f t="shared" si="1"/>
        <v>200004</v>
      </c>
      <c r="D6" t="str">
        <f ca="1">INDEX(Lookups!E:E,RANDBETWEEN(2,4),1)</f>
        <v>Headquarters</v>
      </c>
      <c r="E6" t="str">
        <f ca="1">INDEX(Names!G:G,$B6,1)</f>
        <v>2038 Tchesinkut Lake Rd</v>
      </c>
      <c r="F6" t="s">
        <v>113</v>
      </c>
      <c r="G6" t="str">
        <f ca="1">INDEX(Names!H:H,$B6,1)</f>
        <v>Houston</v>
      </c>
      <c r="H6" t="str">
        <f ca="1">INDEX(Names!I:I,$B6,1)</f>
        <v>BC</v>
      </c>
      <c r="I6" t="str">
        <f ca="1">INDEX(Names!J:J,$B6,1)</f>
        <v>V0J 1Z0</v>
      </c>
    </row>
    <row r="7" spans="1:9" x14ac:dyDescent="0.3">
      <c r="A7">
        <f t="shared" si="2"/>
        <v>6</v>
      </c>
      <c r="B7">
        <f t="shared" ca="1" si="0"/>
        <v>147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1356 Old Spallumcheen Rd</v>
      </c>
      <c r="F7" t="s">
        <v>113</v>
      </c>
      <c r="G7" t="str">
        <f ca="1">INDEX(Names!H:H,$B7,1)</f>
        <v>Yarrow</v>
      </c>
      <c r="H7" t="str">
        <f ca="1">INDEX(Names!I:I,$B7,1)</f>
        <v>BC</v>
      </c>
      <c r="I7" t="str">
        <f ca="1">INDEX(Names!J:J,$B7,1)</f>
        <v>V0X 2A0</v>
      </c>
    </row>
    <row r="8" spans="1:9" x14ac:dyDescent="0.3">
      <c r="A8">
        <f t="shared" si="2"/>
        <v>7</v>
      </c>
      <c r="B8">
        <f t="shared" ca="1" si="0"/>
        <v>125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4834 Queens Bay</v>
      </c>
      <c r="F8" t="s">
        <v>113</v>
      </c>
      <c r="G8" t="str">
        <f ca="1">INDEX(Names!H:H,$B8,1)</f>
        <v>Castlegar</v>
      </c>
      <c r="H8" t="str">
        <f ca="1">INDEX(Names!I:I,$B8,1)</f>
        <v>BC</v>
      </c>
      <c r="I8" t="str">
        <f ca="1">INDEX(Names!J:J,$B8,1)</f>
        <v>V0G 2G0</v>
      </c>
    </row>
    <row r="9" spans="1:9" x14ac:dyDescent="0.3">
      <c r="A9">
        <f t="shared" si="2"/>
        <v>8</v>
      </c>
      <c r="B9">
        <f t="shared" ca="1" si="0"/>
        <v>106</v>
      </c>
      <c r="C9">
        <f t="shared" si="1"/>
        <v>200007</v>
      </c>
      <c r="D9" t="str">
        <f ca="1">INDEX(Lookups!E:E,RANDBETWEEN(2,4),1)</f>
        <v>Headquarters</v>
      </c>
      <c r="E9" t="str">
        <f ca="1">INDEX(Names!G:G,$B9,1)</f>
        <v>4879 Roger Street</v>
      </c>
      <c r="F9" t="s">
        <v>113</v>
      </c>
      <c r="G9" t="str">
        <f ca="1">INDEX(Names!H:H,$B9,1)</f>
        <v>Nanaimo</v>
      </c>
      <c r="H9" t="str">
        <f ca="1">INDEX(Names!I:I,$B9,1)</f>
        <v>BC</v>
      </c>
      <c r="I9" t="str">
        <f ca="1">INDEX(Names!J:J,$B9,1)</f>
        <v>V9R 5H4</v>
      </c>
    </row>
    <row r="10" spans="1:9" x14ac:dyDescent="0.3">
      <c r="A10">
        <f t="shared" si="2"/>
        <v>9</v>
      </c>
      <c r="B10">
        <f t="shared" ca="1" si="0"/>
        <v>112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2383 Brew Creek Rd</v>
      </c>
      <c r="F10" t="s">
        <v>113</v>
      </c>
      <c r="G10" t="str">
        <f ca="1">INDEX(Names!H:H,$B10,1)</f>
        <v>Whistler</v>
      </c>
      <c r="H10" t="str">
        <f ca="1">INDEX(Names!I:I,$B10,1)</f>
        <v>BC</v>
      </c>
      <c r="I10" t="str">
        <f ca="1">INDEX(Names!J:J,$B10,1)</f>
        <v>V0N 1B0</v>
      </c>
    </row>
    <row r="11" spans="1:9" x14ac:dyDescent="0.3">
      <c r="A11">
        <f t="shared" si="2"/>
        <v>10</v>
      </c>
      <c r="B11">
        <f t="shared" ca="1" si="0"/>
        <v>150</v>
      </c>
      <c r="C11">
        <f t="shared" si="1"/>
        <v>200009</v>
      </c>
      <c r="D11" t="str">
        <f ca="1">INDEX(Lookups!E:E,RANDBETWEEN(2,4),1)</f>
        <v>Field Office</v>
      </c>
      <c r="E11" t="str">
        <f ca="1">INDEX(Names!G:G,$B11,1)</f>
        <v>4256 Kinchant St</v>
      </c>
      <c r="F11" t="s">
        <v>113</v>
      </c>
      <c r="G11" t="str">
        <f ca="1">INDEX(Names!H:H,$B11,1)</f>
        <v>Williams Lake</v>
      </c>
      <c r="H11" t="str">
        <f ca="1">INDEX(Names!I:I,$B11,1)</f>
        <v>BC</v>
      </c>
      <c r="I11" t="str">
        <f ca="1">INDEX(Names!J:J,$B11,1)</f>
        <v>V2G 1C4</v>
      </c>
    </row>
    <row r="12" spans="1:9" x14ac:dyDescent="0.3">
      <c r="A12">
        <f t="shared" si="2"/>
        <v>11</v>
      </c>
      <c r="B12">
        <f t="shared" ca="1" si="0"/>
        <v>94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914 Yoho Valley Road</v>
      </c>
      <c r="F12" t="s">
        <v>113</v>
      </c>
      <c r="G12" t="str">
        <f ca="1">INDEX(Names!H:H,$B12,1)</f>
        <v>Invermere</v>
      </c>
      <c r="H12" t="str">
        <f ca="1">INDEX(Names!I:I,$B12,1)</f>
        <v>BC</v>
      </c>
      <c r="I12" t="str">
        <f ca="1">INDEX(Names!J:J,$B12,1)</f>
        <v>V0A 1K0</v>
      </c>
    </row>
    <row r="13" spans="1:9" x14ac:dyDescent="0.3">
      <c r="A13">
        <f t="shared" si="2"/>
        <v>12</v>
      </c>
      <c r="B13">
        <f t="shared" ca="1" si="0"/>
        <v>15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3356 Wallace Street</v>
      </c>
      <c r="F13" t="s">
        <v>113</v>
      </c>
      <c r="G13" t="str">
        <f ca="1">INDEX(Names!H:H,$B13,1)</f>
        <v>Nanaimo</v>
      </c>
      <c r="H13" t="str">
        <f ca="1">INDEX(Names!I:I,$B13,1)</f>
        <v>BC</v>
      </c>
      <c r="I13" t="str">
        <f ca="1">INDEX(Names!J:J,$B13,1)</f>
        <v>V9R 3A8</v>
      </c>
    </row>
    <row r="14" spans="1:9" x14ac:dyDescent="0.3">
      <c r="A14">
        <f t="shared" si="2"/>
        <v>13</v>
      </c>
      <c r="B14">
        <f t="shared" ca="1" si="0"/>
        <v>82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2565 Tchesinkut Lake Rd</v>
      </c>
      <c r="F14" t="s">
        <v>113</v>
      </c>
      <c r="G14" t="str">
        <f ca="1">INDEX(Names!H:H,$B14,1)</f>
        <v>Mcbride</v>
      </c>
      <c r="H14" t="str">
        <f ca="1">INDEX(Names!I:I,$B14,1)</f>
        <v>BC</v>
      </c>
      <c r="I14" t="str">
        <f ca="1">INDEX(Names!J:J,$B14,1)</f>
        <v>V0J 2E0</v>
      </c>
    </row>
    <row r="15" spans="1:9" x14ac:dyDescent="0.3">
      <c r="A15">
        <f t="shared" si="2"/>
        <v>14</v>
      </c>
      <c r="B15">
        <f t="shared" ca="1" si="0"/>
        <v>75</v>
      </c>
      <c r="C15">
        <f t="shared" si="1"/>
        <v>200013</v>
      </c>
      <c r="D15" t="str">
        <f ca="1">INDEX(Lookups!E:E,RANDBETWEEN(2,4),1)</f>
        <v>Bus Yard</v>
      </c>
      <c r="E15" t="str">
        <f ca="1">INDEX(Names!G:G,$B15,1)</f>
        <v>4305 Essendene Avenue</v>
      </c>
      <c r="F15" t="s">
        <v>113</v>
      </c>
      <c r="G15" t="str">
        <f ca="1">INDEX(Names!H:H,$B15,1)</f>
        <v>Abbotsford</v>
      </c>
      <c r="H15" t="str">
        <f ca="1">INDEX(Names!I:I,$B15,1)</f>
        <v>BC</v>
      </c>
      <c r="I15" t="str">
        <f ca="1">INDEX(Names!J:J,$B15,1)</f>
        <v>V2S 2H7</v>
      </c>
    </row>
    <row r="16" spans="1:9" x14ac:dyDescent="0.3">
      <c r="A16">
        <f t="shared" si="2"/>
        <v>15</v>
      </c>
      <c r="B16">
        <f t="shared" ca="1" si="0"/>
        <v>78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2578 Glover Road</v>
      </c>
      <c r="F16" t="s">
        <v>113</v>
      </c>
      <c r="G16" t="str">
        <f ca="1">INDEX(Names!H:H,$B16,1)</f>
        <v>Fort Langley</v>
      </c>
      <c r="H16" t="str">
        <f ca="1">INDEX(Names!I:I,$B16,1)</f>
        <v>BC</v>
      </c>
      <c r="I16" t="str">
        <f ca="1">INDEX(Names!J:J,$B16,1)</f>
        <v>V3A 6X5</v>
      </c>
    </row>
    <row r="17" spans="1:9" x14ac:dyDescent="0.3">
      <c r="A17">
        <f t="shared" si="2"/>
        <v>16</v>
      </c>
      <c r="B17">
        <f t="shared" ca="1" si="0"/>
        <v>47</v>
      </c>
      <c r="C17">
        <f t="shared" si="1"/>
        <v>200015</v>
      </c>
      <c r="D17" t="str">
        <f ca="1">INDEX(Lookups!E:E,RANDBETWEEN(2,4),1)</f>
        <v>Bus Yard</v>
      </c>
      <c r="E17" t="str">
        <f ca="1">INDEX(Names!G:G,$B17,1)</f>
        <v>4536 Brew Creek Rd</v>
      </c>
      <c r="F17" t="s">
        <v>113</v>
      </c>
      <c r="G17" t="str">
        <f ca="1">INDEX(Names!H:H,$B17,1)</f>
        <v>Port Hardy</v>
      </c>
      <c r="H17" t="str">
        <f ca="1">INDEX(Names!I:I,$B17,1)</f>
        <v>BC</v>
      </c>
      <c r="I17" t="str">
        <f ca="1">INDEX(Names!J:J,$B17,1)</f>
        <v>V0N 2P0</v>
      </c>
    </row>
    <row r="18" spans="1:9" x14ac:dyDescent="0.3">
      <c r="A18">
        <f t="shared" si="2"/>
        <v>17</v>
      </c>
      <c r="B18">
        <f t="shared" ca="1" si="0"/>
        <v>133</v>
      </c>
      <c r="C18">
        <f t="shared" si="1"/>
        <v>200016</v>
      </c>
      <c r="D18" t="str">
        <f ca="1">INDEX(Lookups!E:E,RANDBETWEEN(2,4),1)</f>
        <v>Headquarters</v>
      </c>
      <c r="E18" t="str">
        <f ca="1">INDEX(Names!G:G,$B18,1)</f>
        <v>232 Cordova Street</v>
      </c>
      <c r="F18" t="s">
        <v>113</v>
      </c>
      <c r="G18" t="str">
        <f ca="1">INDEX(Names!H:H,$B18,1)</f>
        <v>Vancouver</v>
      </c>
      <c r="H18" t="str">
        <f ca="1">INDEX(Names!I:I,$B18,1)</f>
        <v>BC</v>
      </c>
      <c r="I18" t="str">
        <f ca="1">INDEX(Names!J:J,$B18,1)</f>
        <v>V6B 1E1</v>
      </c>
    </row>
    <row r="19" spans="1:9" x14ac:dyDescent="0.3">
      <c r="A19">
        <f t="shared" si="2"/>
        <v>18</v>
      </c>
      <c r="B19">
        <f t="shared" ca="1" si="0"/>
        <v>132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4600 Roger Street</v>
      </c>
      <c r="F19" t="s">
        <v>113</v>
      </c>
      <c r="G19" t="str">
        <f ca="1">INDEX(Names!H:H,$B19,1)</f>
        <v>Nanaimo</v>
      </c>
      <c r="H19" t="str">
        <f ca="1">INDEX(Names!I:I,$B19,1)</f>
        <v>BC</v>
      </c>
      <c r="I19" t="str">
        <f ca="1">INDEX(Names!J:J,$B19,1)</f>
        <v>V9R 5H9</v>
      </c>
    </row>
    <row r="20" spans="1:9" x14ac:dyDescent="0.3">
      <c r="A20">
        <f t="shared" si="2"/>
        <v>19</v>
      </c>
      <c r="B20">
        <f t="shared" ca="1" si="0"/>
        <v>55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1967 Findlay Creek Road</v>
      </c>
      <c r="F20" t="s">
        <v>113</v>
      </c>
      <c r="G20" t="str">
        <f ca="1">INDEX(Names!H:H,$B20,1)</f>
        <v>Fernie</v>
      </c>
      <c r="H20" t="str">
        <f ca="1">INDEX(Names!I:I,$B20,1)</f>
        <v>BC</v>
      </c>
      <c r="I20" t="str">
        <f ca="1">INDEX(Names!J:J,$B20,1)</f>
        <v>V0B 1M1</v>
      </c>
    </row>
    <row r="21" spans="1:9" x14ac:dyDescent="0.3">
      <c r="A21">
        <f t="shared" si="2"/>
        <v>20</v>
      </c>
      <c r="B21">
        <f t="shared" ca="1" si="0"/>
        <v>45</v>
      </c>
      <c r="C21">
        <f t="shared" si="1"/>
        <v>200019</v>
      </c>
      <c r="D21" t="str">
        <f ca="1">INDEX(Lookups!E:E,RANDBETWEEN(2,4),1)</f>
        <v>Bus Yard</v>
      </c>
      <c r="E21" t="str">
        <f ca="1">INDEX(Names!G:G,$B21,1)</f>
        <v>4228 Keith Road</v>
      </c>
      <c r="F21" t="s">
        <v>113</v>
      </c>
      <c r="G21" t="str">
        <f ca="1">INDEX(Names!H:H,$B21,1)</f>
        <v>North Vancouver</v>
      </c>
      <c r="H21" t="str">
        <f ca="1">INDEX(Names!I:I,$B21,1)</f>
        <v>BC</v>
      </c>
      <c r="I21" t="str">
        <f ca="1">INDEX(Names!J:J,$B21,1)</f>
        <v>V5T 2C1</v>
      </c>
    </row>
    <row r="22" spans="1:9" x14ac:dyDescent="0.3">
      <c r="A22">
        <f t="shared" si="2"/>
        <v>21</v>
      </c>
      <c r="B22">
        <f t="shared" ca="1" si="0"/>
        <v>55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1967 Findlay Creek Road</v>
      </c>
      <c r="F22" t="s">
        <v>113</v>
      </c>
      <c r="G22" t="str">
        <f ca="1">INDEX(Names!H:H,$B22,1)</f>
        <v>Fernie</v>
      </c>
      <c r="H22" t="str">
        <f ca="1">INDEX(Names!I:I,$B22,1)</f>
        <v>BC</v>
      </c>
      <c r="I22" t="str">
        <f ca="1">INDEX(Names!J:J,$B22,1)</f>
        <v>V0B 1M1</v>
      </c>
    </row>
    <row r="23" spans="1:9" x14ac:dyDescent="0.3">
      <c r="A23">
        <f t="shared" si="2"/>
        <v>22</v>
      </c>
      <c r="B23">
        <f t="shared" ca="1" si="0"/>
        <v>106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4879 Roger Street</v>
      </c>
      <c r="F23" t="s">
        <v>113</v>
      </c>
      <c r="G23" t="str">
        <f ca="1">INDEX(Names!H:H,$B23,1)</f>
        <v>Nanaimo</v>
      </c>
      <c r="H23" t="str">
        <f ca="1">INDEX(Names!I:I,$B23,1)</f>
        <v>BC</v>
      </c>
      <c r="I23" t="str">
        <f ca="1">INDEX(Names!J:J,$B23,1)</f>
        <v>V9R 5H4</v>
      </c>
    </row>
    <row r="24" spans="1:9" x14ac:dyDescent="0.3">
      <c r="A24">
        <f t="shared" si="2"/>
        <v>23</v>
      </c>
      <c r="B24">
        <f t="shared" ca="1" si="0"/>
        <v>75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4305 Essendene Avenue</v>
      </c>
      <c r="F24" t="s">
        <v>113</v>
      </c>
      <c r="G24" t="str">
        <f ca="1">INDEX(Names!H:H,$B24,1)</f>
        <v>Abbotsford</v>
      </c>
      <c r="H24" t="str">
        <f ca="1">INDEX(Names!I:I,$B24,1)</f>
        <v>BC</v>
      </c>
      <c r="I24" t="str">
        <f ca="1">INDEX(Names!J:J,$B24,1)</f>
        <v>V2S 2H7</v>
      </c>
    </row>
    <row r="25" spans="1:9" x14ac:dyDescent="0.3">
      <c r="A25">
        <f t="shared" si="2"/>
        <v>24</v>
      </c>
      <c r="B25">
        <f t="shared" ca="1" si="0"/>
        <v>14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4764 Jade St</v>
      </c>
      <c r="F25" t="s">
        <v>113</v>
      </c>
      <c r="G25" t="str">
        <f ca="1">INDEX(Names!H:H,$B25,1)</f>
        <v>Richmond</v>
      </c>
      <c r="H25" t="str">
        <f ca="1">INDEX(Names!I:I,$B25,1)</f>
        <v>BC</v>
      </c>
      <c r="I25" t="str">
        <f ca="1">INDEX(Names!J:J,$B25,1)</f>
        <v>V7E 2E4</v>
      </c>
    </row>
    <row r="26" spans="1:9" x14ac:dyDescent="0.3">
      <c r="A26">
        <f t="shared" si="2"/>
        <v>25</v>
      </c>
      <c r="B26">
        <f t="shared" ca="1" si="0"/>
        <v>23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4761 King George Hwy</v>
      </c>
      <c r="F26" t="s">
        <v>113</v>
      </c>
      <c r="G26" t="str">
        <f ca="1">INDEX(Names!H:H,$B26,1)</f>
        <v>Surrey</v>
      </c>
      <c r="H26" t="str">
        <f ca="1">INDEX(Names!I:I,$B26,1)</f>
        <v>BC</v>
      </c>
      <c r="I26" t="str">
        <f ca="1">INDEX(Names!J:J,$B26,1)</f>
        <v>V3W 4E3</v>
      </c>
    </row>
    <row r="27" spans="1:9" x14ac:dyDescent="0.3">
      <c r="A27">
        <f t="shared" si="2"/>
        <v>26</v>
      </c>
      <c r="B27">
        <f t="shared" ca="1" si="0"/>
        <v>90</v>
      </c>
      <c r="C27">
        <f t="shared" si="1"/>
        <v>200025</v>
      </c>
      <c r="D27" t="str">
        <f ca="1">INDEX(Lookups!E:E,RANDBETWEEN(2,4),1)</f>
        <v>Field Office</v>
      </c>
      <c r="E27" t="str">
        <f ca="1">INDEX(Names!G:G,$B27,1)</f>
        <v>2038 Tchesinkut Lake Rd</v>
      </c>
      <c r="F27" t="s">
        <v>113</v>
      </c>
      <c r="G27" t="str">
        <f ca="1">INDEX(Names!H:H,$B27,1)</f>
        <v>Houston</v>
      </c>
      <c r="H27" t="str">
        <f ca="1">INDEX(Names!I:I,$B27,1)</f>
        <v>BC</v>
      </c>
      <c r="I27" t="str">
        <f ca="1">INDEX(Names!J:J,$B27,1)</f>
        <v>V0J 1Z0</v>
      </c>
    </row>
    <row r="28" spans="1:9" x14ac:dyDescent="0.3">
      <c r="A28">
        <f t="shared" si="2"/>
        <v>27</v>
      </c>
      <c r="B28">
        <f t="shared" ca="1" si="0"/>
        <v>150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4256 Kinchant St</v>
      </c>
      <c r="F28" t="s">
        <v>113</v>
      </c>
      <c r="G28" t="str">
        <f ca="1">INDEX(Names!H:H,$B28,1)</f>
        <v>Williams Lake</v>
      </c>
      <c r="H28" t="str">
        <f ca="1">INDEX(Names!I:I,$B28,1)</f>
        <v>BC</v>
      </c>
      <c r="I28" t="str">
        <f ca="1">INDEX(Names!J:J,$B28,1)</f>
        <v>V2G 1C4</v>
      </c>
    </row>
    <row r="29" spans="1:9" x14ac:dyDescent="0.3">
      <c r="A29">
        <f t="shared" si="2"/>
        <v>28</v>
      </c>
      <c r="B29">
        <f t="shared" ca="1" si="0"/>
        <v>57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3246 Alaska Hwy</v>
      </c>
      <c r="F29" t="s">
        <v>113</v>
      </c>
      <c r="G29" t="str">
        <f ca="1">INDEX(Names!H:H,$B29,1)</f>
        <v>Fort Nelson</v>
      </c>
      <c r="H29" t="str">
        <f ca="1">INDEX(Names!I:I,$B29,1)</f>
        <v>BC</v>
      </c>
      <c r="I29" t="str">
        <f ca="1">INDEX(Names!J:J,$B29,1)</f>
        <v>V0C 1C0</v>
      </c>
    </row>
    <row r="30" spans="1:9" x14ac:dyDescent="0.3">
      <c r="A30">
        <f t="shared" si="2"/>
        <v>29</v>
      </c>
      <c r="B30">
        <f t="shared" ca="1" si="0"/>
        <v>102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4963 Kinchant St</v>
      </c>
      <c r="F30" t="s">
        <v>113</v>
      </c>
      <c r="G30" t="str">
        <f ca="1">INDEX(Names!H:H,$B30,1)</f>
        <v>Kamloops</v>
      </c>
      <c r="H30" t="str">
        <f ca="1">INDEX(Names!I:I,$B30,1)</f>
        <v>BC</v>
      </c>
      <c r="I30" t="str">
        <f ca="1">INDEX(Names!J:J,$B30,1)</f>
        <v>V2C 1Y1</v>
      </c>
    </row>
    <row r="31" spans="1:9" x14ac:dyDescent="0.3">
      <c r="A31">
        <f t="shared" si="2"/>
        <v>30</v>
      </c>
      <c r="B31">
        <f t="shared" ca="1" si="0"/>
        <v>23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4761 King George Hwy</v>
      </c>
      <c r="F31" t="s">
        <v>113</v>
      </c>
      <c r="G31" t="str">
        <f ca="1">INDEX(Names!H:H,$B31,1)</f>
        <v>Surrey</v>
      </c>
      <c r="H31" t="str">
        <f ca="1">INDEX(Names!I:I,$B31,1)</f>
        <v>BC</v>
      </c>
      <c r="I31" t="str">
        <f ca="1">INDEX(Names!J:J,$B31,1)</f>
        <v>V3W 4E3</v>
      </c>
    </row>
    <row r="32" spans="1:9" x14ac:dyDescent="0.3">
      <c r="A32">
        <f t="shared" si="2"/>
        <v>31</v>
      </c>
      <c r="B32">
        <f t="shared" ca="1" si="0"/>
        <v>107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998 McGill Road</v>
      </c>
      <c r="F32" t="s">
        <v>113</v>
      </c>
      <c r="G32" t="str">
        <f ca="1">INDEX(Names!H:H,$B32,1)</f>
        <v>Kamloops</v>
      </c>
      <c r="H32" t="str">
        <f ca="1">INDEX(Names!I:I,$B32,1)</f>
        <v>BC</v>
      </c>
      <c r="I32" t="str">
        <f ca="1">INDEX(Names!J:J,$B32,1)</f>
        <v>V2C 5R8</v>
      </c>
    </row>
    <row r="33" spans="1:9" x14ac:dyDescent="0.3">
      <c r="A33">
        <f t="shared" si="2"/>
        <v>32</v>
      </c>
      <c r="B33">
        <f t="shared" ca="1" si="0"/>
        <v>44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1547 Roger Street</v>
      </c>
      <c r="F33" t="s">
        <v>113</v>
      </c>
      <c r="G33" t="str">
        <f ca="1">INDEX(Names!H:H,$B33,1)</f>
        <v>Port Alberni</v>
      </c>
      <c r="H33" t="str">
        <f ca="1">INDEX(Names!I:I,$B33,1)</f>
        <v>BC</v>
      </c>
      <c r="I33" t="str">
        <f ca="1">INDEX(Names!J:J,$B33,1)</f>
        <v>V9Y 4M8</v>
      </c>
    </row>
    <row r="34" spans="1:9" x14ac:dyDescent="0.3">
      <c r="A34">
        <f t="shared" si="2"/>
        <v>33</v>
      </c>
      <c r="B34">
        <f t="shared" ca="1" si="0"/>
        <v>17</v>
      </c>
      <c r="C34">
        <f t="shared" si="1"/>
        <v>200032</v>
      </c>
      <c r="D34" t="str">
        <f ca="1">INDEX(Lookups!E:E,RANDBETWEEN(2,4),1)</f>
        <v>Bus Yard</v>
      </c>
      <c r="E34" t="str">
        <f ca="1">INDEX(Names!G:G,$B34,1)</f>
        <v>2553 Holdom Avenue</v>
      </c>
      <c r="F34" t="s">
        <v>113</v>
      </c>
      <c r="G34" t="str">
        <f ca="1">INDEX(Names!H:H,$B34,1)</f>
        <v>Surrey</v>
      </c>
      <c r="H34" t="str">
        <f ca="1">INDEX(Names!I:I,$B34,1)</f>
        <v>BC</v>
      </c>
      <c r="I34" t="str">
        <f ca="1">INDEX(Names!J:J,$B34,1)</f>
        <v>V3T 4Y5</v>
      </c>
    </row>
    <row r="35" spans="1:9" x14ac:dyDescent="0.3">
      <c r="A35">
        <f t="shared" si="2"/>
        <v>34</v>
      </c>
      <c r="B35">
        <f t="shared" ca="1" si="0"/>
        <v>56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3815 Burdett Avenue</v>
      </c>
      <c r="F35" t="s">
        <v>113</v>
      </c>
      <c r="G35" t="str">
        <f ca="1">INDEX(Names!H:H,$B35,1)</f>
        <v>Victoria</v>
      </c>
      <c r="H35" t="str">
        <f ca="1">INDEX(Names!I:I,$B35,1)</f>
        <v>BC</v>
      </c>
      <c r="I35" t="str">
        <f ca="1">INDEX(Names!J:J,$B35,1)</f>
        <v>V8W 1B2</v>
      </c>
    </row>
    <row r="36" spans="1:9" x14ac:dyDescent="0.3">
      <c r="A36">
        <f t="shared" si="2"/>
        <v>35</v>
      </c>
      <c r="B36">
        <f t="shared" ca="1" si="0"/>
        <v>11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3561 Wellington Ave</v>
      </c>
      <c r="F36" t="s">
        <v>113</v>
      </c>
      <c r="G36" t="str">
        <f ca="1">INDEX(Names!H:H,$B36,1)</f>
        <v>Chilliwack</v>
      </c>
      <c r="H36" t="str">
        <f ca="1">INDEX(Names!I:I,$B36,1)</f>
        <v>BC</v>
      </c>
      <c r="I36" t="str">
        <f ca="1">INDEX(Names!J:J,$B36,1)</f>
        <v>V2P 2M1</v>
      </c>
    </row>
    <row r="37" spans="1:9" x14ac:dyDescent="0.3">
      <c r="A37">
        <f t="shared" si="2"/>
        <v>36</v>
      </c>
      <c r="B37">
        <f t="shared" ca="1" si="0"/>
        <v>140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1719 Blind Bay Road</v>
      </c>
      <c r="F37" t="s">
        <v>113</v>
      </c>
      <c r="G37" t="str">
        <f ca="1">INDEX(Names!H:H,$B37,1)</f>
        <v>Vavenby</v>
      </c>
      <c r="H37" t="str">
        <f ca="1">INDEX(Names!I:I,$B37,1)</f>
        <v>BC</v>
      </c>
      <c r="I37" t="str">
        <f ca="1">INDEX(Names!J:J,$B37,1)</f>
        <v>V0E 3A0</v>
      </c>
    </row>
    <row r="38" spans="1:9" x14ac:dyDescent="0.3">
      <c r="A38">
        <f t="shared" si="2"/>
        <v>37</v>
      </c>
      <c r="B38">
        <f t="shared" ca="1" si="0"/>
        <v>86</v>
      </c>
      <c r="C38">
        <f t="shared" si="1"/>
        <v>200036</v>
      </c>
      <c r="D38" t="str">
        <f ca="1">INDEX(Lookups!E:E,RANDBETWEEN(2,4),1)</f>
        <v>Field Office</v>
      </c>
      <c r="E38" t="str">
        <f ca="1">INDEX(Names!G:G,$B38,1)</f>
        <v>1028 Glover Road</v>
      </c>
      <c r="F38" t="s">
        <v>113</v>
      </c>
      <c r="G38" t="str">
        <f ca="1">INDEX(Names!H:H,$B38,1)</f>
        <v>Langley</v>
      </c>
      <c r="H38" t="str">
        <f ca="1">INDEX(Names!I:I,$B38,1)</f>
        <v>BC</v>
      </c>
      <c r="I38" t="str">
        <f ca="1">INDEX(Names!J:J,$B38,1)</f>
        <v>V3A 1Z3</v>
      </c>
    </row>
    <row r="39" spans="1:9" x14ac:dyDescent="0.3">
      <c r="A39">
        <f t="shared" si="2"/>
        <v>38</v>
      </c>
      <c r="B39">
        <f t="shared" ca="1" si="0"/>
        <v>121</v>
      </c>
      <c r="C39">
        <f t="shared" si="1"/>
        <v>200037</v>
      </c>
      <c r="D39" t="str">
        <f ca="1">INDEX(Lookups!E:E,RANDBETWEEN(2,4),1)</f>
        <v>Field Office</v>
      </c>
      <c r="E39" t="str">
        <f ca="1">INDEX(Names!G:G,$B39,1)</f>
        <v>900 Tchesinkut Lake Rd</v>
      </c>
      <c r="F39" t="s">
        <v>113</v>
      </c>
      <c r="G39" t="str">
        <f ca="1">INDEX(Names!H:H,$B39,1)</f>
        <v>Burns Lake</v>
      </c>
      <c r="H39" t="str">
        <f ca="1">INDEX(Names!I:I,$B39,1)</f>
        <v>BC</v>
      </c>
      <c r="I39" t="str">
        <f ca="1">INDEX(Names!J:J,$B39,1)</f>
        <v>V0J 1E0</v>
      </c>
    </row>
    <row r="40" spans="1:9" x14ac:dyDescent="0.3">
      <c r="A40">
        <f t="shared" si="2"/>
        <v>39</v>
      </c>
      <c r="B40">
        <f t="shared" ca="1" si="0"/>
        <v>70</v>
      </c>
      <c r="C40">
        <f t="shared" si="1"/>
        <v>200038</v>
      </c>
      <c r="D40" t="str">
        <f ca="1">INDEX(Lookups!E:E,RANDBETWEEN(2,4),1)</f>
        <v>Headquarters</v>
      </c>
      <c r="E40" t="str">
        <f ca="1">INDEX(Names!G:G,$B40,1)</f>
        <v>1166 Blanshard</v>
      </c>
      <c r="F40" t="s">
        <v>113</v>
      </c>
      <c r="G40" t="str">
        <f ca="1">INDEX(Names!H:H,$B40,1)</f>
        <v>Victoria</v>
      </c>
      <c r="H40" t="str">
        <f ca="1">INDEX(Names!I:I,$B40,1)</f>
        <v>BC</v>
      </c>
      <c r="I40" t="str">
        <f ca="1">INDEX(Names!J:J,$B40,1)</f>
        <v>V8W 2H9</v>
      </c>
    </row>
    <row r="41" spans="1:9" x14ac:dyDescent="0.3">
      <c r="A41">
        <f t="shared" si="2"/>
        <v>40</v>
      </c>
      <c r="B41">
        <f t="shared" ca="1" si="0"/>
        <v>24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4136 Glover Road</v>
      </c>
      <c r="F41" t="s">
        <v>113</v>
      </c>
      <c r="G41" t="str">
        <f ca="1">INDEX(Names!H:H,$B41,1)</f>
        <v>Langley</v>
      </c>
      <c r="H41" t="str">
        <f ca="1">INDEX(Names!I:I,$B41,1)</f>
        <v>BC</v>
      </c>
      <c r="I41" t="str">
        <f ca="1">INDEX(Names!J:J,$B41,1)</f>
        <v>V3A 4P6</v>
      </c>
    </row>
    <row r="42" spans="1:9" x14ac:dyDescent="0.3">
      <c r="A42">
        <f t="shared" si="2"/>
        <v>41</v>
      </c>
      <c r="B42">
        <f t="shared" ca="1" si="0"/>
        <v>72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936 Coldstream Avenue</v>
      </c>
      <c r="F42" t="s">
        <v>113</v>
      </c>
      <c r="G42" t="str">
        <f ca="1">INDEX(Names!H:H,$B42,1)</f>
        <v>Vernon</v>
      </c>
      <c r="H42" t="str">
        <f ca="1">INDEX(Names!I:I,$B42,1)</f>
        <v>BC</v>
      </c>
      <c r="I42" t="str">
        <f ca="1">INDEX(Names!J:J,$B42,1)</f>
        <v>V1T 6N1</v>
      </c>
    </row>
    <row r="43" spans="1:9" x14ac:dyDescent="0.3">
      <c r="A43">
        <f t="shared" si="2"/>
        <v>42</v>
      </c>
      <c r="B43">
        <f t="shared" ca="1" si="0"/>
        <v>102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4963 Kinchant St</v>
      </c>
      <c r="F43" t="s">
        <v>113</v>
      </c>
      <c r="G43" t="str">
        <f ca="1">INDEX(Names!H:H,$B43,1)</f>
        <v>Kamloops</v>
      </c>
      <c r="H43" t="str">
        <f ca="1">INDEX(Names!I:I,$B43,1)</f>
        <v>BC</v>
      </c>
      <c r="I43" t="str">
        <f ca="1">INDEX(Names!J:J,$B43,1)</f>
        <v>V2C 1Y1</v>
      </c>
    </row>
    <row r="44" spans="1:9" x14ac:dyDescent="0.3">
      <c r="A44">
        <f t="shared" si="2"/>
        <v>43</v>
      </c>
      <c r="B44">
        <f t="shared" ca="1" si="0"/>
        <v>149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806 Coldstream Avenue</v>
      </c>
      <c r="F44" t="s">
        <v>113</v>
      </c>
      <c r="G44" t="str">
        <f ca="1">INDEX(Names!H:H,$B44,1)</f>
        <v>Vernon</v>
      </c>
      <c r="H44" t="str">
        <f ca="1">INDEX(Names!I:I,$B44,1)</f>
        <v>BC</v>
      </c>
      <c r="I44" t="str">
        <f ca="1">INDEX(Names!J:J,$B44,1)</f>
        <v>V1T 6N1</v>
      </c>
    </row>
    <row r="45" spans="1:9" x14ac:dyDescent="0.3">
      <c r="A45">
        <f t="shared" si="2"/>
        <v>44</v>
      </c>
      <c r="B45">
        <f t="shared" ca="1" si="0"/>
        <v>47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4536 Brew Creek Rd</v>
      </c>
      <c r="F45" t="s">
        <v>113</v>
      </c>
      <c r="G45" t="str">
        <f ca="1">INDEX(Names!H:H,$B45,1)</f>
        <v>Port Hardy</v>
      </c>
      <c r="H45" t="str">
        <f ca="1">INDEX(Names!I:I,$B45,1)</f>
        <v>BC</v>
      </c>
      <c r="I45" t="str">
        <f ca="1">INDEX(Names!J:J,$B45,1)</f>
        <v>V0N 2P0</v>
      </c>
    </row>
    <row r="46" spans="1:9" x14ac:dyDescent="0.3">
      <c r="A46">
        <f t="shared" si="2"/>
        <v>45</v>
      </c>
      <c r="B46">
        <f t="shared" ca="1" si="0"/>
        <v>135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3121 Blanshard</v>
      </c>
      <c r="F46" t="s">
        <v>113</v>
      </c>
      <c r="G46" t="str">
        <f ca="1">INDEX(Names!H:H,$B46,1)</f>
        <v>Victoria</v>
      </c>
      <c r="H46" t="str">
        <f ca="1">INDEX(Names!I:I,$B46,1)</f>
        <v>BC</v>
      </c>
      <c r="I46" t="str">
        <f ca="1">INDEX(Names!J:J,$B46,1)</f>
        <v>V8W 2H9</v>
      </c>
    </row>
    <row r="47" spans="1:9" x14ac:dyDescent="0.3">
      <c r="A47">
        <f t="shared" si="2"/>
        <v>46</v>
      </c>
      <c r="B47">
        <f t="shared" ca="1" si="0"/>
        <v>16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4173 James Street</v>
      </c>
      <c r="F47" t="s">
        <v>113</v>
      </c>
      <c r="G47" t="str">
        <f ca="1">INDEX(Names!H:H,$B47,1)</f>
        <v>Burnaby</v>
      </c>
      <c r="H47" t="str">
        <f ca="1">INDEX(Names!I:I,$B47,1)</f>
        <v>BC</v>
      </c>
      <c r="I47" t="str">
        <f ca="1">INDEX(Names!J:J,$B47,1)</f>
        <v>V5G 4W7</v>
      </c>
    </row>
    <row r="48" spans="1:9" x14ac:dyDescent="0.3">
      <c r="A48">
        <f t="shared" si="2"/>
        <v>47</v>
      </c>
      <c r="B48">
        <f t="shared" ca="1" si="0"/>
        <v>125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4834 Queens Bay</v>
      </c>
      <c r="F48" t="s">
        <v>113</v>
      </c>
      <c r="G48" t="str">
        <f ca="1">INDEX(Names!H:H,$B48,1)</f>
        <v>Castlegar</v>
      </c>
      <c r="H48" t="str">
        <f ca="1">INDEX(Names!I:I,$B48,1)</f>
        <v>BC</v>
      </c>
      <c r="I48" t="str">
        <f ca="1">INDEX(Names!J:J,$B48,1)</f>
        <v>V0G 2G0</v>
      </c>
    </row>
    <row r="49" spans="1:9" x14ac:dyDescent="0.3">
      <c r="A49">
        <f t="shared" si="2"/>
        <v>48</v>
      </c>
      <c r="B49">
        <f t="shared" ca="1" si="0"/>
        <v>93</v>
      </c>
      <c r="C49">
        <f t="shared" si="1"/>
        <v>200047</v>
      </c>
      <c r="D49" t="str">
        <f ca="1">INDEX(Lookups!E:E,RANDBETWEEN(2,4),1)</f>
        <v>Headquarters</v>
      </c>
      <c r="E49" t="str">
        <f ca="1">INDEX(Names!G:G,$B49,1)</f>
        <v>3711 Stum Lake Road</v>
      </c>
      <c r="F49" t="s">
        <v>113</v>
      </c>
      <c r="G49" t="str">
        <f ca="1">INDEX(Names!H:H,$B49,1)</f>
        <v>Riske Creek</v>
      </c>
      <c r="H49" t="str">
        <f ca="1">INDEX(Names!I:I,$B49,1)</f>
        <v>BC</v>
      </c>
      <c r="I49" t="str">
        <f ca="1">INDEX(Names!J:J,$B49,1)</f>
        <v>V0L 1T0</v>
      </c>
    </row>
    <row r="50" spans="1:9" x14ac:dyDescent="0.3">
      <c r="A50">
        <f t="shared" si="2"/>
        <v>49</v>
      </c>
      <c r="B50">
        <f t="shared" ca="1" si="0"/>
        <v>98</v>
      </c>
      <c r="C50">
        <f t="shared" si="1"/>
        <v>200048</v>
      </c>
      <c r="D50" t="str">
        <f ca="1">INDEX(Lookups!E:E,RANDBETWEEN(2,4),1)</f>
        <v>Field Office</v>
      </c>
      <c r="E50" t="str">
        <f ca="1">INDEX(Names!G:G,$B50,1)</f>
        <v>396 Quayside Dr</v>
      </c>
      <c r="F50" t="s">
        <v>113</v>
      </c>
      <c r="G50" t="str">
        <f ca="1">INDEX(Names!H:H,$B50,1)</f>
        <v>New Westminster</v>
      </c>
      <c r="H50" t="str">
        <f ca="1">INDEX(Names!I:I,$B50,1)</f>
        <v>BC</v>
      </c>
      <c r="I50" t="str">
        <f ca="1">INDEX(Names!J:J,$B50,1)</f>
        <v>V3M 6A1</v>
      </c>
    </row>
    <row r="51" spans="1:9" x14ac:dyDescent="0.3">
      <c r="A51">
        <f t="shared" si="2"/>
        <v>50</v>
      </c>
      <c r="B51">
        <f t="shared" ca="1" si="0"/>
        <v>113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4904 Robson St</v>
      </c>
      <c r="F51" t="s">
        <v>113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V6B 3K9</v>
      </c>
    </row>
    <row r="52" spans="1:9" x14ac:dyDescent="0.3">
      <c r="A52">
        <f t="shared" si="2"/>
        <v>51</v>
      </c>
      <c r="B52">
        <f t="shared" ca="1" si="0"/>
        <v>125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4834 Queens Bay</v>
      </c>
      <c r="F52" t="s">
        <v>113</v>
      </c>
      <c r="G52" t="str">
        <f ca="1">INDEX(Names!H:H,$B52,1)</f>
        <v>Castlegar</v>
      </c>
      <c r="H52" t="str">
        <f ca="1">INDEX(Names!I:I,$B52,1)</f>
        <v>BC</v>
      </c>
      <c r="I52" t="str">
        <f ca="1">INDEX(Names!J:J,$B52,1)</f>
        <v>V0G 2G0</v>
      </c>
    </row>
    <row r="53" spans="1:9" x14ac:dyDescent="0.3">
      <c r="A53">
        <f t="shared" si="2"/>
        <v>52</v>
      </c>
      <c r="B53">
        <f t="shared" ca="1" si="0"/>
        <v>121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900 Tchesinkut Lake Rd</v>
      </c>
      <c r="F53" t="s">
        <v>113</v>
      </c>
      <c r="G53" t="str">
        <f ca="1">INDEX(Names!H:H,$B53,1)</f>
        <v>Burns Lake</v>
      </c>
      <c r="H53" t="str">
        <f ca="1">INDEX(Names!I:I,$B53,1)</f>
        <v>BC</v>
      </c>
      <c r="I53" t="str">
        <f ca="1">INDEX(Names!J:J,$B53,1)</f>
        <v>V0J 1E0</v>
      </c>
    </row>
    <row r="54" spans="1:9" x14ac:dyDescent="0.3">
      <c r="A54">
        <f t="shared" si="2"/>
        <v>53</v>
      </c>
      <c r="B54">
        <f t="shared" ca="1" si="0"/>
        <v>134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2487 Kinchant St</v>
      </c>
      <c r="F54" t="s">
        <v>113</v>
      </c>
      <c r="G54" t="str">
        <f ca="1">INDEX(Names!H:H,$B54,1)</f>
        <v>Kamloops</v>
      </c>
      <c r="H54" t="str">
        <f ca="1">INDEX(Names!I:I,$B54,1)</f>
        <v>BC</v>
      </c>
      <c r="I54" t="str">
        <f ca="1">INDEX(Names!J:J,$B54,1)</f>
        <v>V2S 5R8</v>
      </c>
    </row>
    <row r="55" spans="1:9" x14ac:dyDescent="0.3">
      <c r="A55">
        <f t="shared" si="2"/>
        <v>54</v>
      </c>
      <c r="B55">
        <f t="shared" ca="1" si="0"/>
        <v>139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599 Stum Lake Road</v>
      </c>
      <c r="F55" t="s">
        <v>113</v>
      </c>
      <c r="G55" t="str">
        <f ca="1">INDEX(Names!H:H,$B55,1)</f>
        <v>Beaver Valley</v>
      </c>
      <c r="H55" t="str">
        <f ca="1">INDEX(Names!I:I,$B55,1)</f>
        <v>BC</v>
      </c>
      <c r="I55" t="str">
        <f ca="1">INDEX(Names!J:J,$B55,1)</f>
        <v>V0L 1G0</v>
      </c>
    </row>
    <row r="56" spans="1:9" x14ac:dyDescent="0.3">
      <c r="A56">
        <f t="shared" si="2"/>
        <v>55</v>
      </c>
      <c r="B56">
        <f t="shared" ca="1" si="0"/>
        <v>123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2558 Glover Road</v>
      </c>
      <c r="F56" t="s">
        <v>113</v>
      </c>
      <c r="G56" t="str">
        <f ca="1">INDEX(Names!H:H,$B56,1)</f>
        <v>Coquitlam</v>
      </c>
      <c r="H56" t="str">
        <f ca="1">INDEX(Names!I:I,$B56,1)</f>
        <v>BC</v>
      </c>
      <c r="I56" t="str">
        <f ca="1">INDEX(Names!J:J,$B56,1)</f>
        <v>V3J 4S1</v>
      </c>
    </row>
    <row r="57" spans="1:9" x14ac:dyDescent="0.3">
      <c r="A57">
        <f t="shared" si="2"/>
        <v>56</v>
      </c>
      <c r="B57">
        <f t="shared" ca="1" si="0"/>
        <v>104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2882 Carlson Road</v>
      </c>
      <c r="F57" t="s">
        <v>113</v>
      </c>
      <c r="G57" t="str">
        <f ca="1">INDEX(Names!H:H,$B57,1)</f>
        <v>Prince George</v>
      </c>
      <c r="H57" t="str">
        <f ca="1">INDEX(Names!I:I,$B57,1)</f>
        <v>BC</v>
      </c>
      <c r="I57" t="str">
        <f ca="1">INDEX(Names!J:J,$B57,1)</f>
        <v>V2L 5E5</v>
      </c>
    </row>
    <row r="58" spans="1:9" x14ac:dyDescent="0.3">
      <c r="A58">
        <f t="shared" si="2"/>
        <v>57</v>
      </c>
      <c r="B58">
        <f t="shared" ca="1" si="0"/>
        <v>123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2558 Glover Road</v>
      </c>
      <c r="F58" t="s">
        <v>113</v>
      </c>
      <c r="G58" t="str">
        <f ca="1">INDEX(Names!H:H,$B58,1)</f>
        <v>Coquitlam</v>
      </c>
      <c r="H58" t="str">
        <f ca="1">INDEX(Names!I:I,$B58,1)</f>
        <v>BC</v>
      </c>
      <c r="I58" t="str">
        <f ca="1">INDEX(Names!J:J,$B58,1)</f>
        <v>V3J 4S1</v>
      </c>
    </row>
    <row r="59" spans="1:9" x14ac:dyDescent="0.3">
      <c r="A59">
        <f t="shared" si="2"/>
        <v>58</v>
      </c>
      <c r="B59">
        <f t="shared" ca="1" si="0"/>
        <v>80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4112 Burdett Avenue</v>
      </c>
      <c r="F59" t="s">
        <v>113</v>
      </c>
      <c r="G59" t="str">
        <f ca="1">INDEX(Names!H:H,$B59,1)</f>
        <v>Victoria</v>
      </c>
      <c r="H59" t="str">
        <f ca="1">INDEX(Names!I:I,$B59,1)</f>
        <v>BC</v>
      </c>
      <c r="I59" t="str">
        <f ca="1">INDEX(Names!J:J,$B59,1)</f>
        <v>V8W 1B2</v>
      </c>
    </row>
    <row r="60" spans="1:9" x14ac:dyDescent="0.3">
      <c r="A60">
        <f t="shared" si="2"/>
        <v>59</v>
      </c>
      <c r="B60">
        <f t="shared" ca="1" si="0"/>
        <v>139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599 Stum Lake Road</v>
      </c>
      <c r="F60" t="s">
        <v>113</v>
      </c>
      <c r="G60" t="str">
        <f ca="1">INDEX(Names!H:H,$B60,1)</f>
        <v>Beaver Valley</v>
      </c>
      <c r="H60" t="str">
        <f ca="1">INDEX(Names!I:I,$B60,1)</f>
        <v>BC</v>
      </c>
      <c r="I60" t="str">
        <f ca="1">INDEX(Names!J:J,$B60,1)</f>
        <v>V0L 1G0</v>
      </c>
    </row>
    <row r="61" spans="1:9" x14ac:dyDescent="0.3">
      <c r="A61">
        <f t="shared" si="2"/>
        <v>60</v>
      </c>
      <c r="B61">
        <f t="shared" ca="1" si="0"/>
        <v>19</v>
      </c>
      <c r="C61">
        <f t="shared" si="1"/>
        <v>200059</v>
      </c>
      <c r="D61" t="str">
        <f ca="1">INDEX(Lookups!E:E,RANDBETWEEN(2,4),1)</f>
        <v>Bus Yard</v>
      </c>
      <c r="E61" t="str">
        <f ca="1">INDEX(Names!G:G,$B61,1)</f>
        <v>616 Scotts Lane</v>
      </c>
      <c r="F61" t="s">
        <v>113</v>
      </c>
      <c r="G61" t="str">
        <f ca="1">INDEX(Names!H:H,$B61,1)</f>
        <v>Okanagan Mission</v>
      </c>
      <c r="H61" t="str">
        <f ca="1">INDEX(Names!I:I,$B61,1)</f>
        <v>BC</v>
      </c>
      <c r="I61" t="str">
        <f ca="1">INDEX(Names!J:J,$B61,1)</f>
        <v>V0R 1S0</v>
      </c>
    </row>
    <row r="62" spans="1:9" x14ac:dyDescent="0.3">
      <c r="A62">
        <f t="shared" si="2"/>
        <v>61</v>
      </c>
      <c r="B62">
        <f t="shared" ca="1" si="0"/>
        <v>87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3109 Wellington Ave</v>
      </c>
      <c r="F62" t="s">
        <v>113</v>
      </c>
      <c r="G62" t="str">
        <f ca="1">INDEX(Names!H:H,$B62,1)</f>
        <v>Chilliwack</v>
      </c>
      <c r="H62" t="str">
        <f ca="1">INDEX(Names!I:I,$B62,1)</f>
        <v>BC</v>
      </c>
      <c r="I62" t="str">
        <f ca="1">INDEX(Names!J:J,$B62,1)</f>
        <v>V2P 2M1</v>
      </c>
    </row>
    <row r="63" spans="1:9" x14ac:dyDescent="0.3">
      <c r="A63">
        <f t="shared" si="2"/>
        <v>62</v>
      </c>
      <c r="B63">
        <f t="shared" ca="1" si="0"/>
        <v>99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1730 Jade St</v>
      </c>
      <c r="F63" t="s">
        <v>113</v>
      </c>
      <c r="G63" t="str">
        <f ca="1">INDEX(Names!H:H,$B63,1)</f>
        <v>West Vancouver</v>
      </c>
      <c r="H63" t="str">
        <f ca="1">INDEX(Names!I:I,$B63,1)</f>
        <v>BC</v>
      </c>
      <c r="I63" t="str">
        <f ca="1">INDEX(Names!J:J,$B63,1)</f>
        <v>V7T 2W4</v>
      </c>
    </row>
    <row r="64" spans="1:9" x14ac:dyDescent="0.3">
      <c r="A64">
        <f t="shared" si="2"/>
        <v>63</v>
      </c>
      <c r="B64">
        <f t="shared" ca="1" si="0"/>
        <v>59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2549 James Street</v>
      </c>
      <c r="F64" t="s">
        <v>113</v>
      </c>
      <c r="G64" t="str">
        <f ca="1">INDEX(Names!H:H,$B64,1)</f>
        <v>Burnaby</v>
      </c>
      <c r="H64" t="str">
        <f ca="1">INDEX(Names!I:I,$B64,1)</f>
        <v>BC</v>
      </c>
      <c r="I64" t="str">
        <f ca="1">INDEX(Names!J:J,$B64,1)</f>
        <v>V5G 4W7</v>
      </c>
    </row>
    <row r="65" spans="1:9" x14ac:dyDescent="0.3">
      <c r="A65">
        <f t="shared" si="2"/>
        <v>64</v>
      </c>
      <c r="B65">
        <f t="shared" ca="1" si="0"/>
        <v>55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1967 Findlay Creek Road</v>
      </c>
      <c r="F65" t="s">
        <v>113</v>
      </c>
      <c r="G65" t="str">
        <f ca="1">INDEX(Names!H:H,$B65,1)</f>
        <v>Fernie</v>
      </c>
      <c r="H65" t="str">
        <f ca="1">INDEX(Names!I:I,$B65,1)</f>
        <v>BC</v>
      </c>
      <c r="I65" t="str">
        <f ca="1">INDEX(Names!J:J,$B65,1)</f>
        <v>V0B 1M1</v>
      </c>
    </row>
    <row r="66" spans="1:9" x14ac:dyDescent="0.3">
      <c r="A66">
        <f t="shared" si="2"/>
        <v>65</v>
      </c>
      <c r="B66">
        <f t="shared" ca="1" si="0"/>
        <v>91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2867 Blanshard</v>
      </c>
      <c r="F66" t="s">
        <v>113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2H9</v>
      </c>
    </row>
    <row r="67" spans="1:9" x14ac:dyDescent="0.3">
      <c r="A67">
        <f t="shared" si="2"/>
        <v>66</v>
      </c>
      <c r="B67">
        <f t="shared" ref="B67:B71" ca="1" si="3">RANDBETWEEN(2,150)</f>
        <v>124</v>
      </c>
      <c r="C67">
        <f t="shared" ref="C67:C71" si="4">IF(ISNUMBER(C66),C66+1,200000)</f>
        <v>200065</v>
      </c>
      <c r="D67" t="str">
        <f ca="1">INDEX(Lookups!E:E,RANDBETWEEN(2,4),1)</f>
        <v>Headquarters</v>
      </c>
      <c r="E67" t="str">
        <f ca="1">INDEX(Names!G:G,$B67,1)</f>
        <v>1231 Stum Lake Road</v>
      </c>
      <c r="F67" t="s">
        <v>113</v>
      </c>
      <c r="G67" t="str">
        <f ca="1">INDEX(Names!H:H,$B67,1)</f>
        <v>Horsefly</v>
      </c>
      <c r="H67" t="str">
        <f ca="1">INDEX(Names!I:I,$B67,1)</f>
        <v>BC</v>
      </c>
      <c r="I67" t="str">
        <f ca="1">INDEX(Names!J:J,$B67,1)</f>
        <v>V0L 1L0</v>
      </c>
    </row>
    <row r="68" spans="1:9" x14ac:dyDescent="0.3">
      <c r="A68">
        <f t="shared" ref="A68:A71" si="5">A67+1</f>
        <v>67</v>
      </c>
      <c r="B68">
        <f t="shared" ca="1" si="3"/>
        <v>56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3815 Burdett Avenue</v>
      </c>
      <c r="F68" t="s">
        <v>113</v>
      </c>
      <c r="G68" t="str">
        <f ca="1">INDEX(Names!H:H,$B68,1)</f>
        <v>Victoria</v>
      </c>
      <c r="H68" t="str">
        <f ca="1">INDEX(Names!I:I,$B68,1)</f>
        <v>BC</v>
      </c>
      <c r="I68" t="str">
        <f ca="1">INDEX(Names!J:J,$B68,1)</f>
        <v>V8W 1B2</v>
      </c>
    </row>
    <row r="69" spans="1:9" x14ac:dyDescent="0.3">
      <c r="A69">
        <f t="shared" si="5"/>
        <v>68</v>
      </c>
      <c r="B69">
        <f t="shared" ca="1" si="3"/>
        <v>79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4397 Burdett Avenue</v>
      </c>
      <c r="F69" t="s">
        <v>113</v>
      </c>
      <c r="G69" t="str">
        <f ca="1">INDEX(Names!H:H,$B69,1)</f>
        <v>Terrace</v>
      </c>
      <c r="H69" t="str">
        <f ca="1">INDEX(Names!I:I,$B69,1)</f>
        <v>BC</v>
      </c>
      <c r="I69" t="str">
        <f ca="1">INDEX(Names!J:J,$B69,1)</f>
        <v>V8G 1S2</v>
      </c>
    </row>
    <row r="70" spans="1:9" x14ac:dyDescent="0.3">
      <c r="A70">
        <f t="shared" si="5"/>
        <v>69</v>
      </c>
      <c r="B70">
        <f t="shared" ca="1" si="3"/>
        <v>91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2867 Blanshard</v>
      </c>
      <c r="F70" t="s">
        <v>113</v>
      </c>
      <c r="G70" t="str">
        <f ca="1">INDEX(Names!H:H,$B70,1)</f>
        <v>Victoria</v>
      </c>
      <c r="H70" t="str">
        <f ca="1">INDEX(Names!I:I,$B70,1)</f>
        <v>BC</v>
      </c>
      <c r="I70" t="str">
        <f ca="1">INDEX(Names!J:J,$B70,1)</f>
        <v>V8W 2H9</v>
      </c>
    </row>
    <row r="71" spans="1:9" x14ac:dyDescent="0.3">
      <c r="A71">
        <f t="shared" si="5"/>
        <v>70</v>
      </c>
      <c r="B71">
        <f t="shared" ca="1" si="3"/>
        <v>39</v>
      </c>
      <c r="C71">
        <f t="shared" si="4"/>
        <v>200069</v>
      </c>
      <c r="D71" t="str">
        <f ca="1">INDEX(Lookups!E:E,RANDBETWEEN(2,4),1)</f>
        <v>Headquarters</v>
      </c>
      <c r="E71" t="str">
        <f ca="1">INDEX(Names!G:G,$B71,1)</f>
        <v>3162 Findlay Creek Road</v>
      </c>
      <c r="F71" t="s">
        <v>113</v>
      </c>
      <c r="G71" t="str">
        <f ca="1">INDEX(Names!H:H,$B71,1)</f>
        <v>Elko</v>
      </c>
      <c r="H71" t="str">
        <f ca="1">INDEX(Names!I:I,$B71,1)</f>
        <v>BC</v>
      </c>
      <c r="I71" t="str">
        <f ca="1">INDEX(Names!J:J,$B71,1)</f>
        <v>V0B 1J0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1"/>
  <sheetViews>
    <sheetView tabSelected="1" topLeftCell="D3" workbookViewId="0">
      <selection activeCell="O3" sqref="O3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13.109375" bestFit="1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</cols>
  <sheetData>
    <row r="1" spans="1:30" x14ac:dyDescent="0.3">
      <c r="A1" t="s">
        <v>100</v>
      </c>
      <c r="B1" t="s">
        <v>5501</v>
      </c>
      <c r="C1" t="s">
        <v>409</v>
      </c>
      <c r="D1" t="s">
        <v>410</v>
      </c>
      <c r="E1" t="s">
        <v>6146</v>
      </c>
      <c r="F1" t="s">
        <v>5532</v>
      </c>
      <c r="G1" t="s">
        <v>412</v>
      </c>
      <c r="H1" t="s">
        <v>413</v>
      </c>
      <c r="I1" t="s">
        <v>414</v>
      </c>
      <c r="J1" t="s">
        <v>415</v>
      </c>
      <c r="K1" t="s">
        <v>5505</v>
      </c>
      <c r="L1" t="s">
        <v>3016</v>
      </c>
      <c r="M1" t="s">
        <v>5492</v>
      </c>
      <c r="N1" t="s">
        <v>5493</v>
      </c>
      <c r="O1" t="s">
        <v>5494</v>
      </c>
      <c r="P1" t="s">
        <v>5496</v>
      </c>
      <c r="Q1" t="s">
        <v>5495</v>
      </c>
      <c r="R1" t="s">
        <v>6128</v>
      </c>
      <c r="S1" t="s">
        <v>416</v>
      </c>
      <c r="T1" t="s">
        <v>417</v>
      </c>
      <c r="U1" t="s">
        <v>6129</v>
      </c>
      <c r="V1" t="s">
        <v>418</v>
      </c>
      <c r="W1" t="s">
        <v>419</v>
      </c>
      <c r="X1" t="s">
        <v>420</v>
      </c>
      <c r="Y1" t="s">
        <v>421</v>
      </c>
      <c r="Z1" t="s">
        <v>6126</v>
      </c>
      <c r="AA1" t="s">
        <v>6127</v>
      </c>
      <c r="AB1" t="s">
        <v>422</v>
      </c>
      <c r="AC1" t="s">
        <v>423</v>
      </c>
      <c r="AD1" t="s">
        <v>5533</v>
      </c>
    </row>
    <row r="2" spans="1:30" x14ac:dyDescent="0.3">
      <c r="A2" t="s">
        <v>2927</v>
      </c>
      <c r="B2">
        <f>IF(ISNUMBER(B1),B1+1,200000)</f>
        <v>200000</v>
      </c>
      <c r="C2">
        <f ca="1">CCW.csv!B2</f>
        <v>29110144</v>
      </c>
      <c r="D2" t="str">
        <f>Lookups!R2</f>
        <v>MNG 505</v>
      </c>
      <c r="E2" t="str">
        <f ca="1">Lookups!Q2&amp;RANDBETWEEN(1111,9999)</f>
        <v>4UZABRCS08CY69190</v>
      </c>
      <c r="F2">
        <f ca="1">INDEX(Owners.csv!C:C,RANDBETWEEN(2,COUNTA(Owners.csv!B:B)),1)</f>
        <v>200006</v>
      </c>
      <c r="G2" t="str">
        <f ca="1">"rg:{ 'id': '"&amp;F2&amp;"'}"</f>
        <v>rg:{ 'id': '200006'}</v>
      </c>
      <c r="H2">
        <f ca="1">RANDBETWEEN(25111,39999)</f>
        <v>34396</v>
      </c>
      <c r="I2" t="s">
        <v>2979</v>
      </c>
      <c r="J2" s="1" t="s">
        <v>2980</v>
      </c>
      <c r="K2">
        <f ca="1">INDEX(ServiceAreas.csv!H:H,RANDBETWEEN(2,COUNTA(ServiceAreas.csv!H:H)),1)</f>
        <v>200004</v>
      </c>
      <c r="L2" t="str">
        <f ca="1">"rg:{ 'id': '"&amp;K2&amp;"'}"</f>
        <v>rg:{ 'id': '200004'}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Non-Scheduled Transportation Only</v>
      </c>
      <c r="T2" t="str">
        <f ca="1">TEXT(TODAY()+RANDBETWEEN(-10,350),"YYYY-MM-DD")</f>
        <v>2017-02-21</v>
      </c>
      <c r="U2">
        <f ca="1">INDEX(schoolDistricts.csv!D:D,RANDBETWEEN(2,COUNTA(schoolDistricts.csv!D:D)),1)</f>
        <v>200023</v>
      </c>
      <c r="V2" t="str">
        <f ca="1">"rg:{'id': '"&amp;U2&amp;"'}"</f>
        <v>rg:{'id': '200023'}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Van</v>
      </c>
      <c r="AA2" t="str">
        <f ca="1">IF(Z2="Other","Other Bus Type","rg:None")</f>
        <v>rg:None</v>
      </c>
      <c r="AB2">
        <f ca="1">CCW.csv!G2</f>
        <v>10947</v>
      </c>
      <c r="AC2">
        <f ca="1">CCW.csv!P2-1</f>
        <v>15</v>
      </c>
      <c r="AD2">
        <f ca="1">IF(RANDBETWEEN(1,10) &lt; 7,0,RANDBETWEEN(1,5))</f>
        <v>0</v>
      </c>
    </row>
    <row r="3" spans="1:30" x14ac:dyDescent="0.3">
      <c r="A3" t="s">
        <v>2927</v>
      </c>
      <c r="B3">
        <f t="shared" ref="B3:B31" si="0">IF(ISNUMBER(B2),B2+1,200000)</f>
        <v>200001</v>
      </c>
      <c r="C3">
        <f ca="1">CCW.csv!B3</f>
        <v>21834331</v>
      </c>
      <c r="D3" t="str">
        <f>Lookups!R3</f>
        <v>PLB 734</v>
      </c>
      <c r="E3" t="str">
        <f ca="1">Lookups!Q3&amp;RANDBETWEEN(1111,9999)</f>
        <v>1M8PDMTA7VP041961</v>
      </c>
      <c r="F3">
        <f ca="1">INDEX(Owners.csv!C:C,RANDBETWEEN(2,COUNTA(Owners.csv!B:B)),1)</f>
        <v>200003</v>
      </c>
      <c r="G3" t="str">
        <f t="shared" ref="G3:G31" ca="1" si="1">"rg:{ 'id': '"&amp;F3&amp;"'}"</f>
        <v>rg:{ 'id': '200003'}</v>
      </c>
      <c r="H3">
        <f t="shared" ref="H3:H31" ca="1" si="2">RANDBETWEEN(25111,39999)</f>
        <v>30088</v>
      </c>
      <c r="I3" t="s">
        <v>2979</v>
      </c>
      <c r="J3" s="1" t="s">
        <v>2980</v>
      </c>
      <c r="K3">
        <f ca="1">INDEX(ServiceAreas.csv!H:H,RANDBETWEEN(2,COUNTA(ServiceAreas.csv!H:H)),1)</f>
        <v>200013</v>
      </c>
      <c r="L3" t="str">
        <f t="shared" ref="L3:L31" ca="1" si="3">"rg:{ 'id': '"&amp;K3&amp;"'}"</f>
        <v>rg:{ 'id': '200013'}</v>
      </c>
      <c r="M3">
        <f ca="1">INDEX(Names!G:G,70+$F3,1)</f>
        <v>0</v>
      </c>
      <c r="N3" t="str">
        <f t="shared" ref="N3:O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2017-05-15</v>
      </c>
      <c r="U3">
        <f ca="1">INDEX(schoolDistricts.csv!D:D,RANDBETWEEN(2,COUNTA(schoolDistricts.csv!D:D)),1)</f>
        <v>200037</v>
      </c>
      <c r="V3" t="str">
        <f t="shared" ref="V3:V31" ca="1" si="8">"rg:{'id': '"&amp;U3&amp;"'}"</f>
        <v>rg:{'id': '200037'}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3: Special Vehicle</v>
      </c>
      <c r="Z3" t="str">
        <f ca="1">INDEX(Lookups!V:V,RANDBETWEEN(2,7),1)</f>
        <v>Mobility Aid</v>
      </c>
      <c r="AA3" t="str">
        <f t="shared" ref="AA3:AA31" ca="1" si="10">IF(Z3="Other","Other Bus Type","rg:None")</f>
        <v>rg:None</v>
      </c>
      <c r="AB3">
        <f ca="1">CCW.csv!G3</f>
        <v>30125</v>
      </c>
      <c r="AC3">
        <f ca="1">CCW.csv!P3-1</f>
        <v>5</v>
      </c>
      <c r="AD3">
        <f t="shared" ref="AD3:AD31" ca="1" si="11">IF(RANDBETWEEN(1,10) &lt; 7,0,RANDBETWEEN(1,5))</f>
        <v>0</v>
      </c>
    </row>
    <row r="4" spans="1:30" x14ac:dyDescent="0.3">
      <c r="A4" t="s">
        <v>2927</v>
      </c>
      <c r="B4">
        <f t="shared" si="0"/>
        <v>200002</v>
      </c>
      <c r="C4">
        <f ca="1">CCW.csv!B4</f>
        <v>28410586</v>
      </c>
      <c r="D4" t="str">
        <f>Lookups!R4</f>
        <v>NNR 799</v>
      </c>
      <c r="E4" t="str">
        <f ca="1">Lookups!Q4&amp;RANDBETWEEN(1111,9999)</f>
        <v>1GBHG31R7X1115348</v>
      </c>
      <c r="F4">
        <f ca="1">INDEX(Owners.csv!C:C,RANDBETWEEN(2,COUNTA(Owners.csv!B:B)),1)</f>
        <v>200012</v>
      </c>
      <c r="G4" t="str">
        <f t="shared" ca="1" si="1"/>
        <v>rg:{ 'id': '200012'}</v>
      </c>
      <c r="H4">
        <f t="shared" ca="1" si="2"/>
        <v>34207</v>
      </c>
      <c r="I4" t="s">
        <v>2979</v>
      </c>
      <c r="J4" s="1" t="s">
        <v>2980</v>
      </c>
      <c r="K4">
        <f ca="1">INDEX(ServiceAreas.csv!H:H,RANDBETWEEN(2,COUNTA(ServiceAreas.csv!H:H)),1)</f>
        <v>200019</v>
      </c>
      <c r="L4" t="str">
        <f t="shared" ca="1" si="3"/>
        <v>rg:{ 'id': '200019'}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rg:None</v>
      </c>
      <c r="T4" t="str">
        <f t="shared" ca="1" si="7"/>
        <v>2017-10-20</v>
      </c>
      <c r="U4">
        <f ca="1">INDEX(schoolDistricts.csv!D:D,RANDBETWEEN(2,COUNTA(schoolDistricts.csv!D:D)),1)</f>
        <v>200041</v>
      </c>
      <c r="V4" t="str">
        <f t="shared" ca="1" si="8"/>
        <v>rg:{'id': '200041'}</v>
      </c>
      <c r="W4" t="str">
        <f t="shared" ca="1" si="9"/>
        <v>rg:True</v>
      </c>
      <c r="X4" t="str">
        <f ca="1">IF(W4="rg:False","rg:None",INDEX(Lookups!S:S,RANDBETWEEN(2,32),1))</f>
        <v>WSA'NEC' SCHOOL BOARD</v>
      </c>
      <c r="Y4" t="str">
        <f ca="1">INDEX(Lookups!T:T,RANDBETWEEN(2,4),1)</f>
        <v>Type 1: Yellow and Black School Bus</v>
      </c>
      <c r="Z4" t="str">
        <f ca="1">INDEX(Lookups!V:V,RANDBETWEEN(2,7),1)</f>
        <v>Yellow and Black</v>
      </c>
      <c r="AA4" t="str">
        <f t="shared" ca="1" si="10"/>
        <v>rg:None</v>
      </c>
      <c r="AB4">
        <f ca="1">CCW.csv!G4</f>
        <v>42894</v>
      </c>
      <c r="AC4">
        <f ca="1">CCW.csv!P4-1</f>
        <v>81</v>
      </c>
      <c r="AD4">
        <f t="shared" ca="1" si="11"/>
        <v>0</v>
      </c>
    </row>
    <row r="5" spans="1:30" x14ac:dyDescent="0.3">
      <c r="A5" t="s">
        <v>2927</v>
      </c>
      <c r="B5">
        <f t="shared" si="0"/>
        <v>200003</v>
      </c>
      <c r="C5">
        <f ca="1">CCW.csv!B5</f>
        <v>44175666</v>
      </c>
      <c r="D5" t="str">
        <f>Lookups!R5</f>
        <v>NNN 110</v>
      </c>
      <c r="E5" t="str">
        <f ca="1">Lookups!Q5&amp;RANDBETWEEN(1111,9999)</f>
        <v>1BAANB7A7XF083538</v>
      </c>
      <c r="F5">
        <f ca="1">INDEX(Owners.csv!C:C,RANDBETWEEN(2,COUNTA(Owners.csv!B:B)),1)</f>
        <v>200016</v>
      </c>
      <c r="G5" t="str">
        <f t="shared" ca="1" si="1"/>
        <v>rg:{ 'id': '200016'}</v>
      </c>
      <c r="H5">
        <f t="shared" ca="1" si="2"/>
        <v>39734</v>
      </c>
      <c r="I5" t="s">
        <v>2979</v>
      </c>
      <c r="J5" s="1" t="s">
        <v>2980</v>
      </c>
      <c r="K5">
        <f ca="1">INDEX(ServiceAreas.csv!H:H,RANDBETWEEN(2,COUNTA(ServiceAreas.csv!H:H)),1)</f>
        <v>200029</v>
      </c>
      <c r="L5" t="str">
        <f t="shared" ca="1" si="3"/>
        <v>rg:{ 'id': '200029'}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2017-09-08</v>
      </c>
      <c r="U5">
        <f ca="1">INDEX(schoolDistricts.csv!D:D,RANDBETWEEN(2,COUNTA(schoolDistricts.csv!D:D)),1)</f>
        <v>200025</v>
      </c>
      <c r="V5" t="str">
        <f t="shared" ca="1" si="8"/>
        <v>rg:{'id': '200025'}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1: Yellow and Black School Bus</v>
      </c>
      <c r="Z5" t="str">
        <f ca="1">INDEX(Lookups!V:V,RANDBETWEEN(2,7),1)</f>
        <v>Yellow and Black</v>
      </c>
      <c r="AA5" t="str">
        <f t="shared" ca="1" si="10"/>
        <v>rg:None</v>
      </c>
      <c r="AB5">
        <f ca="1">CCW.csv!G5</f>
        <v>31957</v>
      </c>
      <c r="AC5">
        <f ca="1">CCW.csv!P5-1</f>
        <v>8</v>
      </c>
      <c r="AD5">
        <f t="shared" ca="1" si="11"/>
        <v>0</v>
      </c>
    </row>
    <row r="6" spans="1:30" x14ac:dyDescent="0.3">
      <c r="A6" t="s">
        <v>2927</v>
      </c>
      <c r="B6">
        <f t="shared" si="0"/>
        <v>200004</v>
      </c>
      <c r="C6">
        <f ca="1">CCW.csv!B6</f>
        <v>27498215</v>
      </c>
      <c r="D6" t="str">
        <f>Lookups!R6</f>
        <v>VEX 466</v>
      </c>
      <c r="E6" t="str">
        <f ca="1">Lookups!Q6&amp;RANDBETWEEN(1111,9999)</f>
        <v>1BAANB7A9XF085283</v>
      </c>
      <c r="F6">
        <f ca="1">INDEX(Owners.csv!C:C,RANDBETWEEN(2,COUNTA(Owners.csv!B:B)),1)</f>
        <v>200005</v>
      </c>
      <c r="G6" t="str">
        <f t="shared" ca="1" si="1"/>
        <v>rg:{ 'id': '200005'}</v>
      </c>
      <c r="H6">
        <f t="shared" ca="1" si="2"/>
        <v>33714</v>
      </c>
      <c r="I6" t="s">
        <v>2979</v>
      </c>
      <c r="J6" s="1" t="s">
        <v>2980</v>
      </c>
      <c r="K6">
        <f ca="1">INDEX(ServiceAreas.csv!H:H,RANDBETWEEN(2,COUNTA(ServiceAreas.csv!H:H)),1)</f>
        <v>200023</v>
      </c>
      <c r="L6" t="str">
        <f t="shared" ca="1" si="3"/>
        <v>rg:{ 'id': '200023'}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rg:None</v>
      </c>
      <c r="T6" t="str">
        <f t="shared" ca="1" si="7"/>
        <v>2017-07-13</v>
      </c>
      <c r="U6">
        <f ca="1">INDEX(schoolDistricts.csv!D:D,RANDBETWEEN(2,COUNTA(schoolDistricts.csv!D:D)),1)</f>
        <v>200039</v>
      </c>
      <c r="V6" t="str">
        <f t="shared" ca="1" si="8"/>
        <v>rg:{'id': '200039'}</v>
      </c>
      <c r="W6" t="str">
        <f t="shared" ca="1" si="9"/>
        <v>rg:True</v>
      </c>
      <c r="X6" t="str">
        <f ca="1">IF(W6="rg:False","rg:None",INDEX(Lookups!S:S,RANDBETWEEN(2,32),1))</f>
        <v>WSA'NEC' SCHOOL BOARD</v>
      </c>
      <c r="Y6" t="str">
        <f ca="1">INDEX(Lookups!T:T,RANDBETWEEN(2,4),1)</f>
        <v>Type 3: Special Vehicle</v>
      </c>
      <c r="Z6" t="str">
        <f ca="1">INDEX(Lookups!V:V,RANDBETWEEN(2,7),1)</f>
        <v>Van</v>
      </c>
      <c r="AA6" t="str">
        <f t="shared" ca="1" si="10"/>
        <v>rg:None</v>
      </c>
      <c r="AB6">
        <f ca="1">CCW.csv!G6</f>
        <v>24481</v>
      </c>
      <c r="AC6">
        <f ca="1">CCW.csv!P6-1</f>
        <v>51</v>
      </c>
      <c r="AD6">
        <f t="shared" ca="1" si="11"/>
        <v>0</v>
      </c>
    </row>
    <row r="7" spans="1:30" x14ac:dyDescent="0.3">
      <c r="A7" t="s">
        <v>2927</v>
      </c>
      <c r="B7">
        <f t="shared" si="0"/>
        <v>200005</v>
      </c>
      <c r="C7">
        <f ca="1">CCW.csv!B7</f>
        <v>43334116</v>
      </c>
      <c r="D7" t="str">
        <f>Lookups!R7</f>
        <v>BKH 714</v>
      </c>
      <c r="E7" t="str">
        <f ca="1">Lookups!Q7&amp;RANDBETWEEN(1111,9999)</f>
        <v>1HVBBAAN2XH201123</v>
      </c>
      <c r="F7">
        <f ca="1">INDEX(Owners.csv!C:C,RANDBETWEEN(2,COUNTA(Owners.csv!B:B)),1)</f>
        <v>200017</v>
      </c>
      <c r="G7" t="str">
        <f t="shared" ca="1" si="1"/>
        <v>rg:{ 'id': '200017'}</v>
      </c>
      <c r="H7">
        <f t="shared" ca="1" si="2"/>
        <v>29776</v>
      </c>
      <c r="I7" t="s">
        <v>2979</v>
      </c>
      <c r="J7" s="1" t="s">
        <v>2980</v>
      </c>
      <c r="K7">
        <f ca="1">INDEX(ServiceAreas.csv!H:H,RANDBETWEEN(2,COUNTA(ServiceAreas.csv!H:H)),1)</f>
        <v>200018</v>
      </c>
      <c r="L7" t="str">
        <f t="shared" ca="1" si="3"/>
        <v>rg:{ 'id': '200018'}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rg:None</v>
      </c>
      <c r="T7" t="str">
        <f t="shared" ca="1" si="7"/>
        <v>2017-12-20</v>
      </c>
      <c r="U7">
        <f ca="1">INDEX(schoolDistricts.csv!D:D,RANDBETWEEN(2,COUNTA(schoolDistricts.csv!D:D)),1)</f>
        <v>200042</v>
      </c>
      <c r="V7" t="str">
        <f t="shared" ca="1" si="8"/>
        <v>rg:{'id': '200042'}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1: Yellow and Black School Bus</v>
      </c>
      <c r="Z7" t="str">
        <f ca="1">INDEX(Lookups!V:V,RANDBETWEEN(2,7),1)</f>
        <v>Mobility Aid</v>
      </c>
      <c r="AA7" t="str">
        <f t="shared" ca="1" si="10"/>
        <v>rg:None</v>
      </c>
      <c r="AB7">
        <f ca="1">CCW.csv!G7</f>
        <v>37672</v>
      </c>
      <c r="AC7">
        <f ca="1">CCW.csv!P7-1</f>
        <v>46</v>
      </c>
      <c r="AD7">
        <f t="shared" ca="1" si="11"/>
        <v>0</v>
      </c>
    </row>
    <row r="8" spans="1:30" x14ac:dyDescent="0.3">
      <c r="A8" t="s">
        <v>2927</v>
      </c>
      <c r="B8">
        <f t="shared" si="0"/>
        <v>200006</v>
      </c>
      <c r="C8">
        <f ca="1">CCW.csv!B8</f>
        <v>27082490</v>
      </c>
      <c r="D8" t="str">
        <f>Lookups!R8</f>
        <v>JHS 644</v>
      </c>
      <c r="E8" t="str">
        <f ca="1">Lookups!Q8&amp;RANDBETWEEN(1111,9999)</f>
        <v>4UZABRCS48CY65211</v>
      </c>
      <c r="F8">
        <f ca="1">INDEX(Owners.csv!C:C,RANDBETWEEN(2,COUNTA(Owners.csv!B:B)),1)</f>
        <v>200007</v>
      </c>
      <c r="G8" t="str">
        <f t="shared" ca="1" si="1"/>
        <v>rg:{ 'id': '200007'}</v>
      </c>
      <c r="H8">
        <f t="shared" ca="1" si="2"/>
        <v>37398</v>
      </c>
      <c r="I8" t="s">
        <v>2979</v>
      </c>
      <c r="J8" s="1" t="s">
        <v>2980</v>
      </c>
      <c r="K8">
        <f ca="1">INDEX(ServiceAreas.csv!H:H,RANDBETWEEN(2,COUNTA(ServiceAreas.csv!H:H)),1)</f>
        <v>200027</v>
      </c>
      <c r="L8" t="str">
        <f t="shared" ca="1" si="3"/>
        <v>rg:{ 'id': '200027'}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Non-Scheduled Transportation Only</v>
      </c>
      <c r="T8" t="str">
        <f t="shared" ca="1" si="7"/>
        <v>2017-09-24</v>
      </c>
      <c r="U8">
        <f ca="1">INDEX(schoolDistricts.csv!D:D,RANDBETWEEN(2,COUNTA(schoolDistricts.csv!D:D)),1)</f>
        <v>200032</v>
      </c>
      <c r="V8" t="str">
        <f t="shared" ca="1" si="8"/>
        <v>rg:{'id': '200032'}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2: Special Activity Bus</v>
      </c>
      <c r="Z8" t="str">
        <f ca="1">INDEX(Lookups!V:V,RANDBETWEEN(2,7),1)</f>
        <v>Van</v>
      </c>
      <c r="AA8" t="str">
        <f t="shared" ca="1" si="10"/>
        <v>rg:None</v>
      </c>
      <c r="AB8">
        <f ca="1">CCW.csv!G8</f>
        <v>25245</v>
      </c>
      <c r="AC8">
        <f ca="1">CCW.csv!P8-1</f>
        <v>21</v>
      </c>
      <c r="AD8">
        <f t="shared" ca="1" si="11"/>
        <v>1</v>
      </c>
    </row>
    <row r="9" spans="1:30" x14ac:dyDescent="0.3">
      <c r="A9" t="s">
        <v>2927</v>
      </c>
      <c r="B9">
        <f t="shared" si="0"/>
        <v>200007</v>
      </c>
      <c r="C9">
        <f ca="1">CCW.csv!B9</f>
        <v>35406459</v>
      </c>
      <c r="D9" t="str">
        <f>Lookups!R9</f>
        <v>GCE 975</v>
      </c>
      <c r="E9" t="str">
        <f ca="1">Lookups!Q9&amp;RANDBETWEEN(1111,9999)</f>
        <v>1GJGG25V771154679</v>
      </c>
      <c r="F9">
        <f ca="1">INDEX(Owners.csv!C:C,RANDBETWEEN(2,COUNTA(Owners.csv!B:B)),1)</f>
        <v>200001</v>
      </c>
      <c r="G9" t="str">
        <f t="shared" ca="1" si="1"/>
        <v>rg:{ 'id': '200001'}</v>
      </c>
      <c r="H9">
        <f t="shared" ca="1" si="2"/>
        <v>37631</v>
      </c>
      <c r="I9" t="s">
        <v>2979</v>
      </c>
      <c r="J9" s="1" t="s">
        <v>2980</v>
      </c>
      <c r="K9">
        <f ca="1">INDEX(ServiceAreas.csv!H:H,RANDBETWEEN(2,COUNTA(ServiceAreas.csv!H:H)),1)</f>
        <v>200009</v>
      </c>
      <c r="L9" t="str">
        <f t="shared" ca="1" si="3"/>
        <v>rg:{ 'id': '200009'}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Comment about where the bus is located.</v>
      </c>
      <c r="S9" t="str">
        <f ca="1">INDEX(Lookups!U:U,MID(Y9,6,1)+1,1)</f>
        <v>Non-Scheduled Transportation Only</v>
      </c>
      <c r="T9" t="str">
        <f t="shared" ca="1" si="7"/>
        <v>2017-10-02</v>
      </c>
      <c r="U9">
        <f ca="1">INDEX(schoolDistricts.csv!D:D,RANDBETWEEN(2,COUNTA(schoolDistricts.csv!D:D)),1)</f>
        <v>200025</v>
      </c>
      <c r="V9" t="str">
        <f t="shared" ca="1" si="8"/>
        <v>rg:{'id': '200025'}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2: Special Activity Bus</v>
      </c>
      <c r="Z9" t="str">
        <f ca="1">INDEX(Lookups!V:V,RANDBETWEEN(2,7),1)</f>
        <v>Other</v>
      </c>
      <c r="AA9" t="str">
        <f t="shared" ca="1" si="10"/>
        <v>Other Bus Type</v>
      </c>
      <c r="AB9">
        <f ca="1">CCW.csv!G9</f>
        <v>36583</v>
      </c>
      <c r="AC9">
        <f ca="1">CCW.csv!P9-1</f>
        <v>200</v>
      </c>
      <c r="AD9">
        <f t="shared" ca="1" si="11"/>
        <v>0</v>
      </c>
    </row>
    <row r="10" spans="1:30" x14ac:dyDescent="0.3">
      <c r="A10" t="s">
        <v>2927</v>
      </c>
      <c r="B10">
        <f t="shared" si="0"/>
        <v>200008</v>
      </c>
      <c r="C10">
        <f ca="1">CCW.csv!B10</f>
        <v>38506954</v>
      </c>
      <c r="D10" t="str">
        <f>Lookups!R10</f>
        <v>TJR 794</v>
      </c>
      <c r="E10" t="str">
        <f ca="1">Lookups!Q10&amp;RANDBETWEEN(1111,9999)</f>
        <v>1GJGG25V571169289</v>
      </c>
      <c r="F10">
        <f ca="1">INDEX(Owners.csv!C:C,RANDBETWEEN(2,COUNTA(Owners.csv!B:B)),1)</f>
        <v>200010</v>
      </c>
      <c r="G10" t="str">
        <f t="shared" ca="1" si="1"/>
        <v>rg:{ 'id': '200010'}</v>
      </c>
      <c r="H10">
        <f t="shared" ca="1" si="2"/>
        <v>32921</v>
      </c>
      <c r="I10" t="s">
        <v>2979</v>
      </c>
      <c r="J10" s="1" t="s">
        <v>2980</v>
      </c>
      <c r="K10">
        <f ca="1">INDEX(ServiceAreas.csv!H:H,RANDBETWEEN(2,COUNTA(ServiceAreas.csv!H:H)),1)</f>
        <v>200000</v>
      </c>
      <c r="L10" t="str">
        <f t="shared" ca="1" si="3"/>
        <v>rg:{ 'id': '200000'}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Comment about where the bus is located.</v>
      </c>
      <c r="S10" t="str">
        <f ca="1">INDEX(Lookups!U:U,MID(Y10,6,1)+1,1)</f>
        <v>rg:None</v>
      </c>
      <c r="T10" t="str">
        <f t="shared" ca="1" si="7"/>
        <v>2017-03-10</v>
      </c>
      <c r="U10">
        <f ca="1">INDEX(schoolDistricts.csv!D:D,RANDBETWEEN(2,COUNTA(schoolDistricts.csv!D:D)),1)</f>
        <v>200030</v>
      </c>
      <c r="V10" t="str">
        <f t="shared" ca="1" si="8"/>
        <v>rg:{'id': '200030'}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3: Special Vehicle</v>
      </c>
      <c r="Z10" t="str">
        <f ca="1">INDEX(Lookups!V:V,RANDBETWEEN(2,7),1)</f>
        <v>Other</v>
      </c>
      <c r="AA10" t="str">
        <f t="shared" ca="1" si="10"/>
        <v>Other Bus Type</v>
      </c>
      <c r="AB10">
        <f ca="1">CCW.csv!G10</f>
        <v>32815</v>
      </c>
      <c r="AC10">
        <f ca="1">CCW.csv!P10-1</f>
        <v>36</v>
      </c>
      <c r="AD10">
        <f t="shared" ca="1" si="11"/>
        <v>5</v>
      </c>
    </row>
    <row r="11" spans="1:30" x14ac:dyDescent="0.3">
      <c r="A11" t="s">
        <v>2927</v>
      </c>
      <c r="B11">
        <f t="shared" si="0"/>
        <v>200009</v>
      </c>
      <c r="C11">
        <f ca="1">CCW.csv!B11</f>
        <v>12999548</v>
      </c>
      <c r="D11" t="str">
        <f>Lookups!R11</f>
        <v>LEE 402</v>
      </c>
      <c r="E11" t="str">
        <f ca="1">Lookups!Q11&amp;RANDBETWEEN(1111,9999)</f>
        <v>4UZ3CFAC2XCB63117</v>
      </c>
      <c r="F11">
        <f ca="1">INDEX(Owners.csv!C:C,RANDBETWEEN(2,COUNTA(Owners.csv!B:B)),1)</f>
        <v>200015</v>
      </c>
      <c r="G11" t="str">
        <f t="shared" ca="1" si="1"/>
        <v>rg:{ 'id': '200015'}</v>
      </c>
      <c r="H11">
        <f t="shared" ca="1" si="2"/>
        <v>39893</v>
      </c>
      <c r="I11" t="s">
        <v>2979</v>
      </c>
      <c r="J11" s="1" t="s">
        <v>2980</v>
      </c>
      <c r="K11">
        <f ca="1">INDEX(ServiceAreas.csv!H:H,RANDBETWEEN(2,COUNTA(ServiceAreas.csv!H:H)),1)</f>
        <v>200004</v>
      </c>
      <c r="L11" t="str">
        <f t="shared" ca="1" si="3"/>
        <v>rg:{ 'id': '200004'}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rg:None</v>
      </c>
      <c r="T11" t="str">
        <f t="shared" ca="1" si="7"/>
        <v>2017-09-18</v>
      </c>
      <c r="U11">
        <f ca="1">INDEX(schoolDistricts.csv!D:D,RANDBETWEEN(2,COUNTA(schoolDistricts.csv!D:D)),1)</f>
        <v>200035</v>
      </c>
      <c r="V11" t="str">
        <f t="shared" ca="1" si="8"/>
        <v>rg:{'id': '200035'}</v>
      </c>
      <c r="W11" t="str">
        <f t="shared" ca="1" si="9"/>
        <v>rg:True</v>
      </c>
      <c r="X11" t="str">
        <f ca="1">IF(W11="rg:False","rg:None",INDEX(Lookups!S:S,RANDBETWEEN(2,32),1))</f>
        <v>ST GEORGE'S SCHOOL</v>
      </c>
      <c r="Y11" t="str">
        <f ca="1">INDEX(Lookups!T:T,RANDBETWEEN(2,4),1)</f>
        <v>Type 1: Yellow and Black School Bus</v>
      </c>
      <c r="Z11" t="str">
        <f ca="1">INDEX(Lookups!V:V,RANDBETWEEN(2,7),1)</f>
        <v>Yellow and Black</v>
      </c>
      <c r="AA11" t="str">
        <f t="shared" ca="1" si="10"/>
        <v>rg:None</v>
      </c>
      <c r="AB11">
        <f ca="1">CCW.csv!G11</f>
        <v>26054</v>
      </c>
      <c r="AC11">
        <f ca="1">CCW.csv!P11-1</f>
        <v>71</v>
      </c>
      <c r="AD11">
        <f t="shared" ca="1" si="11"/>
        <v>3</v>
      </c>
    </row>
    <row r="12" spans="1:30" x14ac:dyDescent="0.3">
      <c r="A12" t="s">
        <v>2927</v>
      </c>
      <c r="B12">
        <f t="shared" si="0"/>
        <v>200010</v>
      </c>
      <c r="C12">
        <f ca="1">CCW.csv!B12</f>
        <v>25246047</v>
      </c>
      <c r="D12" t="str">
        <f>Lookups!R12</f>
        <v>PSC 516</v>
      </c>
      <c r="E12" t="str">
        <f ca="1">Lookups!Q12&amp;RANDBETWEEN(1111,9999)</f>
        <v>1BAAJCSH6XF087466</v>
      </c>
      <c r="F12">
        <f ca="1">INDEX(Owners.csv!C:C,RANDBETWEEN(2,COUNTA(Owners.csv!B:B)),1)</f>
        <v>200005</v>
      </c>
      <c r="G12" t="str">
        <f t="shared" ca="1" si="1"/>
        <v>rg:{ 'id': '200005'}</v>
      </c>
      <c r="H12">
        <f t="shared" ca="1" si="2"/>
        <v>37940</v>
      </c>
      <c r="I12" t="s">
        <v>2979</v>
      </c>
      <c r="J12" s="1" t="s">
        <v>2980</v>
      </c>
      <c r="K12">
        <f ca="1">INDEX(ServiceAreas.csv!H:H,RANDBETWEEN(2,COUNTA(ServiceAreas.csv!H:H)),1)</f>
        <v>200005</v>
      </c>
      <c r="L12" t="str">
        <f t="shared" ca="1" si="3"/>
        <v>rg:{ 'id': '200005'}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Comment about where the bus is located.</v>
      </c>
      <c r="S12" t="str">
        <f ca="1">INDEX(Lookups!U:U,MID(Y12,6,1)+1,1)</f>
        <v>rg:None</v>
      </c>
      <c r="T12" t="str">
        <f t="shared" ca="1" si="7"/>
        <v>2017-01-24</v>
      </c>
      <c r="U12">
        <f ca="1">INDEX(schoolDistricts.csv!D:D,RANDBETWEEN(2,COUNTA(schoolDistricts.csv!D:D)),1)</f>
        <v>200023</v>
      </c>
      <c r="V12" t="str">
        <f t="shared" ca="1" si="8"/>
        <v>rg:{'id': '200023'}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1: Yellow and Black School Bus</v>
      </c>
      <c r="Z12" t="str">
        <f ca="1">INDEX(Lookups!V:V,RANDBETWEEN(2,7),1)</f>
        <v>Yellow and Black</v>
      </c>
      <c r="AA12" t="str">
        <f t="shared" ca="1" si="10"/>
        <v>rg:None</v>
      </c>
      <c r="AB12">
        <f ca="1">CCW.csv!G12</f>
        <v>12686</v>
      </c>
      <c r="AC12">
        <f ca="1">CCW.csv!P12-1</f>
        <v>56</v>
      </c>
      <c r="AD12">
        <f t="shared" ca="1" si="11"/>
        <v>0</v>
      </c>
    </row>
    <row r="13" spans="1:30" x14ac:dyDescent="0.3">
      <c r="A13" t="s">
        <v>2927</v>
      </c>
      <c r="B13">
        <f t="shared" si="0"/>
        <v>200011</v>
      </c>
      <c r="C13">
        <f ca="1">CCW.csv!B13</f>
        <v>16189693</v>
      </c>
      <c r="D13" t="str">
        <f>Lookups!R13</f>
        <v>KHZ 108</v>
      </c>
      <c r="E13" t="str">
        <f ca="1">Lookups!Q13&amp;RANDBETWEEN(1111,9999)</f>
        <v>1HVBBABN5XH204788</v>
      </c>
      <c r="F13">
        <f ca="1">INDEX(Owners.csv!C:C,RANDBETWEEN(2,COUNTA(Owners.csv!B:B)),1)</f>
        <v>200011</v>
      </c>
      <c r="G13" t="str">
        <f t="shared" ca="1" si="1"/>
        <v>rg:{ 'id': '200011'}</v>
      </c>
      <c r="H13">
        <f t="shared" ca="1" si="2"/>
        <v>27815</v>
      </c>
      <c r="I13" t="s">
        <v>2979</v>
      </c>
      <c r="J13" s="1" t="s">
        <v>2980</v>
      </c>
      <c r="K13">
        <f ca="1">INDEX(ServiceAreas.csv!H:H,RANDBETWEEN(2,COUNTA(ServiceAreas.csv!H:H)),1)</f>
        <v>200024</v>
      </c>
      <c r="L13" t="str">
        <f t="shared" ca="1" si="3"/>
        <v>rg:{ 'id': '200024'}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Non-Scheduled Transportation Only</v>
      </c>
      <c r="T13" t="str">
        <f t="shared" ca="1" si="7"/>
        <v>2017-01-16</v>
      </c>
      <c r="U13">
        <f ca="1">INDEX(schoolDistricts.csv!D:D,RANDBETWEEN(2,COUNTA(schoolDistricts.csv!D:D)),1)</f>
        <v>200042</v>
      </c>
      <c r="V13" t="str">
        <f t="shared" ca="1" si="8"/>
        <v>rg:{'id': '200042'}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2: Special Activity Bus</v>
      </c>
      <c r="Z13" t="str">
        <f ca="1">INDEX(Lookups!V:V,RANDBETWEEN(2,7),1)</f>
        <v>Van</v>
      </c>
      <c r="AA13" t="str">
        <f t="shared" ca="1" si="10"/>
        <v>rg:None</v>
      </c>
      <c r="AB13">
        <f ca="1">CCW.csv!G13</f>
        <v>10054</v>
      </c>
      <c r="AC13">
        <f ca="1">CCW.csv!P13-1</f>
        <v>48</v>
      </c>
      <c r="AD13">
        <f t="shared" ca="1" si="11"/>
        <v>0</v>
      </c>
    </row>
    <row r="14" spans="1:30" x14ac:dyDescent="0.3">
      <c r="A14" t="s">
        <v>2927</v>
      </c>
      <c r="B14">
        <f t="shared" si="0"/>
        <v>200012</v>
      </c>
      <c r="C14">
        <f ca="1">CCW.csv!B14</f>
        <v>33688088</v>
      </c>
      <c r="D14" t="str">
        <f>Lookups!R14</f>
        <v>NLN 307</v>
      </c>
      <c r="E14" t="str">
        <f ca="1">Lookups!Q14&amp;RANDBETWEEN(1111,9999)</f>
        <v>1HVBBABP8YH205824</v>
      </c>
      <c r="F14">
        <f ca="1">INDEX(Owners.csv!C:C,RANDBETWEEN(2,COUNTA(Owners.csv!B:B)),1)</f>
        <v>200003</v>
      </c>
      <c r="G14" t="str">
        <f t="shared" ca="1" si="1"/>
        <v>rg:{ 'id': '200003'}</v>
      </c>
      <c r="H14">
        <f t="shared" ca="1" si="2"/>
        <v>38963</v>
      </c>
      <c r="I14" t="s">
        <v>2979</v>
      </c>
      <c r="J14" s="1" t="s">
        <v>2980</v>
      </c>
      <c r="K14">
        <f ca="1">INDEX(ServiceAreas.csv!H:H,RANDBETWEEN(2,COUNTA(ServiceAreas.csv!H:H)),1)</f>
        <v>200004</v>
      </c>
      <c r="L14" t="str">
        <f t="shared" ca="1" si="3"/>
        <v>rg:{ 'id': '200004'}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rg:None</v>
      </c>
      <c r="S14" t="str">
        <f ca="1">INDEX(Lookups!U:U,MID(Y14,6,1)+1,1)</f>
        <v>rg:None</v>
      </c>
      <c r="T14" t="str">
        <f t="shared" ca="1" si="7"/>
        <v>2017-02-13</v>
      </c>
      <c r="U14">
        <f ca="1">INDEX(schoolDistricts.csv!D:D,RANDBETWEEN(2,COUNTA(schoolDistricts.csv!D:D)),1)</f>
        <v>200024</v>
      </c>
      <c r="V14" t="str">
        <f t="shared" ca="1" si="8"/>
        <v>rg:{'id': '200024'}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1: Yellow and Black School Bus</v>
      </c>
      <c r="Z14" t="str">
        <f ca="1">INDEX(Lookups!V:V,RANDBETWEEN(2,7),1)</f>
        <v>Coach Bus</v>
      </c>
      <c r="AA14" t="str">
        <f t="shared" ca="1" si="10"/>
        <v>rg:None</v>
      </c>
      <c r="AB14">
        <f ca="1">CCW.csv!G14</f>
        <v>46058</v>
      </c>
      <c r="AC14">
        <f ca="1">CCW.csv!P14-1</f>
        <v>9</v>
      </c>
      <c r="AD14">
        <f t="shared" ca="1" si="11"/>
        <v>0</v>
      </c>
    </row>
    <row r="15" spans="1:30" x14ac:dyDescent="0.3">
      <c r="A15" t="s">
        <v>2927</v>
      </c>
      <c r="B15">
        <f t="shared" si="0"/>
        <v>200013</v>
      </c>
      <c r="C15">
        <f ca="1">CCW.csv!B15</f>
        <v>46490794</v>
      </c>
      <c r="D15" t="str">
        <f>Lookups!R15</f>
        <v>XES 635</v>
      </c>
      <c r="E15" t="str">
        <f ca="1">Lookups!Q15&amp;RANDBETWEEN(1111,9999)</f>
        <v>1GBHG31F6X1075514</v>
      </c>
      <c r="F15">
        <f ca="1">INDEX(Owners.csv!C:C,RANDBETWEEN(2,COUNTA(Owners.csv!B:B)),1)</f>
        <v>200004</v>
      </c>
      <c r="G15" t="str">
        <f t="shared" ca="1" si="1"/>
        <v>rg:{ 'id': '200004'}</v>
      </c>
      <c r="H15">
        <f t="shared" ca="1" si="2"/>
        <v>37500</v>
      </c>
      <c r="I15" t="s">
        <v>2979</v>
      </c>
      <c r="J15" s="1" t="s">
        <v>2980</v>
      </c>
      <c r="K15">
        <f ca="1">INDEX(ServiceAreas.csv!H:H,RANDBETWEEN(2,COUNTA(ServiceAreas.csv!H:H)),1)</f>
        <v>200006</v>
      </c>
      <c r="L15" t="str">
        <f t="shared" ca="1" si="3"/>
        <v>rg:{ 'id': '200006'}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rg:None</v>
      </c>
      <c r="T15" t="str">
        <f t="shared" ca="1" si="7"/>
        <v>2017-10-25</v>
      </c>
      <c r="U15">
        <f ca="1">INDEX(schoolDistricts.csv!D:D,RANDBETWEEN(2,COUNTA(schoolDistricts.csv!D:D)),1)</f>
        <v>200017</v>
      </c>
      <c r="V15" t="str">
        <f t="shared" ca="1" si="8"/>
        <v>rg:{'id': '200017'}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1: Yellow and Black School Bus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27805</v>
      </c>
      <c r="AC15">
        <f ca="1">CCW.csv!P15-1</f>
        <v>53</v>
      </c>
      <c r="AD15">
        <f t="shared" ca="1" si="11"/>
        <v>2</v>
      </c>
    </row>
    <row r="16" spans="1:30" x14ac:dyDescent="0.3">
      <c r="A16" t="s">
        <v>2927</v>
      </c>
      <c r="B16">
        <f t="shared" si="0"/>
        <v>200014</v>
      </c>
      <c r="C16">
        <f ca="1">CCW.csv!B16</f>
        <v>40729681</v>
      </c>
      <c r="D16" t="str">
        <f>Lookups!R16</f>
        <v>MPA 390</v>
      </c>
      <c r="E16" t="str">
        <f ca="1">Lookups!Q16&amp;RANDBETWEEN(1111,9999)</f>
        <v>1GBHG31F2X1074618</v>
      </c>
      <c r="F16">
        <f ca="1">INDEX(Owners.csv!C:C,RANDBETWEEN(2,COUNTA(Owners.csv!B:B)),1)</f>
        <v>200007</v>
      </c>
      <c r="G16" t="str">
        <f t="shared" ca="1" si="1"/>
        <v>rg:{ 'id': '200007'}</v>
      </c>
      <c r="H16">
        <f t="shared" ca="1" si="2"/>
        <v>29662</v>
      </c>
      <c r="I16" t="s">
        <v>2979</v>
      </c>
      <c r="J16" s="1" t="s">
        <v>2980</v>
      </c>
      <c r="K16">
        <f ca="1">INDEX(ServiceAreas.csv!H:H,RANDBETWEEN(2,COUNTA(ServiceAreas.csv!H:H)),1)</f>
        <v>200005</v>
      </c>
      <c r="L16" t="str">
        <f t="shared" ca="1" si="3"/>
        <v>rg:{ 'id': '200005'}</v>
      </c>
      <c r="M16">
        <f ca="1">INDEX(Names!G:G,70+$F16,1)</f>
        <v>0</v>
      </c>
      <c r="N16" t="str">
        <f t="shared" ca="1" si="4"/>
        <v>Unit 100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Non-Scheduled Transportation Only</v>
      </c>
      <c r="T16" t="str">
        <f t="shared" ca="1" si="7"/>
        <v>2017-11-16</v>
      </c>
      <c r="U16">
        <f ca="1">INDEX(schoolDistricts.csv!D:D,RANDBETWEEN(2,COUNTA(schoolDistricts.csv!D:D)),1)</f>
        <v>200001</v>
      </c>
      <c r="V16" t="str">
        <f t="shared" ca="1" si="8"/>
        <v>rg:{'id': '200001'}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2: Special Activity Bus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47558</v>
      </c>
      <c r="AC16">
        <f ca="1">CCW.csv!P16-1</f>
        <v>55</v>
      </c>
      <c r="AD16">
        <f t="shared" ca="1" si="11"/>
        <v>5</v>
      </c>
    </row>
    <row r="17" spans="1:30" x14ac:dyDescent="0.3">
      <c r="A17" t="s">
        <v>2927</v>
      </c>
      <c r="B17">
        <f t="shared" si="0"/>
        <v>200015</v>
      </c>
      <c r="C17">
        <f ca="1">CCW.csv!B17</f>
        <v>28836377</v>
      </c>
      <c r="D17" t="str">
        <f>Lookups!R17</f>
        <v>TJJ 517</v>
      </c>
      <c r="E17" t="str">
        <f ca="1">Lookups!Q17&amp;RANDBETWEEN(1111,9999)</f>
        <v>1GBHG31F2X1113755</v>
      </c>
      <c r="F17">
        <f ca="1">INDEX(Owners.csv!C:C,RANDBETWEEN(2,COUNTA(Owners.csv!B:B)),1)</f>
        <v>200017</v>
      </c>
      <c r="G17" t="str">
        <f t="shared" ca="1" si="1"/>
        <v>rg:{ 'id': '200017'}</v>
      </c>
      <c r="H17">
        <f t="shared" ca="1" si="2"/>
        <v>27609</v>
      </c>
      <c r="I17" t="s">
        <v>2979</v>
      </c>
      <c r="J17" s="1" t="s">
        <v>2980</v>
      </c>
      <c r="K17">
        <f ca="1">INDEX(ServiceAreas.csv!H:H,RANDBETWEEN(2,COUNTA(ServiceAreas.csv!H:H)),1)</f>
        <v>200027</v>
      </c>
      <c r="L17" t="str">
        <f t="shared" ca="1" si="3"/>
        <v>rg:{ 'id': '200027'}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Non-Scheduled Transportation Only</v>
      </c>
      <c r="T17" t="str">
        <f t="shared" ca="1" si="7"/>
        <v>2017-02-28</v>
      </c>
      <c r="U17">
        <f ca="1">INDEX(schoolDistricts.csv!D:D,RANDBETWEEN(2,COUNTA(schoolDistricts.csv!D:D)),1)</f>
        <v>200029</v>
      </c>
      <c r="V17" t="str">
        <f t="shared" ca="1" si="8"/>
        <v>rg:{'id': '200029'}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2: Special Activity Bus</v>
      </c>
      <c r="Z17" t="str">
        <f ca="1">INDEX(Lookups!V:V,RANDBETWEEN(2,7),1)</f>
        <v>Bus</v>
      </c>
      <c r="AA17" t="str">
        <f t="shared" ca="1" si="10"/>
        <v>rg:None</v>
      </c>
      <c r="AB17">
        <f ca="1">CCW.csv!G17</f>
        <v>47591</v>
      </c>
      <c r="AC17">
        <f ca="1">CCW.csv!P17-1</f>
        <v>44</v>
      </c>
      <c r="AD17">
        <f t="shared" ca="1" si="11"/>
        <v>5</v>
      </c>
    </row>
    <row r="18" spans="1:30" x14ac:dyDescent="0.3">
      <c r="A18" t="s">
        <v>2927</v>
      </c>
      <c r="B18">
        <f t="shared" si="0"/>
        <v>200016</v>
      </c>
      <c r="C18">
        <f ca="1">CCW.csv!B18</f>
        <v>12268596</v>
      </c>
      <c r="D18" t="str">
        <f>Lookups!R18</f>
        <v>MWJ 920</v>
      </c>
      <c r="E18" t="str">
        <f ca="1">Lookups!Q18&amp;RANDBETWEEN(1111,9999)</f>
        <v>1GBHG31F0X1111258</v>
      </c>
      <c r="F18">
        <f ca="1">INDEX(Owners.csv!C:C,RANDBETWEEN(2,COUNTA(Owners.csv!B:B)),1)</f>
        <v>200011</v>
      </c>
      <c r="G18" t="str">
        <f t="shared" ca="1" si="1"/>
        <v>rg:{ 'id': '200011'}</v>
      </c>
      <c r="H18">
        <f t="shared" ca="1" si="2"/>
        <v>27637</v>
      </c>
      <c r="I18" t="s">
        <v>2979</v>
      </c>
      <c r="J18" s="1" t="s">
        <v>2980</v>
      </c>
      <c r="K18">
        <f ca="1">INDEX(ServiceAreas.csv!H:H,RANDBETWEEN(2,COUNTA(ServiceAreas.csv!H:H)),1)</f>
        <v>200026</v>
      </c>
      <c r="L18" t="str">
        <f t="shared" ca="1" si="3"/>
        <v>rg:{ 'id': '200026'}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rg:None</v>
      </c>
      <c r="T18" t="str">
        <f t="shared" ca="1" si="7"/>
        <v>2017-12-11</v>
      </c>
      <c r="U18">
        <f ca="1">INDEX(schoolDistricts.csv!D:D,RANDBETWEEN(2,COUNTA(schoolDistricts.csv!D:D)),1)</f>
        <v>200021</v>
      </c>
      <c r="V18" t="str">
        <f t="shared" ca="1" si="8"/>
        <v>rg:{'id': '200021'}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1: Yellow and Black School Bus</v>
      </c>
      <c r="Z18" t="str">
        <f ca="1">INDEX(Lookups!V:V,RANDBETWEEN(2,7),1)</f>
        <v>Van</v>
      </c>
      <c r="AA18" t="str">
        <f t="shared" ca="1" si="10"/>
        <v>rg:None</v>
      </c>
      <c r="AB18">
        <f ca="1">CCW.csv!G18</f>
        <v>47066</v>
      </c>
      <c r="AC18">
        <f ca="1">CCW.csv!P18-1</f>
        <v>74</v>
      </c>
      <c r="AD18">
        <f t="shared" ca="1" si="11"/>
        <v>0</v>
      </c>
    </row>
    <row r="19" spans="1:30" x14ac:dyDescent="0.3">
      <c r="A19" t="s">
        <v>2927</v>
      </c>
      <c r="B19">
        <f t="shared" si="0"/>
        <v>200017</v>
      </c>
      <c r="C19">
        <f ca="1">CCW.csv!B19</f>
        <v>35216630</v>
      </c>
      <c r="D19" t="str">
        <f>Lookups!R19</f>
        <v>SSR 601</v>
      </c>
      <c r="E19" t="str">
        <f ca="1">Lookups!Q19&amp;RANDBETWEEN(1111,9999)</f>
        <v>1GBHG31F2X1111282</v>
      </c>
      <c r="F19">
        <f ca="1">INDEX(Owners.csv!C:C,RANDBETWEEN(2,COUNTA(Owners.csv!B:B)),1)</f>
        <v>200017</v>
      </c>
      <c r="G19" t="str">
        <f t="shared" ca="1" si="1"/>
        <v>rg:{ 'id': '200017'}</v>
      </c>
      <c r="H19">
        <f t="shared" ca="1" si="2"/>
        <v>30584</v>
      </c>
      <c r="I19" t="s">
        <v>2979</v>
      </c>
      <c r="J19" s="1" t="s">
        <v>2980</v>
      </c>
      <c r="K19">
        <f ca="1">INDEX(ServiceAreas.csv!H:H,RANDBETWEEN(2,COUNTA(ServiceAreas.csv!H:H)),1)</f>
        <v>200002</v>
      </c>
      <c r="L19" t="str">
        <f t="shared" ca="1" si="3"/>
        <v>rg:{ 'id': '200002'}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Non-Scheduled Transportation Only</v>
      </c>
      <c r="T19" t="str">
        <f t="shared" ca="1" si="7"/>
        <v>2017-09-12</v>
      </c>
      <c r="U19">
        <f ca="1">INDEX(schoolDistricts.csv!D:D,RANDBETWEEN(2,COUNTA(schoolDistricts.csv!D:D)),1)</f>
        <v>200005</v>
      </c>
      <c r="V19" t="str">
        <f t="shared" ca="1" si="8"/>
        <v>rg:{'id': '200005'}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2: Special Activity Bus</v>
      </c>
      <c r="Z19" t="str">
        <f ca="1">INDEX(Lookups!V:V,RANDBETWEEN(2,7),1)</f>
        <v>Yellow and Black</v>
      </c>
      <c r="AA19" t="str">
        <f t="shared" ca="1" si="10"/>
        <v>rg:None</v>
      </c>
      <c r="AB19">
        <f ca="1">CCW.csv!G19</f>
        <v>19331</v>
      </c>
      <c r="AC19">
        <f ca="1">CCW.csv!P19-1</f>
        <v>58</v>
      </c>
      <c r="AD19">
        <f t="shared" ca="1" si="11"/>
        <v>4</v>
      </c>
    </row>
    <row r="20" spans="1:30" x14ac:dyDescent="0.3">
      <c r="A20" t="s">
        <v>2927</v>
      </c>
      <c r="B20">
        <f t="shared" si="0"/>
        <v>200018</v>
      </c>
      <c r="C20">
        <f ca="1">CCW.csv!B20</f>
        <v>38312924</v>
      </c>
      <c r="D20" t="str">
        <f>Lookups!R20</f>
        <v>VTC 949</v>
      </c>
      <c r="E20" t="str">
        <f ca="1">Lookups!Q20&amp;RANDBETWEEN(1111,9999)</f>
        <v>1GBHG31F8X1116533</v>
      </c>
      <c r="F20">
        <f ca="1">INDEX(Owners.csv!C:C,RANDBETWEEN(2,COUNTA(Owners.csv!B:B)),1)</f>
        <v>200002</v>
      </c>
      <c r="G20" t="str">
        <f t="shared" ca="1" si="1"/>
        <v>rg:{ 'id': '200002'}</v>
      </c>
      <c r="H20">
        <f t="shared" ca="1" si="2"/>
        <v>36291</v>
      </c>
      <c r="I20" t="s">
        <v>2979</v>
      </c>
      <c r="J20" s="1" t="s">
        <v>2980</v>
      </c>
      <c r="K20">
        <f ca="1">INDEX(ServiceAreas.csv!H:H,RANDBETWEEN(2,COUNTA(ServiceAreas.csv!H:H)),1)</f>
        <v>200011</v>
      </c>
      <c r="L20" t="str">
        <f t="shared" ca="1" si="3"/>
        <v>rg:{ 'id': '200011'}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2017-01-09</v>
      </c>
      <c r="U20">
        <f ca="1">INDEX(schoolDistricts.csv!D:D,RANDBETWEEN(2,COUNTA(schoolDistricts.csv!D:D)),1)</f>
        <v>200040</v>
      </c>
      <c r="V20" t="str">
        <f t="shared" ca="1" si="8"/>
        <v>rg:{'id': '200040'}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2: Special Activity Bus</v>
      </c>
      <c r="Z20" t="str">
        <f ca="1">INDEX(Lookups!V:V,RANDBETWEEN(2,7),1)</f>
        <v>Van</v>
      </c>
      <c r="AA20" t="str">
        <f t="shared" ca="1" si="10"/>
        <v>rg:None</v>
      </c>
      <c r="AB20">
        <f ca="1">CCW.csv!G20</f>
        <v>44340</v>
      </c>
      <c r="AC20">
        <f ca="1">CCW.csv!P20-1</f>
        <v>56</v>
      </c>
      <c r="AD20">
        <f t="shared" ca="1" si="11"/>
        <v>1</v>
      </c>
    </row>
    <row r="21" spans="1:30" x14ac:dyDescent="0.3">
      <c r="A21" t="s">
        <v>2927</v>
      </c>
      <c r="B21">
        <f t="shared" si="0"/>
        <v>200019</v>
      </c>
      <c r="C21">
        <f ca="1">CCW.csv!B21</f>
        <v>25270698</v>
      </c>
      <c r="D21" t="str">
        <f>Lookups!R21</f>
        <v>TNC 450</v>
      </c>
      <c r="E21" t="str">
        <f ca="1">Lookups!Q21&amp;RANDBETWEEN(1111,9999)</f>
        <v>1GBJG31F9X1158273</v>
      </c>
      <c r="F21">
        <f ca="1">INDEX(Owners.csv!C:C,RANDBETWEEN(2,COUNTA(Owners.csv!B:B)),1)</f>
        <v>200007</v>
      </c>
      <c r="G21" t="str">
        <f t="shared" ca="1" si="1"/>
        <v>rg:{ 'id': '200007'}</v>
      </c>
      <c r="H21">
        <f t="shared" ca="1" si="2"/>
        <v>25649</v>
      </c>
      <c r="I21" t="s">
        <v>2979</v>
      </c>
      <c r="J21" s="1" t="s">
        <v>2980</v>
      </c>
      <c r="K21">
        <f ca="1">INDEX(ServiceAreas.csv!H:H,RANDBETWEEN(2,COUNTA(ServiceAreas.csv!H:H)),1)</f>
        <v>200011</v>
      </c>
      <c r="L21" t="str">
        <f t="shared" ca="1" si="3"/>
        <v>rg:{ 'id': '200011'}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rg:None</v>
      </c>
      <c r="T21" t="str">
        <f t="shared" ca="1" si="7"/>
        <v>2017-01-29</v>
      </c>
      <c r="U21">
        <f ca="1">INDEX(schoolDistricts.csv!D:D,RANDBETWEEN(2,COUNTA(schoolDistricts.csv!D:D)),1)</f>
        <v>200028</v>
      </c>
      <c r="V21" t="str">
        <f t="shared" ca="1" si="8"/>
        <v>rg:{'id': '200028'}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1: Yellow and Black School Bus</v>
      </c>
      <c r="Z21" t="str">
        <f ca="1">INDEX(Lookups!V:V,RANDBETWEEN(2,7),1)</f>
        <v>Other</v>
      </c>
      <c r="AA21" t="str">
        <f t="shared" ca="1" si="10"/>
        <v>Other Bus Type</v>
      </c>
      <c r="AB21">
        <f ca="1">CCW.csv!G21</f>
        <v>41080</v>
      </c>
      <c r="AC21">
        <f ca="1">CCW.csv!P21-1</f>
        <v>48</v>
      </c>
      <c r="AD21">
        <f t="shared" ca="1" si="11"/>
        <v>0</v>
      </c>
    </row>
    <row r="22" spans="1:30" x14ac:dyDescent="0.3">
      <c r="A22" t="s">
        <v>2927</v>
      </c>
      <c r="B22">
        <f t="shared" si="0"/>
        <v>200020</v>
      </c>
      <c r="C22">
        <f ca="1">CCW.csv!B22</f>
        <v>12326393</v>
      </c>
      <c r="D22" t="str">
        <f>Lookups!R22</f>
        <v>TJK 988</v>
      </c>
      <c r="E22" t="str">
        <f ca="1">Lookups!Q22&amp;RANDBETWEEN(1111,9999)</f>
        <v>1GBJG31F5X1158529</v>
      </c>
      <c r="F22">
        <f ca="1">INDEX(Owners.csv!C:C,RANDBETWEEN(2,COUNTA(Owners.csv!B:B)),1)</f>
        <v>200009</v>
      </c>
      <c r="G22" t="str">
        <f t="shared" ca="1" si="1"/>
        <v>rg:{ 'id': '200009'}</v>
      </c>
      <c r="H22">
        <f t="shared" ca="1" si="2"/>
        <v>39297</v>
      </c>
      <c r="I22" t="s">
        <v>2979</v>
      </c>
      <c r="J22" s="1" t="s">
        <v>2980</v>
      </c>
      <c r="K22">
        <f ca="1">INDEX(ServiceAreas.csv!H:H,RANDBETWEEN(2,COUNTA(ServiceAreas.csv!H:H)),1)</f>
        <v>200006</v>
      </c>
      <c r="L22" t="str">
        <f t="shared" ca="1" si="3"/>
        <v>rg:{ 'id': '200006'}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Comment about where the bus is located.</v>
      </c>
      <c r="S22" t="str">
        <f ca="1">INDEX(Lookups!U:U,MID(Y22,6,1)+1,1)</f>
        <v>rg:None</v>
      </c>
      <c r="T22" t="str">
        <f t="shared" ca="1" si="7"/>
        <v>2017-07-23</v>
      </c>
      <c r="U22">
        <f ca="1">INDEX(schoolDistricts.csv!D:D,RANDBETWEEN(2,COUNTA(schoolDistricts.csv!D:D)),1)</f>
        <v>200012</v>
      </c>
      <c r="V22" t="str">
        <f t="shared" ca="1" si="8"/>
        <v>rg:{'id': '200012'}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1: Yellow and Black School Bus</v>
      </c>
      <c r="Z22" t="str">
        <f ca="1">INDEX(Lookups!V:V,RANDBETWEEN(2,7),1)</f>
        <v>Mobility Aid</v>
      </c>
      <c r="AA22" t="str">
        <f t="shared" ca="1" si="10"/>
        <v>rg:None</v>
      </c>
      <c r="AB22">
        <f ca="1">CCW.csv!G22</f>
        <v>49573</v>
      </c>
      <c r="AC22">
        <f ca="1">CCW.csv!P22-1</f>
        <v>200</v>
      </c>
      <c r="AD22">
        <f t="shared" ca="1" si="11"/>
        <v>4</v>
      </c>
    </row>
    <row r="23" spans="1:30" x14ac:dyDescent="0.3">
      <c r="A23" t="s">
        <v>2927</v>
      </c>
      <c r="B23">
        <f t="shared" si="0"/>
        <v>200021</v>
      </c>
      <c r="C23">
        <f ca="1">CCW.csv!B23</f>
        <v>45785327</v>
      </c>
      <c r="D23" t="str">
        <f>Lookups!R23</f>
        <v>PKR 253</v>
      </c>
      <c r="E23" t="str">
        <f ca="1">Lookups!Q23&amp;RANDBETWEEN(1111,9999)</f>
        <v>1GBJG31F8X1158765</v>
      </c>
      <c r="F23">
        <f ca="1">INDEX(Owners.csv!C:C,RANDBETWEEN(2,COUNTA(Owners.csv!B:B)),1)</f>
        <v>200010</v>
      </c>
      <c r="G23" t="str">
        <f t="shared" ca="1" si="1"/>
        <v>rg:{ 'id': '200010'}</v>
      </c>
      <c r="H23">
        <f t="shared" ca="1" si="2"/>
        <v>35637</v>
      </c>
      <c r="I23" t="s">
        <v>2979</v>
      </c>
      <c r="J23" s="1" t="s">
        <v>2980</v>
      </c>
      <c r="K23">
        <f ca="1">INDEX(ServiceAreas.csv!H:H,RANDBETWEEN(2,COUNTA(ServiceAreas.csv!H:H)),1)</f>
        <v>200013</v>
      </c>
      <c r="L23" t="str">
        <f t="shared" ca="1" si="3"/>
        <v>rg:{ 'id': '200013'}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2017-03-27</v>
      </c>
      <c r="U23">
        <f ca="1">INDEX(schoolDistricts.csv!D:D,RANDBETWEEN(2,COUNTA(schoolDistricts.csv!D:D)),1)</f>
        <v>200021</v>
      </c>
      <c r="V23" t="str">
        <f t="shared" ca="1" si="8"/>
        <v>rg:{'id': '200021'}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Coach Bus</v>
      </c>
      <c r="AA23" t="str">
        <f t="shared" ca="1" si="10"/>
        <v>rg:None</v>
      </c>
      <c r="AB23">
        <f ca="1">CCW.csv!G23</f>
        <v>40384</v>
      </c>
      <c r="AC23">
        <f ca="1">CCW.csv!P23-1</f>
        <v>44</v>
      </c>
      <c r="AD23">
        <f t="shared" ca="1" si="11"/>
        <v>0</v>
      </c>
    </row>
    <row r="24" spans="1:30" x14ac:dyDescent="0.3">
      <c r="A24" t="s">
        <v>2927</v>
      </c>
      <c r="B24">
        <f t="shared" si="0"/>
        <v>200022</v>
      </c>
      <c r="C24">
        <f ca="1">CCW.csv!B24</f>
        <v>35001575</v>
      </c>
      <c r="D24" t="str">
        <f>Lookups!R24</f>
        <v>VJA 211</v>
      </c>
      <c r="E24" t="str">
        <f ca="1">Lookups!Q24&amp;RANDBETWEEN(1111,9999)</f>
        <v>1GBJG31F3X1153373</v>
      </c>
      <c r="F24">
        <f ca="1">INDEX(Owners.csv!C:C,RANDBETWEEN(2,COUNTA(Owners.csv!B:B)),1)</f>
        <v>200010</v>
      </c>
      <c r="G24" t="str">
        <f t="shared" ca="1" si="1"/>
        <v>rg:{ 'id': '200010'}</v>
      </c>
      <c r="H24">
        <f t="shared" ca="1" si="2"/>
        <v>39781</v>
      </c>
      <c r="I24" t="s">
        <v>2979</v>
      </c>
      <c r="J24" s="1" t="s">
        <v>2980</v>
      </c>
      <c r="K24">
        <f ca="1">INDEX(ServiceAreas.csv!H:H,RANDBETWEEN(2,COUNTA(ServiceAreas.csv!H:H)),1)</f>
        <v>200012</v>
      </c>
      <c r="L24" t="str">
        <f t="shared" ca="1" si="3"/>
        <v>rg:{ 'id': '200012'}</v>
      </c>
      <c r="M24">
        <f ca="1">INDEX(Names!G:G,70+$F24,1)</f>
        <v>0</v>
      </c>
      <c r="N24" t="str">
        <f t="shared" ca="1" si="4"/>
        <v>Unit 100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Non-Scheduled Transportation Only</v>
      </c>
      <c r="T24" t="str">
        <f t="shared" ca="1" si="7"/>
        <v>2017-10-04</v>
      </c>
      <c r="U24">
        <f ca="1">INDEX(schoolDistricts.csv!D:D,RANDBETWEEN(2,COUNTA(schoolDistricts.csv!D:D)),1)</f>
        <v>200033</v>
      </c>
      <c r="V24" t="str">
        <f t="shared" ca="1" si="8"/>
        <v>rg:{'id': '200033'}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Van</v>
      </c>
      <c r="AA24" t="str">
        <f t="shared" ca="1" si="10"/>
        <v>rg:None</v>
      </c>
      <c r="AB24">
        <f ca="1">CCW.csv!G24</f>
        <v>49718</v>
      </c>
      <c r="AC24">
        <f ca="1">CCW.csv!P24-1</f>
        <v>80</v>
      </c>
      <c r="AD24">
        <f t="shared" ca="1" si="11"/>
        <v>0</v>
      </c>
    </row>
    <row r="25" spans="1:30" x14ac:dyDescent="0.3">
      <c r="A25" t="s">
        <v>2927</v>
      </c>
      <c r="B25">
        <f t="shared" si="0"/>
        <v>200023</v>
      </c>
      <c r="C25">
        <f ca="1">CCW.csv!B25</f>
        <v>25369992</v>
      </c>
      <c r="D25" t="str">
        <f>Lookups!R25</f>
        <v>VNN 705</v>
      </c>
      <c r="E25" t="str">
        <f ca="1">Lookups!Q25&amp;RANDBETWEEN(1111,9999)</f>
        <v>1GBJG31F1X1153061</v>
      </c>
      <c r="F25">
        <f ca="1">INDEX(Owners.csv!C:C,RANDBETWEEN(2,COUNTA(Owners.csv!B:B)),1)</f>
        <v>200009</v>
      </c>
      <c r="G25" t="str">
        <f t="shared" ca="1" si="1"/>
        <v>rg:{ 'id': '200009'}</v>
      </c>
      <c r="H25">
        <f t="shared" ca="1" si="2"/>
        <v>37640</v>
      </c>
      <c r="I25" t="s">
        <v>2979</v>
      </c>
      <c r="J25" s="1" t="s">
        <v>2980</v>
      </c>
      <c r="K25">
        <f ca="1">INDEX(ServiceAreas.csv!H:H,RANDBETWEEN(2,COUNTA(ServiceAreas.csv!H:H)),1)</f>
        <v>200006</v>
      </c>
      <c r="L25" t="str">
        <f t="shared" ca="1" si="3"/>
        <v>rg:{ 'id': '200006'}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2017-09-25</v>
      </c>
      <c r="U25">
        <f ca="1">INDEX(schoolDistricts.csv!D:D,RANDBETWEEN(2,COUNTA(schoolDistricts.csv!D:D)),1)</f>
        <v>200026</v>
      </c>
      <c r="V25" t="str">
        <f t="shared" ca="1" si="8"/>
        <v>rg:{'id': '200026'}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1: Yellow and Black School Bus</v>
      </c>
      <c r="Z25" t="str">
        <f ca="1">INDEX(Lookups!V:V,RANDBETWEEN(2,7),1)</f>
        <v>Other</v>
      </c>
      <c r="AA25" t="str">
        <f t="shared" ca="1" si="10"/>
        <v>Other Bus Type</v>
      </c>
      <c r="AB25">
        <f ca="1">CCW.csv!G25</f>
        <v>32304</v>
      </c>
      <c r="AC25">
        <f ca="1">CCW.csv!P25-1</f>
        <v>2</v>
      </c>
      <c r="AD25">
        <f t="shared" ca="1" si="11"/>
        <v>0</v>
      </c>
    </row>
    <row r="26" spans="1:30" x14ac:dyDescent="0.3">
      <c r="A26" t="s">
        <v>2927</v>
      </c>
      <c r="B26">
        <f t="shared" si="0"/>
        <v>200024</v>
      </c>
      <c r="C26">
        <f ca="1">CCW.csv!B26</f>
        <v>40082574</v>
      </c>
      <c r="D26" t="str">
        <f>Lookups!R26</f>
        <v>KPM 250</v>
      </c>
      <c r="E26" t="str">
        <f ca="1">Lookups!Q26&amp;RANDBETWEEN(1111,9999)</f>
        <v>1GAHG39R1X1145096</v>
      </c>
      <c r="F26">
        <f ca="1">INDEX(Owners.csv!C:C,RANDBETWEEN(2,COUNTA(Owners.csv!B:B)),1)</f>
        <v>200017</v>
      </c>
      <c r="G26" t="str">
        <f t="shared" ca="1" si="1"/>
        <v>rg:{ 'id': '200017'}</v>
      </c>
      <c r="H26">
        <f t="shared" ca="1" si="2"/>
        <v>28798</v>
      </c>
      <c r="I26" t="s">
        <v>2979</v>
      </c>
      <c r="J26" s="1" t="s">
        <v>2980</v>
      </c>
      <c r="K26">
        <f ca="1">INDEX(ServiceAreas.csv!H:H,RANDBETWEEN(2,COUNTA(ServiceAreas.csv!H:H)),1)</f>
        <v>200004</v>
      </c>
      <c r="L26" t="str">
        <f t="shared" ca="1" si="3"/>
        <v>rg:{ 'id': '200004'}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2017-12-26</v>
      </c>
      <c r="U26">
        <f ca="1">INDEX(schoolDistricts.csv!D:D,RANDBETWEEN(2,COUNTA(schoolDistricts.csv!D:D)),1)</f>
        <v>200042</v>
      </c>
      <c r="V26" t="str">
        <f t="shared" ca="1" si="8"/>
        <v>rg:{'id': '200042'}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3: Special Vehicle</v>
      </c>
      <c r="Z26" t="str">
        <f ca="1">INDEX(Lookups!V:V,RANDBETWEEN(2,7),1)</f>
        <v>Yellow and Black</v>
      </c>
      <c r="AA26" t="str">
        <f t="shared" ca="1" si="10"/>
        <v>rg:None</v>
      </c>
      <c r="AB26">
        <f ca="1">CCW.csv!G26</f>
        <v>12529</v>
      </c>
      <c r="AC26">
        <f ca="1">CCW.csv!P26-1</f>
        <v>56</v>
      </c>
      <c r="AD26">
        <f t="shared" ca="1" si="11"/>
        <v>0</v>
      </c>
    </row>
    <row r="27" spans="1:30" x14ac:dyDescent="0.3">
      <c r="A27" t="s">
        <v>2927</v>
      </c>
      <c r="B27">
        <f t="shared" si="0"/>
        <v>200025</v>
      </c>
      <c r="C27">
        <f ca="1">CCW.csv!B27</f>
        <v>28250431</v>
      </c>
      <c r="D27" t="str">
        <f>Lookups!R27</f>
        <v>TKW 525</v>
      </c>
      <c r="E27" t="str">
        <f ca="1">Lookups!Q27&amp;RANDBETWEEN(1111,9999)</f>
        <v>1FDXE47S4XHB12298</v>
      </c>
      <c r="F27">
        <f ca="1">INDEX(Owners.csv!C:C,RANDBETWEEN(2,COUNTA(Owners.csv!B:B)),1)</f>
        <v>200017</v>
      </c>
      <c r="G27" t="str">
        <f t="shared" ca="1" si="1"/>
        <v>rg:{ 'id': '200017'}</v>
      </c>
      <c r="H27">
        <f t="shared" ca="1" si="2"/>
        <v>33412</v>
      </c>
      <c r="I27" t="s">
        <v>2979</v>
      </c>
      <c r="J27" s="1" t="s">
        <v>2980</v>
      </c>
      <c r="K27">
        <f ca="1">INDEX(ServiceAreas.csv!H:H,RANDBETWEEN(2,COUNTA(ServiceAreas.csv!H:H)),1)</f>
        <v>200020</v>
      </c>
      <c r="L27" t="str">
        <f t="shared" ca="1" si="3"/>
        <v>rg:{ 'id': '200020'}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Comment about where the bus is located.</v>
      </c>
      <c r="S27" t="str">
        <f ca="1">INDEX(Lookups!U:U,MID(Y27,6,1)+1,1)</f>
        <v>Non-Scheduled Transportation Only</v>
      </c>
      <c r="T27" t="str">
        <f t="shared" ca="1" si="7"/>
        <v>2017-09-17</v>
      </c>
      <c r="U27">
        <f ca="1">INDEX(schoolDistricts.csv!D:D,RANDBETWEEN(2,COUNTA(schoolDistricts.csv!D:D)),1)</f>
        <v>200007</v>
      </c>
      <c r="V27" t="str">
        <f t="shared" ca="1" si="8"/>
        <v>rg:{'id': '200007'}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2: Special Activity Bus</v>
      </c>
      <c r="Z27" t="str">
        <f ca="1">INDEX(Lookups!V:V,RANDBETWEEN(2,7),1)</f>
        <v>Coach Bus</v>
      </c>
      <c r="AA27" t="str">
        <f t="shared" ca="1" si="10"/>
        <v>rg:None</v>
      </c>
      <c r="AB27">
        <f ca="1">CCW.csv!G27</f>
        <v>41067</v>
      </c>
      <c r="AC27">
        <f ca="1">CCW.csv!P27-1</f>
        <v>62</v>
      </c>
      <c r="AD27">
        <f t="shared" ca="1" si="11"/>
        <v>3</v>
      </c>
    </row>
    <row r="28" spans="1:30" x14ac:dyDescent="0.3">
      <c r="A28" t="s">
        <v>2927</v>
      </c>
      <c r="B28">
        <f t="shared" si="0"/>
        <v>200026</v>
      </c>
      <c r="C28">
        <f ca="1">CCW.csv!B28</f>
        <v>29119671</v>
      </c>
      <c r="D28" t="str">
        <f>Lookups!R28</f>
        <v>LTA 599</v>
      </c>
      <c r="E28" t="str">
        <f ca="1">Lookups!Q28&amp;RANDBETWEEN(1111,9999)</f>
        <v>1HVBBAAN3XH247529</v>
      </c>
      <c r="F28">
        <f ca="1">INDEX(Owners.csv!C:C,RANDBETWEEN(2,COUNTA(Owners.csv!B:B)),1)</f>
        <v>200006</v>
      </c>
      <c r="G28" t="str">
        <f t="shared" ca="1" si="1"/>
        <v>rg:{ 'id': '200006'}</v>
      </c>
      <c r="H28">
        <f t="shared" ca="1" si="2"/>
        <v>28741</v>
      </c>
      <c r="I28" t="s">
        <v>2979</v>
      </c>
      <c r="J28" s="1" t="s">
        <v>2980</v>
      </c>
      <c r="K28">
        <f ca="1">INDEX(ServiceAreas.csv!H:H,RANDBETWEEN(2,COUNTA(ServiceAreas.csv!H:H)),1)</f>
        <v>200022</v>
      </c>
      <c r="L28" t="str">
        <f t="shared" ca="1" si="3"/>
        <v>rg:{ 'id': '200022'}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Non-Scheduled Transportation Only</v>
      </c>
      <c r="T28" t="str">
        <f t="shared" ca="1" si="7"/>
        <v>2017-07-02</v>
      </c>
      <c r="U28">
        <f ca="1">INDEX(schoolDistricts.csv!D:D,RANDBETWEEN(2,COUNTA(schoolDistricts.csv!D:D)),1)</f>
        <v>200045</v>
      </c>
      <c r="V28" t="str">
        <f t="shared" ca="1" si="8"/>
        <v>rg:{'id': '200045'}</v>
      </c>
      <c r="W28" t="str">
        <f t="shared" ca="1" si="9"/>
        <v>rg:True</v>
      </c>
      <c r="X28" t="str">
        <f ca="1">IF(W28="rg:False","rg:None",INDEX(Lookups!S:S,RANDBETWEEN(2,32),1))</f>
        <v>MAIMONIDES SCHOOL SOCIETY</v>
      </c>
      <c r="Y28" t="str">
        <f ca="1">INDEX(Lookups!T:T,RANDBETWEEN(2,4),1)</f>
        <v>Type 2: Special Activity Bus</v>
      </c>
      <c r="Z28" t="str">
        <f ca="1">INDEX(Lookups!V:V,RANDBETWEEN(2,7),1)</f>
        <v>Yellow and Black</v>
      </c>
      <c r="AA28" t="str">
        <f t="shared" ca="1" si="10"/>
        <v>rg:None</v>
      </c>
      <c r="AB28">
        <f ca="1">CCW.csv!G28</f>
        <v>19768</v>
      </c>
      <c r="AC28">
        <f ca="1">CCW.csv!P28-1</f>
        <v>31</v>
      </c>
      <c r="AD28">
        <f t="shared" ca="1" si="11"/>
        <v>0</v>
      </c>
    </row>
    <row r="29" spans="1:30" x14ac:dyDescent="0.3">
      <c r="A29" t="s">
        <v>2927</v>
      </c>
      <c r="B29">
        <f t="shared" si="0"/>
        <v>200027</v>
      </c>
      <c r="C29">
        <f ca="1">CCW.csv!B29</f>
        <v>46704858</v>
      </c>
      <c r="D29" t="str">
        <f>Lookups!R29</f>
        <v>HBM 344</v>
      </c>
      <c r="E29" t="str">
        <f ca="1">Lookups!Q29&amp;RANDBETWEEN(1111,9999)</f>
        <v>1BABNBXA9YF094403</v>
      </c>
      <c r="F29">
        <f ca="1">INDEX(Owners.csv!C:C,RANDBETWEEN(2,COUNTA(Owners.csv!B:B)),1)</f>
        <v>200002</v>
      </c>
      <c r="G29" t="str">
        <f t="shared" ca="1" si="1"/>
        <v>rg:{ 'id': '200002'}</v>
      </c>
      <c r="H29">
        <f t="shared" ca="1" si="2"/>
        <v>39133</v>
      </c>
      <c r="I29" t="s">
        <v>2979</v>
      </c>
      <c r="J29" s="1" t="s">
        <v>2980</v>
      </c>
      <c r="K29">
        <f ca="1">INDEX(ServiceAreas.csv!H:H,RANDBETWEEN(2,COUNTA(ServiceAreas.csv!H:H)),1)</f>
        <v>200007</v>
      </c>
      <c r="L29" t="str">
        <f t="shared" ca="1" si="3"/>
        <v>rg:{ 'id': '200007'}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Comment about where the bus is located.</v>
      </c>
      <c r="S29" t="str">
        <f ca="1">INDEX(Lookups!U:U,MID(Y29,6,1)+1,1)</f>
        <v>Non-Scheduled Transportation Only</v>
      </c>
      <c r="T29" t="str">
        <f t="shared" ca="1" si="7"/>
        <v>2017-09-27</v>
      </c>
      <c r="U29">
        <f ca="1">INDEX(schoolDistricts.csv!D:D,RANDBETWEEN(2,COUNTA(schoolDistricts.csv!D:D)),1)</f>
        <v>200024</v>
      </c>
      <c r="V29" t="str">
        <f t="shared" ca="1" si="8"/>
        <v>rg:{'id': '200024'}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Van</v>
      </c>
      <c r="AA29" t="str">
        <f t="shared" ca="1" si="10"/>
        <v>rg:None</v>
      </c>
      <c r="AB29">
        <f ca="1">CCW.csv!G29</f>
        <v>43670</v>
      </c>
      <c r="AC29">
        <f ca="1">CCW.csv!P29-1</f>
        <v>40</v>
      </c>
      <c r="AD29">
        <f t="shared" ca="1" si="11"/>
        <v>0</v>
      </c>
    </row>
    <row r="30" spans="1:30" x14ac:dyDescent="0.3">
      <c r="A30" t="s">
        <v>2927</v>
      </c>
      <c r="B30">
        <f t="shared" si="0"/>
        <v>200028</v>
      </c>
      <c r="C30">
        <f ca="1">CCW.csv!B30</f>
        <v>17840171</v>
      </c>
      <c r="D30" t="str">
        <f>Lookups!R30</f>
        <v>THJ 509</v>
      </c>
      <c r="E30" t="str">
        <f ca="1">Lookups!Q30&amp;RANDBETWEEN(1111,9999)</f>
        <v>2PCH3349071715176</v>
      </c>
      <c r="F30">
        <f ca="1">INDEX(Owners.csv!C:C,RANDBETWEEN(2,COUNTA(Owners.csv!B:B)),1)</f>
        <v>200002</v>
      </c>
      <c r="G30" t="str">
        <f t="shared" ca="1" si="1"/>
        <v>rg:{ 'id': '200002'}</v>
      </c>
      <c r="H30">
        <f t="shared" ca="1" si="2"/>
        <v>29147</v>
      </c>
      <c r="I30" t="s">
        <v>2979</v>
      </c>
      <c r="J30" s="1" t="s">
        <v>2980</v>
      </c>
      <c r="K30">
        <f ca="1">INDEX(ServiceAreas.csv!H:H,RANDBETWEEN(2,COUNTA(ServiceAreas.csv!H:H)),1)</f>
        <v>200019</v>
      </c>
      <c r="L30" t="str">
        <f t="shared" ca="1" si="3"/>
        <v>rg:{ 'id': '200019'}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2017-09-29</v>
      </c>
      <c r="U30">
        <f ca="1">INDEX(schoolDistricts.csv!D:D,RANDBETWEEN(2,COUNTA(schoolDistricts.csv!D:D)),1)</f>
        <v>200027</v>
      </c>
      <c r="V30" t="str">
        <f t="shared" ca="1" si="8"/>
        <v>rg:{'id': '200027'}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1: Yellow and Black School Bus</v>
      </c>
      <c r="Z30" t="str">
        <f ca="1">INDEX(Lookups!V:V,RANDBETWEEN(2,7),1)</f>
        <v>Bus</v>
      </c>
      <c r="AA30" t="str">
        <f t="shared" ca="1" si="10"/>
        <v>rg:None</v>
      </c>
      <c r="AB30">
        <f ca="1">CCW.csv!G30</f>
        <v>45368</v>
      </c>
      <c r="AC30">
        <f ca="1">CCW.csv!P30-1</f>
        <v>77</v>
      </c>
      <c r="AD30">
        <f t="shared" ca="1" si="11"/>
        <v>0</v>
      </c>
    </row>
    <row r="31" spans="1:30" x14ac:dyDescent="0.3">
      <c r="A31" t="s">
        <v>2927</v>
      </c>
      <c r="B31">
        <f t="shared" si="0"/>
        <v>200029</v>
      </c>
      <c r="C31">
        <f ca="1">CCW.csv!B31</f>
        <v>31237772</v>
      </c>
      <c r="D31" t="str">
        <f>Lookups!R31</f>
        <v>MAM 873</v>
      </c>
      <c r="E31" t="str">
        <f ca="1">Lookups!Q31&amp;RANDBETWEEN(1111,9999)</f>
        <v>2PCH3349971712642</v>
      </c>
      <c r="F31">
        <f ca="1">INDEX(Owners.csv!C:C,RANDBETWEEN(2,COUNTA(Owners.csv!B:B)),1)</f>
        <v>200014</v>
      </c>
      <c r="G31" t="str">
        <f t="shared" ca="1" si="1"/>
        <v>rg:{ 'id': '200014'}</v>
      </c>
      <c r="H31">
        <f t="shared" ca="1" si="2"/>
        <v>27493</v>
      </c>
      <c r="I31" t="s">
        <v>2979</v>
      </c>
      <c r="J31" s="1" t="s">
        <v>2980</v>
      </c>
      <c r="K31">
        <f ca="1">INDEX(ServiceAreas.csv!H:H,RANDBETWEEN(2,COUNTA(ServiceAreas.csv!H:H)),1)</f>
        <v>200001</v>
      </c>
      <c r="L31" t="str">
        <f t="shared" ca="1" si="3"/>
        <v>rg:{ 'id': '200001'}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rg:None</v>
      </c>
      <c r="T31" t="str">
        <f t="shared" ca="1" si="7"/>
        <v>2017-11-18</v>
      </c>
      <c r="U31">
        <f ca="1">INDEX(schoolDistricts.csv!D:D,RANDBETWEEN(2,COUNTA(schoolDistricts.csv!D:D)),1)</f>
        <v>200008</v>
      </c>
      <c r="V31" t="str">
        <f t="shared" ca="1" si="8"/>
        <v>rg:{'id': '200008'}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1: Yellow and Black School Bus</v>
      </c>
      <c r="Z31" t="str">
        <f ca="1">INDEX(Lookups!V:V,RANDBETWEEN(2,7),1)</f>
        <v>Yellow and Black</v>
      </c>
      <c r="AA31" t="str">
        <f t="shared" ca="1" si="10"/>
        <v>rg:None</v>
      </c>
      <c r="AB31">
        <f ca="1">CCW.csv!G31</f>
        <v>25877</v>
      </c>
      <c r="AC31">
        <f ca="1">CCW.csv!P31-1</f>
        <v>79</v>
      </c>
      <c r="AD31">
        <f t="shared" ca="1" si="11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5501</v>
      </c>
    </row>
    <row r="2" spans="1:3" x14ac:dyDescent="0.3">
      <c r="A2" t="s">
        <v>5517</v>
      </c>
      <c r="B2" t="s">
        <v>5534</v>
      </c>
      <c r="C2" s="4">
        <f>IF(ISNUMBER(C1),C1+1,200000)</f>
        <v>200000</v>
      </c>
    </row>
    <row r="3" spans="1:3" x14ac:dyDescent="0.3">
      <c r="A3" t="s">
        <v>5517</v>
      </c>
      <c r="B3" t="s">
        <v>5535</v>
      </c>
      <c r="C3" s="4">
        <f t="shared" ref="C3:C66" si="0">IF(ISNUMBER(C2),C2+1,1)</f>
        <v>200001</v>
      </c>
    </row>
    <row r="4" spans="1:3" x14ac:dyDescent="0.3">
      <c r="A4" t="s">
        <v>5517</v>
      </c>
      <c r="B4" t="s">
        <v>5536</v>
      </c>
      <c r="C4" s="4">
        <f t="shared" si="0"/>
        <v>200002</v>
      </c>
    </row>
    <row r="5" spans="1:3" x14ac:dyDescent="0.3">
      <c r="A5" t="s">
        <v>5517</v>
      </c>
      <c r="B5" t="s">
        <v>5537</v>
      </c>
      <c r="C5" s="4">
        <f t="shared" si="0"/>
        <v>200003</v>
      </c>
    </row>
    <row r="6" spans="1:3" x14ac:dyDescent="0.3">
      <c r="A6" t="s">
        <v>5517</v>
      </c>
      <c r="B6" t="s">
        <v>3202</v>
      </c>
      <c r="C6" s="4">
        <f t="shared" si="0"/>
        <v>200004</v>
      </c>
    </row>
    <row r="7" spans="1:3" x14ac:dyDescent="0.3">
      <c r="A7" t="s">
        <v>5517</v>
      </c>
      <c r="B7" t="s">
        <v>5538</v>
      </c>
      <c r="C7" s="4">
        <f t="shared" si="0"/>
        <v>200005</v>
      </c>
    </row>
    <row r="8" spans="1:3" x14ac:dyDescent="0.3">
      <c r="A8" t="s">
        <v>5517</v>
      </c>
      <c r="B8" t="s">
        <v>5539</v>
      </c>
      <c r="C8" s="4">
        <f t="shared" si="0"/>
        <v>200006</v>
      </c>
    </row>
    <row r="9" spans="1:3" x14ac:dyDescent="0.3">
      <c r="A9" t="s">
        <v>5517</v>
      </c>
      <c r="B9" t="s">
        <v>5540</v>
      </c>
      <c r="C9" s="4">
        <f t="shared" si="0"/>
        <v>200007</v>
      </c>
    </row>
    <row r="10" spans="1:3" x14ac:dyDescent="0.3">
      <c r="A10" t="s">
        <v>5517</v>
      </c>
      <c r="B10" t="s">
        <v>5541</v>
      </c>
      <c r="C10" s="4">
        <f t="shared" si="0"/>
        <v>200008</v>
      </c>
    </row>
    <row r="11" spans="1:3" x14ac:dyDescent="0.3">
      <c r="A11" t="s">
        <v>5517</v>
      </c>
      <c r="B11" t="s">
        <v>5542</v>
      </c>
      <c r="C11" s="4">
        <f t="shared" si="0"/>
        <v>200009</v>
      </c>
    </row>
    <row r="12" spans="1:3" x14ac:dyDescent="0.3">
      <c r="A12" t="s">
        <v>5517</v>
      </c>
      <c r="B12" t="s">
        <v>5543</v>
      </c>
      <c r="C12" s="4">
        <f t="shared" si="0"/>
        <v>200010</v>
      </c>
    </row>
    <row r="13" spans="1:3" x14ac:dyDescent="0.3">
      <c r="A13" t="s">
        <v>5517</v>
      </c>
      <c r="B13" t="s">
        <v>5544</v>
      </c>
      <c r="C13" s="4">
        <f t="shared" si="0"/>
        <v>200011</v>
      </c>
    </row>
    <row r="14" spans="1:3" x14ac:dyDescent="0.3">
      <c r="A14" t="s">
        <v>5517</v>
      </c>
      <c r="B14" t="s">
        <v>4189</v>
      </c>
      <c r="C14" s="4">
        <f t="shared" si="0"/>
        <v>200012</v>
      </c>
    </row>
    <row r="15" spans="1:3" x14ac:dyDescent="0.3">
      <c r="A15" t="s">
        <v>5517</v>
      </c>
      <c r="B15" t="s">
        <v>5545</v>
      </c>
      <c r="C15" s="4">
        <f t="shared" si="0"/>
        <v>200013</v>
      </c>
    </row>
    <row r="16" spans="1:3" x14ac:dyDescent="0.3">
      <c r="A16" t="s">
        <v>5517</v>
      </c>
      <c r="B16" t="s">
        <v>5546</v>
      </c>
      <c r="C16" s="4">
        <f t="shared" si="0"/>
        <v>200014</v>
      </c>
    </row>
    <row r="17" spans="1:3" x14ac:dyDescent="0.3">
      <c r="A17" t="s">
        <v>5517</v>
      </c>
      <c r="B17" t="s">
        <v>5547</v>
      </c>
      <c r="C17" s="4">
        <f t="shared" si="0"/>
        <v>200015</v>
      </c>
    </row>
    <row r="18" spans="1:3" x14ac:dyDescent="0.3">
      <c r="A18" t="s">
        <v>5517</v>
      </c>
      <c r="B18" t="s">
        <v>5548</v>
      </c>
      <c r="C18" s="4">
        <f t="shared" si="0"/>
        <v>200016</v>
      </c>
    </row>
    <row r="19" spans="1:3" x14ac:dyDescent="0.3">
      <c r="A19" t="s">
        <v>5517</v>
      </c>
      <c r="B19" t="s">
        <v>5549</v>
      </c>
      <c r="C19" s="4">
        <f t="shared" si="0"/>
        <v>200017</v>
      </c>
    </row>
    <row r="20" spans="1:3" x14ac:dyDescent="0.3">
      <c r="A20" t="s">
        <v>5517</v>
      </c>
      <c r="B20" t="s">
        <v>5550</v>
      </c>
      <c r="C20" s="4">
        <f t="shared" si="0"/>
        <v>200018</v>
      </c>
    </row>
    <row r="21" spans="1:3" x14ac:dyDescent="0.3">
      <c r="A21" t="s">
        <v>5517</v>
      </c>
      <c r="B21" t="s">
        <v>5551</v>
      </c>
      <c r="C21" s="4">
        <f t="shared" si="0"/>
        <v>200019</v>
      </c>
    </row>
    <row r="22" spans="1:3" x14ac:dyDescent="0.3">
      <c r="A22" t="s">
        <v>5517</v>
      </c>
      <c r="B22" t="s">
        <v>5552</v>
      </c>
      <c r="C22" s="4">
        <f t="shared" si="0"/>
        <v>200020</v>
      </c>
    </row>
    <row r="23" spans="1:3" x14ac:dyDescent="0.3">
      <c r="A23" t="s">
        <v>5517</v>
      </c>
      <c r="B23" t="s">
        <v>5553</v>
      </c>
      <c r="C23" s="4">
        <f t="shared" si="0"/>
        <v>200021</v>
      </c>
    </row>
    <row r="24" spans="1:3" x14ac:dyDescent="0.3">
      <c r="A24" t="s">
        <v>5517</v>
      </c>
      <c r="B24" t="s">
        <v>5554</v>
      </c>
      <c r="C24" s="4">
        <f t="shared" si="0"/>
        <v>200022</v>
      </c>
    </row>
    <row r="25" spans="1:3" x14ac:dyDescent="0.3">
      <c r="A25" t="s">
        <v>5517</v>
      </c>
      <c r="B25" t="s">
        <v>5555</v>
      </c>
      <c r="C25" s="4">
        <f t="shared" si="0"/>
        <v>200023</v>
      </c>
    </row>
    <row r="26" spans="1:3" x14ac:dyDescent="0.3">
      <c r="A26" t="s">
        <v>5517</v>
      </c>
      <c r="B26" t="s">
        <v>5556</v>
      </c>
      <c r="C26" s="4">
        <f t="shared" si="0"/>
        <v>200024</v>
      </c>
    </row>
    <row r="27" spans="1:3" x14ac:dyDescent="0.3">
      <c r="A27" t="s">
        <v>5517</v>
      </c>
      <c r="B27" t="s">
        <v>5557</v>
      </c>
      <c r="C27" s="4">
        <f t="shared" si="0"/>
        <v>200025</v>
      </c>
    </row>
    <row r="28" spans="1:3" x14ac:dyDescent="0.3">
      <c r="A28" t="s">
        <v>5517</v>
      </c>
      <c r="B28" t="s">
        <v>5558</v>
      </c>
      <c r="C28" s="4">
        <f t="shared" si="0"/>
        <v>200026</v>
      </c>
    </row>
    <row r="29" spans="1:3" x14ac:dyDescent="0.3">
      <c r="A29" t="s">
        <v>5517</v>
      </c>
      <c r="B29" t="s">
        <v>5559</v>
      </c>
      <c r="C29" s="4">
        <f t="shared" si="0"/>
        <v>200027</v>
      </c>
    </row>
    <row r="30" spans="1:3" x14ac:dyDescent="0.3">
      <c r="A30" t="s">
        <v>5517</v>
      </c>
      <c r="B30" t="s">
        <v>5560</v>
      </c>
      <c r="C30" s="4">
        <f t="shared" si="0"/>
        <v>200028</v>
      </c>
    </row>
    <row r="31" spans="1:3" x14ac:dyDescent="0.3">
      <c r="A31" t="s">
        <v>5517</v>
      </c>
      <c r="B31" t="s">
        <v>5561</v>
      </c>
      <c r="C31" s="4">
        <f t="shared" si="0"/>
        <v>200029</v>
      </c>
    </row>
    <row r="32" spans="1:3" x14ac:dyDescent="0.3">
      <c r="A32" t="s">
        <v>5517</v>
      </c>
      <c r="B32" t="s">
        <v>5562</v>
      </c>
      <c r="C32" s="4">
        <f t="shared" si="0"/>
        <v>200030</v>
      </c>
    </row>
    <row r="33" spans="1:3" x14ac:dyDescent="0.3">
      <c r="A33" t="s">
        <v>5517</v>
      </c>
      <c r="B33" t="s">
        <v>5563</v>
      </c>
      <c r="C33" s="4">
        <f t="shared" si="0"/>
        <v>200031</v>
      </c>
    </row>
    <row r="34" spans="1:3" x14ac:dyDescent="0.3">
      <c r="A34" t="s">
        <v>5517</v>
      </c>
      <c r="B34" t="s">
        <v>3803</v>
      </c>
      <c r="C34" s="4">
        <f t="shared" si="0"/>
        <v>200032</v>
      </c>
    </row>
    <row r="35" spans="1:3" x14ac:dyDescent="0.3">
      <c r="A35" t="s">
        <v>5517</v>
      </c>
      <c r="B35" t="s">
        <v>5564</v>
      </c>
      <c r="C35" s="4">
        <f t="shared" si="0"/>
        <v>200033</v>
      </c>
    </row>
    <row r="36" spans="1:3" x14ac:dyDescent="0.3">
      <c r="A36" t="s">
        <v>5517</v>
      </c>
      <c r="B36" t="s">
        <v>5565</v>
      </c>
      <c r="C36" s="4">
        <f t="shared" si="0"/>
        <v>200034</v>
      </c>
    </row>
    <row r="37" spans="1:3" x14ac:dyDescent="0.3">
      <c r="A37" t="s">
        <v>5517</v>
      </c>
      <c r="B37" t="s">
        <v>5566</v>
      </c>
      <c r="C37" s="4">
        <f t="shared" si="0"/>
        <v>200035</v>
      </c>
    </row>
    <row r="38" spans="1:3" x14ac:dyDescent="0.3">
      <c r="A38" t="s">
        <v>5517</v>
      </c>
      <c r="B38" t="s">
        <v>5567</v>
      </c>
      <c r="C38" s="4">
        <f t="shared" si="0"/>
        <v>200036</v>
      </c>
    </row>
    <row r="39" spans="1:3" x14ac:dyDescent="0.3">
      <c r="A39" t="s">
        <v>5517</v>
      </c>
      <c r="B39" t="s">
        <v>5568</v>
      </c>
      <c r="C39" s="4">
        <f t="shared" si="0"/>
        <v>200037</v>
      </c>
    </row>
    <row r="40" spans="1:3" x14ac:dyDescent="0.3">
      <c r="A40" t="s">
        <v>5517</v>
      </c>
      <c r="B40" t="s">
        <v>5569</v>
      </c>
      <c r="C40" s="4">
        <f t="shared" si="0"/>
        <v>200038</v>
      </c>
    </row>
    <row r="41" spans="1:3" x14ac:dyDescent="0.3">
      <c r="A41" t="s">
        <v>5517</v>
      </c>
      <c r="B41" t="s">
        <v>5570</v>
      </c>
      <c r="C41" s="4">
        <f t="shared" si="0"/>
        <v>200039</v>
      </c>
    </row>
    <row r="42" spans="1:3" x14ac:dyDescent="0.3">
      <c r="A42" t="s">
        <v>5517</v>
      </c>
      <c r="B42" t="s">
        <v>5571</v>
      </c>
      <c r="C42" s="4">
        <f t="shared" si="0"/>
        <v>200040</v>
      </c>
    </row>
    <row r="43" spans="1:3" x14ac:dyDescent="0.3">
      <c r="A43" t="s">
        <v>5517</v>
      </c>
      <c r="B43" t="s">
        <v>5572</v>
      </c>
      <c r="C43" s="4">
        <f t="shared" si="0"/>
        <v>200041</v>
      </c>
    </row>
    <row r="44" spans="1:3" x14ac:dyDescent="0.3">
      <c r="A44" t="s">
        <v>5517</v>
      </c>
      <c r="B44" t="s">
        <v>5573</v>
      </c>
      <c r="C44" s="4">
        <f t="shared" si="0"/>
        <v>200042</v>
      </c>
    </row>
    <row r="45" spans="1:3" x14ac:dyDescent="0.3">
      <c r="A45" t="s">
        <v>5517</v>
      </c>
      <c r="B45" t="s">
        <v>5574</v>
      </c>
      <c r="C45" s="4">
        <f t="shared" si="0"/>
        <v>200043</v>
      </c>
    </row>
    <row r="46" spans="1:3" x14ac:dyDescent="0.3">
      <c r="A46" t="s">
        <v>5517</v>
      </c>
      <c r="B46" t="s">
        <v>5575</v>
      </c>
      <c r="C46" s="4">
        <f t="shared" si="0"/>
        <v>200044</v>
      </c>
    </row>
    <row r="47" spans="1:3" x14ac:dyDescent="0.3">
      <c r="A47" t="s">
        <v>5517</v>
      </c>
      <c r="B47" t="s">
        <v>5576</v>
      </c>
      <c r="C47" s="4">
        <f t="shared" si="0"/>
        <v>200045</v>
      </c>
    </row>
    <row r="48" spans="1:3" x14ac:dyDescent="0.3">
      <c r="A48" t="s">
        <v>5517</v>
      </c>
      <c r="B48" t="s">
        <v>5577</v>
      </c>
      <c r="C48" s="4">
        <f t="shared" si="0"/>
        <v>200046</v>
      </c>
    </row>
    <row r="49" spans="1:3" x14ac:dyDescent="0.3">
      <c r="A49" t="s">
        <v>5517</v>
      </c>
      <c r="B49" t="s">
        <v>5578</v>
      </c>
      <c r="C49" s="4">
        <f t="shared" si="0"/>
        <v>200047</v>
      </c>
    </row>
    <row r="50" spans="1:3" x14ac:dyDescent="0.3">
      <c r="A50" t="s">
        <v>5517</v>
      </c>
      <c r="B50" t="s">
        <v>5579</v>
      </c>
      <c r="C50" s="4">
        <f t="shared" si="0"/>
        <v>200048</v>
      </c>
    </row>
    <row r="51" spans="1:3" x14ac:dyDescent="0.3">
      <c r="A51" t="s">
        <v>5517</v>
      </c>
      <c r="B51" t="s">
        <v>5580</v>
      </c>
      <c r="C51" s="4">
        <f t="shared" si="0"/>
        <v>200049</v>
      </c>
    </row>
    <row r="52" spans="1:3" x14ac:dyDescent="0.3">
      <c r="A52" t="s">
        <v>5517</v>
      </c>
      <c r="B52" t="s">
        <v>5581</v>
      </c>
      <c r="C52" s="4">
        <f t="shared" si="0"/>
        <v>200050</v>
      </c>
    </row>
    <row r="53" spans="1:3" x14ac:dyDescent="0.3">
      <c r="A53" t="s">
        <v>5517</v>
      </c>
      <c r="B53" t="s">
        <v>5582</v>
      </c>
      <c r="C53" s="4">
        <f t="shared" si="0"/>
        <v>200051</v>
      </c>
    </row>
    <row r="54" spans="1:3" x14ac:dyDescent="0.3">
      <c r="A54" t="s">
        <v>5517</v>
      </c>
      <c r="B54" t="s">
        <v>5583</v>
      </c>
      <c r="C54" s="4">
        <f t="shared" si="0"/>
        <v>200052</v>
      </c>
    </row>
    <row r="55" spans="1:3" x14ac:dyDescent="0.3">
      <c r="A55" t="s">
        <v>5517</v>
      </c>
      <c r="B55" t="s">
        <v>5584</v>
      </c>
      <c r="C55" s="4">
        <f t="shared" si="0"/>
        <v>200053</v>
      </c>
    </row>
    <row r="56" spans="1:3" x14ac:dyDescent="0.3">
      <c r="A56" t="s">
        <v>5517</v>
      </c>
      <c r="B56" t="s">
        <v>5585</v>
      </c>
      <c r="C56" s="4">
        <f t="shared" si="0"/>
        <v>200054</v>
      </c>
    </row>
    <row r="57" spans="1:3" x14ac:dyDescent="0.3">
      <c r="A57" t="s">
        <v>5517</v>
      </c>
      <c r="B57" t="s">
        <v>5586</v>
      </c>
      <c r="C57" s="4">
        <f t="shared" si="0"/>
        <v>200055</v>
      </c>
    </row>
    <row r="58" spans="1:3" x14ac:dyDescent="0.3">
      <c r="A58" t="s">
        <v>5517</v>
      </c>
      <c r="B58" t="s">
        <v>5587</v>
      </c>
      <c r="C58" s="4">
        <f t="shared" si="0"/>
        <v>200056</v>
      </c>
    </row>
    <row r="59" spans="1:3" x14ac:dyDescent="0.3">
      <c r="A59" t="s">
        <v>5517</v>
      </c>
      <c r="B59" t="s">
        <v>5588</v>
      </c>
      <c r="C59" s="4">
        <f t="shared" si="0"/>
        <v>200057</v>
      </c>
    </row>
    <row r="60" spans="1:3" x14ac:dyDescent="0.3">
      <c r="A60" t="s">
        <v>5517</v>
      </c>
      <c r="B60" t="s">
        <v>5589</v>
      </c>
      <c r="C60" s="4">
        <f t="shared" si="0"/>
        <v>200058</v>
      </c>
    </row>
    <row r="61" spans="1:3" x14ac:dyDescent="0.3">
      <c r="A61" t="s">
        <v>5517</v>
      </c>
      <c r="B61" t="s">
        <v>5590</v>
      </c>
      <c r="C61" s="4">
        <f t="shared" si="0"/>
        <v>200059</v>
      </c>
    </row>
    <row r="62" spans="1:3" x14ac:dyDescent="0.3">
      <c r="A62" t="s">
        <v>5517</v>
      </c>
      <c r="B62" t="s">
        <v>4414</v>
      </c>
      <c r="C62" s="4">
        <f t="shared" si="0"/>
        <v>200060</v>
      </c>
    </row>
    <row r="63" spans="1:3" x14ac:dyDescent="0.3">
      <c r="A63" t="s">
        <v>5517</v>
      </c>
      <c r="B63" t="s">
        <v>5591</v>
      </c>
      <c r="C63" s="4">
        <f t="shared" si="0"/>
        <v>200061</v>
      </c>
    </row>
    <row r="64" spans="1:3" x14ac:dyDescent="0.3">
      <c r="A64" t="s">
        <v>5517</v>
      </c>
      <c r="B64" t="s">
        <v>5592</v>
      </c>
      <c r="C64" s="4">
        <f t="shared" si="0"/>
        <v>200062</v>
      </c>
    </row>
    <row r="65" spans="1:3" x14ac:dyDescent="0.3">
      <c r="A65" t="s">
        <v>5517</v>
      </c>
      <c r="B65" t="s">
        <v>3144</v>
      </c>
      <c r="C65" s="4">
        <f t="shared" si="0"/>
        <v>200063</v>
      </c>
    </row>
    <row r="66" spans="1:3" x14ac:dyDescent="0.3">
      <c r="A66" t="s">
        <v>5517</v>
      </c>
      <c r="B66" t="s">
        <v>5593</v>
      </c>
      <c r="C66" s="4">
        <f t="shared" si="0"/>
        <v>200064</v>
      </c>
    </row>
    <row r="67" spans="1:3" x14ac:dyDescent="0.3">
      <c r="A67" t="s">
        <v>5517</v>
      </c>
      <c r="B67" t="s">
        <v>5594</v>
      </c>
      <c r="C67" s="4">
        <f t="shared" ref="C67:C130" si="1">IF(ISNUMBER(C66),C66+1,1)</f>
        <v>200065</v>
      </c>
    </row>
    <row r="68" spans="1:3" x14ac:dyDescent="0.3">
      <c r="A68" t="s">
        <v>5517</v>
      </c>
      <c r="B68" t="s">
        <v>5595</v>
      </c>
      <c r="C68" s="4">
        <f t="shared" si="1"/>
        <v>200066</v>
      </c>
    </row>
    <row r="69" spans="1:3" x14ac:dyDescent="0.3">
      <c r="A69" t="s">
        <v>5517</v>
      </c>
      <c r="B69" t="s">
        <v>5596</v>
      </c>
      <c r="C69" s="4">
        <f t="shared" si="1"/>
        <v>200067</v>
      </c>
    </row>
    <row r="70" spans="1:3" x14ac:dyDescent="0.3">
      <c r="A70" t="s">
        <v>5517</v>
      </c>
      <c r="B70" t="s">
        <v>5597</v>
      </c>
      <c r="C70" s="4">
        <f t="shared" si="1"/>
        <v>200068</v>
      </c>
    </row>
    <row r="71" spans="1:3" x14ac:dyDescent="0.3">
      <c r="A71" t="s">
        <v>5517</v>
      </c>
      <c r="B71" t="s">
        <v>5598</v>
      </c>
      <c r="C71" s="4">
        <f t="shared" si="1"/>
        <v>200069</v>
      </c>
    </row>
    <row r="72" spans="1:3" x14ac:dyDescent="0.3">
      <c r="A72" t="s">
        <v>5517</v>
      </c>
      <c r="B72" t="s">
        <v>5599</v>
      </c>
      <c r="C72" s="4">
        <f t="shared" si="1"/>
        <v>200070</v>
      </c>
    </row>
    <row r="73" spans="1:3" x14ac:dyDescent="0.3">
      <c r="A73" t="s">
        <v>5517</v>
      </c>
      <c r="B73" t="s">
        <v>5600</v>
      </c>
      <c r="C73" s="4">
        <f t="shared" si="1"/>
        <v>200071</v>
      </c>
    </row>
    <row r="74" spans="1:3" x14ac:dyDescent="0.3">
      <c r="A74" t="s">
        <v>5517</v>
      </c>
      <c r="B74" t="s">
        <v>5601</v>
      </c>
      <c r="C74" s="4">
        <f t="shared" si="1"/>
        <v>200072</v>
      </c>
    </row>
    <row r="75" spans="1:3" x14ac:dyDescent="0.3">
      <c r="A75" t="s">
        <v>5517</v>
      </c>
      <c r="B75" t="s">
        <v>5602</v>
      </c>
      <c r="C75" s="4">
        <f t="shared" si="1"/>
        <v>200073</v>
      </c>
    </row>
    <row r="76" spans="1:3" x14ac:dyDescent="0.3">
      <c r="A76" t="s">
        <v>5517</v>
      </c>
      <c r="B76" t="s">
        <v>5603</v>
      </c>
      <c r="C76" s="4">
        <f t="shared" si="1"/>
        <v>200074</v>
      </c>
    </row>
    <row r="77" spans="1:3" x14ac:dyDescent="0.3">
      <c r="A77" t="s">
        <v>5517</v>
      </c>
      <c r="B77" t="s">
        <v>5604</v>
      </c>
      <c r="C77" s="4">
        <f t="shared" si="1"/>
        <v>200075</v>
      </c>
    </row>
    <row r="78" spans="1:3" x14ac:dyDescent="0.3">
      <c r="A78" t="s">
        <v>5517</v>
      </c>
      <c r="B78" t="s">
        <v>5605</v>
      </c>
      <c r="C78" s="4">
        <f t="shared" si="1"/>
        <v>200076</v>
      </c>
    </row>
    <row r="79" spans="1:3" x14ac:dyDescent="0.3">
      <c r="A79" t="s">
        <v>5517</v>
      </c>
      <c r="B79" t="s">
        <v>5606</v>
      </c>
      <c r="C79" s="4">
        <f t="shared" si="1"/>
        <v>200077</v>
      </c>
    </row>
    <row r="80" spans="1:3" x14ac:dyDescent="0.3">
      <c r="A80" t="s">
        <v>5517</v>
      </c>
      <c r="B80" t="s">
        <v>5607</v>
      </c>
      <c r="C80" s="4">
        <f t="shared" si="1"/>
        <v>200078</v>
      </c>
    </row>
    <row r="81" spans="1:3" x14ac:dyDescent="0.3">
      <c r="A81" t="s">
        <v>5517</v>
      </c>
      <c r="B81" t="s">
        <v>5608</v>
      </c>
      <c r="C81" s="4">
        <f t="shared" si="1"/>
        <v>200079</v>
      </c>
    </row>
    <row r="82" spans="1:3" x14ac:dyDescent="0.3">
      <c r="A82" t="s">
        <v>5517</v>
      </c>
      <c r="B82" t="s">
        <v>5609</v>
      </c>
      <c r="C82" s="4">
        <f t="shared" si="1"/>
        <v>200080</v>
      </c>
    </row>
    <row r="83" spans="1:3" x14ac:dyDescent="0.3">
      <c r="A83" t="s">
        <v>5517</v>
      </c>
      <c r="B83" t="s">
        <v>3361</v>
      </c>
      <c r="C83" s="4">
        <f t="shared" si="1"/>
        <v>200081</v>
      </c>
    </row>
    <row r="84" spans="1:3" x14ac:dyDescent="0.3">
      <c r="A84" t="s">
        <v>5517</v>
      </c>
      <c r="B84" t="s">
        <v>4984</v>
      </c>
      <c r="C84" s="4">
        <f t="shared" si="1"/>
        <v>200082</v>
      </c>
    </row>
    <row r="85" spans="1:3" x14ac:dyDescent="0.3">
      <c r="A85" t="s">
        <v>5517</v>
      </c>
      <c r="B85" t="s">
        <v>5610</v>
      </c>
      <c r="C85" s="4">
        <f t="shared" si="1"/>
        <v>200083</v>
      </c>
    </row>
    <row r="86" spans="1:3" x14ac:dyDescent="0.3">
      <c r="A86" t="s">
        <v>5517</v>
      </c>
      <c r="B86" t="s">
        <v>5611</v>
      </c>
      <c r="C86" s="4">
        <f t="shared" si="1"/>
        <v>200084</v>
      </c>
    </row>
    <row r="87" spans="1:3" x14ac:dyDescent="0.3">
      <c r="A87" t="s">
        <v>5517</v>
      </c>
      <c r="B87" t="s">
        <v>5612</v>
      </c>
      <c r="C87" s="4">
        <f t="shared" si="1"/>
        <v>200085</v>
      </c>
    </row>
    <row r="88" spans="1:3" x14ac:dyDescent="0.3">
      <c r="A88" t="s">
        <v>5517</v>
      </c>
      <c r="B88" t="s">
        <v>5613</v>
      </c>
      <c r="C88" s="4">
        <f t="shared" si="1"/>
        <v>200086</v>
      </c>
    </row>
    <row r="89" spans="1:3" x14ac:dyDescent="0.3">
      <c r="A89" t="s">
        <v>5517</v>
      </c>
      <c r="B89" t="s">
        <v>5614</v>
      </c>
      <c r="C89" s="4">
        <f t="shared" si="1"/>
        <v>200087</v>
      </c>
    </row>
    <row r="90" spans="1:3" x14ac:dyDescent="0.3">
      <c r="A90" t="s">
        <v>5517</v>
      </c>
      <c r="B90" t="s">
        <v>5615</v>
      </c>
      <c r="C90" s="4">
        <f t="shared" si="1"/>
        <v>200088</v>
      </c>
    </row>
    <row r="91" spans="1:3" x14ac:dyDescent="0.3">
      <c r="A91" t="s">
        <v>5517</v>
      </c>
      <c r="B91" t="s">
        <v>5616</v>
      </c>
      <c r="C91" s="4">
        <f t="shared" si="1"/>
        <v>200089</v>
      </c>
    </row>
    <row r="92" spans="1:3" x14ac:dyDescent="0.3">
      <c r="A92" t="s">
        <v>5517</v>
      </c>
      <c r="B92" t="s">
        <v>5617</v>
      </c>
      <c r="C92" s="4">
        <f t="shared" si="1"/>
        <v>200090</v>
      </c>
    </row>
    <row r="93" spans="1:3" x14ac:dyDescent="0.3">
      <c r="A93" t="s">
        <v>5517</v>
      </c>
      <c r="B93" t="s">
        <v>5618</v>
      </c>
      <c r="C93" s="4">
        <f t="shared" si="1"/>
        <v>200091</v>
      </c>
    </row>
    <row r="94" spans="1:3" x14ac:dyDescent="0.3">
      <c r="A94" t="s">
        <v>5517</v>
      </c>
      <c r="B94" t="s">
        <v>5619</v>
      </c>
      <c r="C94" s="4">
        <f t="shared" si="1"/>
        <v>200092</v>
      </c>
    </row>
    <row r="95" spans="1:3" x14ac:dyDescent="0.3">
      <c r="A95" t="s">
        <v>5517</v>
      </c>
      <c r="B95" t="s">
        <v>5620</v>
      </c>
      <c r="C95" s="4">
        <f t="shared" si="1"/>
        <v>200093</v>
      </c>
    </row>
    <row r="96" spans="1:3" x14ac:dyDescent="0.3">
      <c r="A96" t="s">
        <v>5517</v>
      </c>
      <c r="B96" t="s">
        <v>5621</v>
      </c>
      <c r="C96" s="4">
        <f t="shared" si="1"/>
        <v>200094</v>
      </c>
    </row>
    <row r="97" spans="1:3" x14ac:dyDescent="0.3">
      <c r="A97" t="s">
        <v>5517</v>
      </c>
      <c r="B97" t="s">
        <v>5041</v>
      </c>
      <c r="C97" s="4">
        <f t="shared" si="1"/>
        <v>200095</v>
      </c>
    </row>
    <row r="98" spans="1:3" x14ac:dyDescent="0.3">
      <c r="A98" t="s">
        <v>5517</v>
      </c>
      <c r="B98" t="s">
        <v>5622</v>
      </c>
      <c r="C98" s="4">
        <f t="shared" si="1"/>
        <v>200096</v>
      </c>
    </row>
    <row r="99" spans="1:3" x14ac:dyDescent="0.3">
      <c r="A99" t="s">
        <v>5517</v>
      </c>
      <c r="B99" t="s">
        <v>5623</v>
      </c>
      <c r="C99" s="4">
        <f t="shared" si="1"/>
        <v>200097</v>
      </c>
    </row>
    <row r="100" spans="1:3" x14ac:dyDescent="0.3">
      <c r="A100" t="s">
        <v>5517</v>
      </c>
      <c r="B100" t="s">
        <v>5624</v>
      </c>
      <c r="C100" s="4">
        <f t="shared" si="1"/>
        <v>200098</v>
      </c>
    </row>
    <row r="101" spans="1:3" x14ac:dyDescent="0.3">
      <c r="A101" t="s">
        <v>5517</v>
      </c>
      <c r="B101" t="s">
        <v>5625</v>
      </c>
      <c r="C101" s="4">
        <f t="shared" si="1"/>
        <v>200099</v>
      </c>
    </row>
    <row r="102" spans="1:3" x14ac:dyDescent="0.3">
      <c r="A102" t="s">
        <v>5517</v>
      </c>
      <c r="B102" t="s">
        <v>5626</v>
      </c>
      <c r="C102" s="4">
        <f t="shared" si="1"/>
        <v>200100</v>
      </c>
    </row>
    <row r="103" spans="1:3" x14ac:dyDescent="0.3">
      <c r="A103" t="s">
        <v>5517</v>
      </c>
      <c r="B103" t="s">
        <v>5627</v>
      </c>
      <c r="C103" s="4">
        <f t="shared" si="1"/>
        <v>200101</v>
      </c>
    </row>
    <row r="104" spans="1:3" x14ac:dyDescent="0.3">
      <c r="A104" t="s">
        <v>5517</v>
      </c>
      <c r="B104" t="s">
        <v>5628</v>
      </c>
      <c r="C104" s="4">
        <f t="shared" si="1"/>
        <v>200102</v>
      </c>
    </row>
    <row r="105" spans="1:3" x14ac:dyDescent="0.3">
      <c r="A105" t="s">
        <v>5517</v>
      </c>
      <c r="B105" t="s">
        <v>5629</v>
      </c>
      <c r="C105" s="4">
        <f t="shared" si="1"/>
        <v>200103</v>
      </c>
    </row>
    <row r="106" spans="1:3" x14ac:dyDescent="0.3">
      <c r="A106" t="s">
        <v>5517</v>
      </c>
      <c r="B106" t="s">
        <v>5630</v>
      </c>
      <c r="C106" s="4">
        <f t="shared" si="1"/>
        <v>200104</v>
      </c>
    </row>
    <row r="107" spans="1:3" x14ac:dyDescent="0.3">
      <c r="A107" t="s">
        <v>5517</v>
      </c>
      <c r="B107" t="s">
        <v>5631</v>
      </c>
      <c r="C107" s="4">
        <f t="shared" si="1"/>
        <v>200105</v>
      </c>
    </row>
    <row r="108" spans="1:3" x14ac:dyDescent="0.3">
      <c r="A108" t="s">
        <v>5517</v>
      </c>
      <c r="B108" t="s">
        <v>5632</v>
      </c>
      <c r="C108" s="4">
        <f t="shared" si="1"/>
        <v>200106</v>
      </c>
    </row>
    <row r="109" spans="1:3" x14ac:dyDescent="0.3">
      <c r="A109" t="s">
        <v>5517</v>
      </c>
      <c r="B109" t="s">
        <v>5229</v>
      </c>
      <c r="C109" s="4">
        <f t="shared" si="1"/>
        <v>200107</v>
      </c>
    </row>
    <row r="110" spans="1:3" x14ac:dyDescent="0.3">
      <c r="A110" t="s">
        <v>5517</v>
      </c>
      <c r="B110" t="s">
        <v>5633</v>
      </c>
      <c r="C110" s="4">
        <f t="shared" si="1"/>
        <v>200108</v>
      </c>
    </row>
    <row r="111" spans="1:3" x14ac:dyDescent="0.3">
      <c r="A111" t="s">
        <v>5517</v>
      </c>
      <c r="B111" t="s">
        <v>5634</v>
      </c>
      <c r="C111" s="4">
        <f t="shared" si="1"/>
        <v>200109</v>
      </c>
    </row>
    <row r="112" spans="1:3" x14ac:dyDescent="0.3">
      <c r="A112" t="s">
        <v>5517</v>
      </c>
      <c r="B112" t="s">
        <v>3274</v>
      </c>
      <c r="C112" s="4">
        <f t="shared" si="1"/>
        <v>200110</v>
      </c>
    </row>
    <row r="113" spans="1:3" x14ac:dyDescent="0.3">
      <c r="A113" t="s">
        <v>5517</v>
      </c>
      <c r="B113" t="s">
        <v>5635</v>
      </c>
      <c r="C113" s="4">
        <f t="shared" si="1"/>
        <v>200111</v>
      </c>
    </row>
    <row r="114" spans="1:3" x14ac:dyDescent="0.3">
      <c r="A114" t="s">
        <v>5517</v>
      </c>
      <c r="B114" t="s">
        <v>5636</v>
      </c>
      <c r="C114" s="4">
        <f t="shared" si="1"/>
        <v>200112</v>
      </c>
    </row>
    <row r="115" spans="1:3" x14ac:dyDescent="0.3">
      <c r="A115" t="s">
        <v>5517</v>
      </c>
      <c r="B115" t="s">
        <v>5637</v>
      </c>
      <c r="C115" s="4">
        <f t="shared" si="1"/>
        <v>200113</v>
      </c>
    </row>
    <row r="116" spans="1:3" x14ac:dyDescent="0.3">
      <c r="A116" t="s">
        <v>5517</v>
      </c>
      <c r="B116" t="s">
        <v>5638</v>
      </c>
      <c r="C116" s="4">
        <f t="shared" si="1"/>
        <v>200114</v>
      </c>
    </row>
    <row r="117" spans="1:3" x14ac:dyDescent="0.3">
      <c r="A117" t="s">
        <v>5517</v>
      </c>
      <c r="B117" t="s">
        <v>3787</v>
      </c>
      <c r="C117" s="4">
        <f t="shared" si="1"/>
        <v>200115</v>
      </c>
    </row>
    <row r="118" spans="1:3" x14ac:dyDescent="0.3">
      <c r="A118" t="s">
        <v>5517</v>
      </c>
      <c r="B118" t="s">
        <v>5639</v>
      </c>
      <c r="C118" s="4">
        <f t="shared" si="1"/>
        <v>200116</v>
      </c>
    </row>
    <row r="119" spans="1:3" x14ac:dyDescent="0.3">
      <c r="A119" t="s">
        <v>5517</v>
      </c>
      <c r="B119" t="s">
        <v>5640</v>
      </c>
      <c r="C119" s="4">
        <f t="shared" si="1"/>
        <v>200117</v>
      </c>
    </row>
    <row r="120" spans="1:3" x14ac:dyDescent="0.3">
      <c r="A120" t="s">
        <v>5517</v>
      </c>
      <c r="B120" t="s">
        <v>5641</v>
      </c>
      <c r="C120" s="4">
        <f t="shared" si="1"/>
        <v>200118</v>
      </c>
    </row>
    <row r="121" spans="1:3" x14ac:dyDescent="0.3">
      <c r="A121" t="s">
        <v>5517</v>
      </c>
      <c r="B121" t="s">
        <v>5642</v>
      </c>
      <c r="C121" s="4">
        <f t="shared" si="1"/>
        <v>200119</v>
      </c>
    </row>
    <row r="122" spans="1:3" x14ac:dyDescent="0.3">
      <c r="A122" t="s">
        <v>5517</v>
      </c>
      <c r="B122" t="s">
        <v>5643</v>
      </c>
      <c r="C122" s="4">
        <f t="shared" si="1"/>
        <v>200120</v>
      </c>
    </row>
    <row r="123" spans="1:3" x14ac:dyDescent="0.3">
      <c r="A123" t="s">
        <v>5517</v>
      </c>
      <c r="B123" t="s">
        <v>5644</v>
      </c>
      <c r="C123" s="4">
        <f t="shared" si="1"/>
        <v>200121</v>
      </c>
    </row>
    <row r="124" spans="1:3" x14ac:dyDescent="0.3">
      <c r="A124" t="s">
        <v>5517</v>
      </c>
      <c r="B124" t="s">
        <v>5645</v>
      </c>
      <c r="C124" s="4">
        <f t="shared" si="1"/>
        <v>200122</v>
      </c>
    </row>
    <row r="125" spans="1:3" x14ac:dyDescent="0.3">
      <c r="A125" t="s">
        <v>5517</v>
      </c>
      <c r="B125" t="s">
        <v>58</v>
      </c>
      <c r="C125" s="4">
        <f t="shared" si="1"/>
        <v>200123</v>
      </c>
    </row>
    <row r="126" spans="1:3" x14ac:dyDescent="0.3">
      <c r="A126" t="s">
        <v>5517</v>
      </c>
      <c r="B126" t="s">
        <v>5646</v>
      </c>
      <c r="C126" s="4">
        <f t="shared" si="1"/>
        <v>200124</v>
      </c>
    </row>
    <row r="127" spans="1:3" x14ac:dyDescent="0.3">
      <c r="A127" t="s">
        <v>5517</v>
      </c>
      <c r="B127" t="s">
        <v>4232</v>
      </c>
      <c r="C127" s="4">
        <f t="shared" si="1"/>
        <v>200125</v>
      </c>
    </row>
    <row r="128" spans="1:3" x14ac:dyDescent="0.3">
      <c r="A128" t="s">
        <v>5517</v>
      </c>
      <c r="B128" t="s">
        <v>5647</v>
      </c>
      <c r="C128" s="4">
        <f t="shared" si="1"/>
        <v>200126</v>
      </c>
    </row>
    <row r="129" spans="1:3" x14ac:dyDescent="0.3">
      <c r="A129" t="s">
        <v>5517</v>
      </c>
      <c r="B129" t="s">
        <v>5648</v>
      </c>
      <c r="C129" s="4">
        <f t="shared" si="1"/>
        <v>200127</v>
      </c>
    </row>
    <row r="130" spans="1:3" x14ac:dyDescent="0.3">
      <c r="A130" t="s">
        <v>5517</v>
      </c>
      <c r="B130" t="s">
        <v>4881</v>
      </c>
      <c r="C130" s="4">
        <f t="shared" si="1"/>
        <v>200128</v>
      </c>
    </row>
    <row r="131" spans="1:3" x14ac:dyDescent="0.3">
      <c r="A131" t="s">
        <v>5517</v>
      </c>
      <c r="B131" t="s">
        <v>5649</v>
      </c>
      <c r="C131" s="4">
        <f t="shared" ref="C131:C194" si="2">IF(ISNUMBER(C130),C130+1,1)</f>
        <v>200129</v>
      </c>
    </row>
    <row r="132" spans="1:3" x14ac:dyDescent="0.3">
      <c r="A132" t="s">
        <v>5517</v>
      </c>
      <c r="B132" t="s">
        <v>5650</v>
      </c>
      <c r="C132" s="4">
        <f t="shared" si="2"/>
        <v>200130</v>
      </c>
    </row>
    <row r="133" spans="1:3" x14ac:dyDescent="0.3">
      <c r="A133" t="s">
        <v>5517</v>
      </c>
      <c r="B133" t="s">
        <v>5651</v>
      </c>
      <c r="C133" s="4">
        <f t="shared" si="2"/>
        <v>200131</v>
      </c>
    </row>
    <row r="134" spans="1:3" x14ac:dyDescent="0.3">
      <c r="A134" t="s">
        <v>5517</v>
      </c>
      <c r="B134" t="s">
        <v>3676</v>
      </c>
      <c r="C134" s="4">
        <f t="shared" si="2"/>
        <v>200132</v>
      </c>
    </row>
    <row r="135" spans="1:3" x14ac:dyDescent="0.3">
      <c r="A135" t="s">
        <v>5517</v>
      </c>
      <c r="B135" t="s">
        <v>5652</v>
      </c>
      <c r="C135" s="4">
        <f t="shared" si="2"/>
        <v>200133</v>
      </c>
    </row>
    <row r="136" spans="1:3" x14ac:dyDescent="0.3">
      <c r="A136" t="s">
        <v>5517</v>
      </c>
      <c r="B136" t="s">
        <v>5653</v>
      </c>
      <c r="C136" s="4">
        <f t="shared" si="2"/>
        <v>200134</v>
      </c>
    </row>
    <row r="137" spans="1:3" x14ac:dyDescent="0.3">
      <c r="A137" t="s">
        <v>5517</v>
      </c>
      <c r="B137" t="s">
        <v>5654</v>
      </c>
      <c r="C137" s="4">
        <f t="shared" si="2"/>
        <v>200135</v>
      </c>
    </row>
    <row r="138" spans="1:3" x14ac:dyDescent="0.3">
      <c r="A138" t="s">
        <v>5517</v>
      </c>
      <c r="B138" t="s">
        <v>5655</v>
      </c>
      <c r="C138" s="4">
        <f t="shared" si="2"/>
        <v>200136</v>
      </c>
    </row>
    <row r="139" spans="1:3" x14ac:dyDescent="0.3">
      <c r="A139" t="s">
        <v>5517</v>
      </c>
      <c r="B139" t="s">
        <v>5656</v>
      </c>
      <c r="C139" s="4">
        <f t="shared" si="2"/>
        <v>200137</v>
      </c>
    </row>
    <row r="140" spans="1:3" x14ac:dyDescent="0.3">
      <c r="A140" t="s">
        <v>5517</v>
      </c>
      <c r="B140" t="s">
        <v>5657</v>
      </c>
      <c r="C140" s="4">
        <f t="shared" si="2"/>
        <v>200138</v>
      </c>
    </row>
    <row r="141" spans="1:3" x14ac:dyDescent="0.3">
      <c r="A141" t="s">
        <v>5517</v>
      </c>
      <c r="B141" t="s">
        <v>5658</v>
      </c>
      <c r="C141" s="4">
        <f t="shared" si="2"/>
        <v>200139</v>
      </c>
    </row>
    <row r="142" spans="1:3" x14ac:dyDescent="0.3">
      <c r="A142" t="s">
        <v>5517</v>
      </c>
      <c r="B142" t="s">
        <v>5659</v>
      </c>
      <c r="C142" s="4">
        <f t="shared" si="2"/>
        <v>200140</v>
      </c>
    </row>
    <row r="143" spans="1:3" x14ac:dyDescent="0.3">
      <c r="A143" t="s">
        <v>5517</v>
      </c>
      <c r="B143" t="s">
        <v>5660</v>
      </c>
      <c r="C143" s="4">
        <f t="shared" si="2"/>
        <v>200141</v>
      </c>
    </row>
    <row r="144" spans="1:3" x14ac:dyDescent="0.3">
      <c r="A144" t="s">
        <v>5517</v>
      </c>
      <c r="B144" t="s">
        <v>5661</v>
      </c>
      <c r="C144" s="4">
        <f t="shared" si="2"/>
        <v>200142</v>
      </c>
    </row>
    <row r="145" spans="1:3" x14ac:dyDescent="0.3">
      <c r="A145" t="s">
        <v>5517</v>
      </c>
      <c r="B145" t="s">
        <v>25</v>
      </c>
      <c r="C145" s="4">
        <f t="shared" si="2"/>
        <v>200143</v>
      </c>
    </row>
    <row r="146" spans="1:3" x14ac:dyDescent="0.3">
      <c r="A146" t="s">
        <v>5517</v>
      </c>
      <c r="B146" t="s">
        <v>5662</v>
      </c>
      <c r="C146" s="4">
        <f t="shared" si="2"/>
        <v>200144</v>
      </c>
    </row>
    <row r="147" spans="1:3" x14ac:dyDescent="0.3">
      <c r="A147" t="s">
        <v>5517</v>
      </c>
      <c r="B147" t="s">
        <v>5663</v>
      </c>
      <c r="C147" s="4">
        <f t="shared" si="2"/>
        <v>200145</v>
      </c>
    </row>
    <row r="148" spans="1:3" x14ac:dyDescent="0.3">
      <c r="A148" t="s">
        <v>5517</v>
      </c>
      <c r="B148" t="s">
        <v>5664</v>
      </c>
      <c r="C148" s="4">
        <f t="shared" si="2"/>
        <v>200146</v>
      </c>
    </row>
    <row r="149" spans="1:3" x14ac:dyDescent="0.3">
      <c r="A149" t="s">
        <v>5517</v>
      </c>
      <c r="B149" t="s">
        <v>5665</v>
      </c>
      <c r="C149" s="4">
        <f t="shared" si="2"/>
        <v>200147</v>
      </c>
    </row>
    <row r="150" spans="1:3" x14ac:dyDescent="0.3">
      <c r="A150" t="s">
        <v>5517</v>
      </c>
      <c r="B150" t="s">
        <v>5666</v>
      </c>
      <c r="C150" s="4">
        <f t="shared" si="2"/>
        <v>200148</v>
      </c>
    </row>
    <row r="151" spans="1:3" x14ac:dyDescent="0.3">
      <c r="A151" t="s">
        <v>5517</v>
      </c>
      <c r="B151" t="s">
        <v>5667</v>
      </c>
      <c r="C151" s="4">
        <f t="shared" si="2"/>
        <v>200149</v>
      </c>
    </row>
    <row r="152" spans="1:3" x14ac:dyDescent="0.3">
      <c r="A152" t="s">
        <v>5517</v>
      </c>
      <c r="B152" t="s">
        <v>5668</v>
      </c>
      <c r="C152" s="4">
        <f t="shared" si="2"/>
        <v>200150</v>
      </c>
    </row>
    <row r="153" spans="1:3" x14ac:dyDescent="0.3">
      <c r="A153" t="s">
        <v>5517</v>
      </c>
      <c r="B153" t="s">
        <v>5669</v>
      </c>
      <c r="C153" s="4">
        <f t="shared" si="2"/>
        <v>200151</v>
      </c>
    </row>
    <row r="154" spans="1:3" x14ac:dyDescent="0.3">
      <c r="A154" t="s">
        <v>5517</v>
      </c>
      <c r="B154" t="s">
        <v>5670</v>
      </c>
      <c r="C154" s="4">
        <f t="shared" si="2"/>
        <v>200152</v>
      </c>
    </row>
    <row r="155" spans="1:3" x14ac:dyDescent="0.3">
      <c r="A155" t="s">
        <v>5517</v>
      </c>
      <c r="B155" t="s">
        <v>3395</v>
      </c>
      <c r="C155" s="4">
        <f t="shared" si="2"/>
        <v>200153</v>
      </c>
    </row>
    <row r="156" spans="1:3" x14ac:dyDescent="0.3">
      <c r="A156" t="s">
        <v>5517</v>
      </c>
      <c r="B156" t="s">
        <v>5671</v>
      </c>
      <c r="C156" s="4">
        <f t="shared" si="2"/>
        <v>200154</v>
      </c>
    </row>
    <row r="157" spans="1:3" x14ac:dyDescent="0.3">
      <c r="A157" t="s">
        <v>5517</v>
      </c>
      <c r="B157" t="s">
        <v>5672</v>
      </c>
      <c r="C157" s="4">
        <f t="shared" si="2"/>
        <v>200155</v>
      </c>
    </row>
    <row r="158" spans="1:3" x14ac:dyDescent="0.3">
      <c r="A158" t="s">
        <v>5517</v>
      </c>
      <c r="B158" t="s">
        <v>5673</v>
      </c>
      <c r="C158" s="4">
        <f t="shared" si="2"/>
        <v>200156</v>
      </c>
    </row>
    <row r="159" spans="1:3" x14ac:dyDescent="0.3">
      <c r="A159" t="s">
        <v>5517</v>
      </c>
      <c r="B159" t="s">
        <v>5674</v>
      </c>
      <c r="C159" s="4">
        <f t="shared" si="2"/>
        <v>200157</v>
      </c>
    </row>
    <row r="160" spans="1:3" x14ac:dyDescent="0.3">
      <c r="A160" t="s">
        <v>5517</v>
      </c>
      <c r="B160" t="s">
        <v>5675</v>
      </c>
      <c r="C160" s="4">
        <f t="shared" si="2"/>
        <v>200158</v>
      </c>
    </row>
    <row r="161" spans="1:3" x14ac:dyDescent="0.3">
      <c r="A161" t="s">
        <v>5517</v>
      </c>
      <c r="B161" t="s">
        <v>5676</v>
      </c>
      <c r="C161" s="4">
        <f t="shared" si="2"/>
        <v>200159</v>
      </c>
    </row>
    <row r="162" spans="1:3" x14ac:dyDescent="0.3">
      <c r="A162" t="s">
        <v>5517</v>
      </c>
      <c r="B162" t="s">
        <v>5677</v>
      </c>
      <c r="C162" s="4">
        <f t="shared" si="2"/>
        <v>200160</v>
      </c>
    </row>
    <row r="163" spans="1:3" x14ac:dyDescent="0.3">
      <c r="A163" t="s">
        <v>5517</v>
      </c>
      <c r="B163" t="s">
        <v>3738</v>
      </c>
      <c r="C163" s="4">
        <f t="shared" si="2"/>
        <v>200161</v>
      </c>
    </row>
    <row r="164" spans="1:3" x14ac:dyDescent="0.3">
      <c r="A164" t="s">
        <v>5517</v>
      </c>
      <c r="B164" t="s">
        <v>5678</v>
      </c>
      <c r="C164" s="4">
        <f t="shared" si="2"/>
        <v>200162</v>
      </c>
    </row>
    <row r="165" spans="1:3" x14ac:dyDescent="0.3">
      <c r="A165" t="s">
        <v>5517</v>
      </c>
      <c r="B165" t="s">
        <v>5679</v>
      </c>
      <c r="C165" s="4">
        <f t="shared" si="2"/>
        <v>200163</v>
      </c>
    </row>
    <row r="166" spans="1:3" x14ac:dyDescent="0.3">
      <c r="A166" t="s">
        <v>5517</v>
      </c>
      <c r="B166" t="s">
        <v>5680</v>
      </c>
      <c r="C166" s="4">
        <f t="shared" si="2"/>
        <v>200164</v>
      </c>
    </row>
    <row r="167" spans="1:3" x14ac:dyDescent="0.3">
      <c r="A167" t="s">
        <v>5517</v>
      </c>
      <c r="B167" t="s">
        <v>5681</v>
      </c>
      <c r="C167" s="4">
        <f t="shared" si="2"/>
        <v>200165</v>
      </c>
    </row>
    <row r="168" spans="1:3" x14ac:dyDescent="0.3">
      <c r="A168" t="s">
        <v>5517</v>
      </c>
      <c r="B168" t="s">
        <v>5682</v>
      </c>
      <c r="C168" s="4">
        <f t="shared" si="2"/>
        <v>200166</v>
      </c>
    </row>
    <row r="169" spans="1:3" x14ac:dyDescent="0.3">
      <c r="A169" t="s">
        <v>5517</v>
      </c>
      <c r="B169" t="s">
        <v>5683</v>
      </c>
      <c r="C169" s="4">
        <f t="shared" si="2"/>
        <v>200167</v>
      </c>
    </row>
    <row r="170" spans="1:3" x14ac:dyDescent="0.3">
      <c r="A170" t="s">
        <v>5517</v>
      </c>
      <c r="B170" t="s">
        <v>5684</v>
      </c>
      <c r="C170" s="4">
        <f t="shared" si="2"/>
        <v>200168</v>
      </c>
    </row>
    <row r="171" spans="1:3" x14ac:dyDescent="0.3">
      <c r="A171" t="s">
        <v>5517</v>
      </c>
      <c r="B171" t="s">
        <v>3430</v>
      </c>
      <c r="C171" s="4">
        <f t="shared" si="2"/>
        <v>200169</v>
      </c>
    </row>
    <row r="172" spans="1:3" x14ac:dyDescent="0.3">
      <c r="A172" t="s">
        <v>5517</v>
      </c>
      <c r="B172" t="s">
        <v>5685</v>
      </c>
      <c r="C172" s="4">
        <f t="shared" si="2"/>
        <v>200170</v>
      </c>
    </row>
    <row r="173" spans="1:3" x14ac:dyDescent="0.3">
      <c r="A173" t="s">
        <v>5517</v>
      </c>
      <c r="B173" t="s">
        <v>5686</v>
      </c>
      <c r="C173" s="4">
        <f t="shared" si="2"/>
        <v>200171</v>
      </c>
    </row>
    <row r="174" spans="1:3" x14ac:dyDescent="0.3">
      <c r="A174" t="s">
        <v>5517</v>
      </c>
      <c r="B174" t="s">
        <v>5687</v>
      </c>
      <c r="C174" s="4">
        <f t="shared" si="2"/>
        <v>200172</v>
      </c>
    </row>
    <row r="175" spans="1:3" x14ac:dyDescent="0.3">
      <c r="A175" t="s">
        <v>5517</v>
      </c>
      <c r="B175" t="s">
        <v>5688</v>
      </c>
      <c r="C175" s="4">
        <f t="shared" si="2"/>
        <v>200173</v>
      </c>
    </row>
    <row r="176" spans="1:3" x14ac:dyDescent="0.3">
      <c r="A176" t="s">
        <v>5517</v>
      </c>
      <c r="B176" t="s">
        <v>3959</v>
      </c>
      <c r="C176" s="4">
        <f t="shared" si="2"/>
        <v>200174</v>
      </c>
    </row>
    <row r="177" spans="1:3" x14ac:dyDescent="0.3">
      <c r="A177" t="s">
        <v>5517</v>
      </c>
      <c r="B177" t="s">
        <v>3989</v>
      </c>
      <c r="C177" s="4">
        <f t="shared" si="2"/>
        <v>200175</v>
      </c>
    </row>
    <row r="178" spans="1:3" x14ac:dyDescent="0.3">
      <c r="A178" t="s">
        <v>5517</v>
      </c>
      <c r="B178" t="s">
        <v>5689</v>
      </c>
      <c r="C178" s="4">
        <f t="shared" si="2"/>
        <v>200176</v>
      </c>
    </row>
    <row r="179" spans="1:3" x14ac:dyDescent="0.3">
      <c r="A179" t="s">
        <v>5517</v>
      </c>
      <c r="B179" t="s">
        <v>5690</v>
      </c>
      <c r="C179" s="4">
        <f t="shared" si="2"/>
        <v>200177</v>
      </c>
    </row>
    <row r="180" spans="1:3" x14ac:dyDescent="0.3">
      <c r="A180" t="s">
        <v>5517</v>
      </c>
      <c r="B180" t="s">
        <v>5691</v>
      </c>
      <c r="C180" s="4">
        <f t="shared" si="2"/>
        <v>200178</v>
      </c>
    </row>
    <row r="181" spans="1:3" x14ac:dyDescent="0.3">
      <c r="A181" t="s">
        <v>5517</v>
      </c>
      <c r="B181" t="s">
        <v>5692</v>
      </c>
      <c r="C181" s="4">
        <f t="shared" si="2"/>
        <v>200179</v>
      </c>
    </row>
    <row r="182" spans="1:3" x14ac:dyDescent="0.3">
      <c r="A182" t="s">
        <v>5517</v>
      </c>
      <c r="B182" t="s">
        <v>5693</v>
      </c>
      <c r="C182" s="4">
        <f t="shared" si="2"/>
        <v>200180</v>
      </c>
    </row>
    <row r="183" spans="1:3" x14ac:dyDescent="0.3">
      <c r="A183" t="s">
        <v>5517</v>
      </c>
      <c r="B183" t="s">
        <v>5694</v>
      </c>
      <c r="C183" s="4">
        <f t="shared" si="2"/>
        <v>200181</v>
      </c>
    </row>
    <row r="184" spans="1:3" x14ac:dyDescent="0.3">
      <c r="A184" t="s">
        <v>5517</v>
      </c>
      <c r="B184" t="s">
        <v>4333</v>
      </c>
      <c r="C184" s="4">
        <f t="shared" si="2"/>
        <v>200182</v>
      </c>
    </row>
    <row r="185" spans="1:3" x14ac:dyDescent="0.3">
      <c r="A185" t="s">
        <v>5517</v>
      </c>
      <c r="B185" t="s">
        <v>4021</v>
      </c>
      <c r="C185" s="4">
        <f t="shared" si="2"/>
        <v>200183</v>
      </c>
    </row>
    <row r="186" spans="1:3" x14ac:dyDescent="0.3">
      <c r="A186" t="s">
        <v>5517</v>
      </c>
      <c r="B186" t="s">
        <v>5695</v>
      </c>
      <c r="C186" s="4">
        <f t="shared" si="2"/>
        <v>200184</v>
      </c>
    </row>
    <row r="187" spans="1:3" x14ac:dyDescent="0.3">
      <c r="A187" t="s">
        <v>5517</v>
      </c>
      <c r="B187" t="s">
        <v>5696</v>
      </c>
      <c r="C187" s="4">
        <f t="shared" si="2"/>
        <v>200185</v>
      </c>
    </row>
    <row r="188" spans="1:3" x14ac:dyDescent="0.3">
      <c r="A188" t="s">
        <v>5517</v>
      </c>
      <c r="B188" t="s">
        <v>5697</v>
      </c>
      <c r="C188" s="4">
        <f t="shared" si="2"/>
        <v>200186</v>
      </c>
    </row>
    <row r="189" spans="1:3" x14ac:dyDescent="0.3">
      <c r="A189" t="s">
        <v>5517</v>
      </c>
      <c r="B189" t="s">
        <v>5698</v>
      </c>
      <c r="C189" s="4">
        <f t="shared" si="2"/>
        <v>200187</v>
      </c>
    </row>
    <row r="190" spans="1:3" x14ac:dyDescent="0.3">
      <c r="A190" t="s">
        <v>5517</v>
      </c>
      <c r="B190" t="s">
        <v>5699</v>
      </c>
      <c r="C190" s="4">
        <f t="shared" si="2"/>
        <v>200188</v>
      </c>
    </row>
    <row r="191" spans="1:3" x14ac:dyDescent="0.3">
      <c r="A191" t="s">
        <v>5517</v>
      </c>
      <c r="B191" t="s">
        <v>5700</v>
      </c>
      <c r="C191" s="4">
        <f t="shared" si="2"/>
        <v>200189</v>
      </c>
    </row>
    <row r="192" spans="1:3" x14ac:dyDescent="0.3">
      <c r="A192" t="s">
        <v>5517</v>
      </c>
      <c r="B192" t="s">
        <v>5701</v>
      </c>
      <c r="C192" s="4">
        <f t="shared" si="2"/>
        <v>200190</v>
      </c>
    </row>
    <row r="193" spans="1:3" x14ac:dyDescent="0.3">
      <c r="A193" t="s">
        <v>5517</v>
      </c>
      <c r="B193" t="s">
        <v>5702</v>
      </c>
      <c r="C193" s="4">
        <f t="shared" si="2"/>
        <v>200191</v>
      </c>
    </row>
    <row r="194" spans="1:3" x14ac:dyDescent="0.3">
      <c r="A194" t="s">
        <v>5517</v>
      </c>
      <c r="B194" t="s">
        <v>5703</v>
      </c>
      <c r="C194" s="4">
        <f t="shared" si="2"/>
        <v>200192</v>
      </c>
    </row>
    <row r="195" spans="1:3" x14ac:dyDescent="0.3">
      <c r="A195" t="s">
        <v>5517</v>
      </c>
      <c r="B195" t="s">
        <v>5704</v>
      </c>
      <c r="C195" s="4">
        <f t="shared" ref="C195:C258" si="3">IF(ISNUMBER(C194),C194+1,1)</f>
        <v>200193</v>
      </c>
    </row>
    <row r="196" spans="1:3" x14ac:dyDescent="0.3">
      <c r="A196" t="s">
        <v>5517</v>
      </c>
      <c r="B196" t="s">
        <v>5705</v>
      </c>
      <c r="C196" s="4">
        <f t="shared" si="3"/>
        <v>200194</v>
      </c>
    </row>
    <row r="197" spans="1:3" x14ac:dyDescent="0.3">
      <c r="A197" t="s">
        <v>5517</v>
      </c>
      <c r="B197" t="s">
        <v>5706</v>
      </c>
      <c r="C197" s="4">
        <f t="shared" si="3"/>
        <v>200195</v>
      </c>
    </row>
    <row r="198" spans="1:3" x14ac:dyDescent="0.3">
      <c r="A198" t="s">
        <v>5517</v>
      </c>
      <c r="B198" t="s">
        <v>5707</v>
      </c>
      <c r="C198" s="4">
        <f t="shared" si="3"/>
        <v>200196</v>
      </c>
    </row>
    <row r="199" spans="1:3" x14ac:dyDescent="0.3">
      <c r="A199" t="s">
        <v>5517</v>
      </c>
      <c r="B199" t="s">
        <v>5708</v>
      </c>
      <c r="C199" s="4">
        <f t="shared" si="3"/>
        <v>200197</v>
      </c>
    </row>
    <row r="200" spans="1:3" x14ac:dyDescent="0.3">
      <c r="A200" t="s">
        <v>5517</v>
      </c>
      <c r="B200" t="s">
        <v>5709</v>
      </c>
      <c r="C200" s="4">
        <f t="shared" si="3"/>
        <v>200198</v>
      </c>
    </row>
    <row r="201" spans="1:3" x14ac:dyDescent="0.3">
      <c r="A201" t="s">
        <v>5517</v>
      </c>
      <c r="B201" t="s">
        <v>5710</v>
      </c>
      <c r="C201" s="4">
        <f t="shared" si="3"/>
        <v>200199</v>
      </c>
    </row>
    <row r="202" spans="1:3" x14ac:dyDescent="0.3">
      <c r="A202" t="s">
        <v>5517</v>
      </c>
      <c r="B202" t="s">
        <v>5711</v>
      </c>
      <c r="C202" s="4">
        <f t="shared" si="3"/>
        <v>200200</v>
      </c>
    </row>
    <row r="203" spans="1:3" x14ac:dyDescent="0.3">
      <c r="A203" t="s">
        <v>5517</v>
      </c>
      <c r="B203" t="s">
        <v>5712</v>
      </c>
      <c r="C203" s="4">
        <f t="shared" si="3"/>
        <v>200201</v>
      </c>
    </row>
    <row r="204" spans="1:3" x14ac:dyDescent="0.3">
      <c r="A204" t="s">
        <v>5517</v>
      </c>
      <c r="B204" t="s">
        <v>5713</v>
      </c>
      <c r="C204" s="4">
        <f t="shared" si="3"/>
        <v>200202</v>
      </c>
    </row>
    <row r="205" spans="1:3" x14ac:dyDescent="0.3">
      <c r="A205" t="s">
        <v>5517</v>
      </c>
      <c r="B205" t="s">
        <v>5714</v>
      </c>
      <c r="C205" s="4">
        <f t="shared" si="3"/>
        <v>200203</v>
      </c>
    </row>
    <row r="206" spans="1:3" x14ac:dyDescent="0.3">
      <c r="A206" t="s">
        <v>5517</v>
      </c>
      <c r="B206" t="s">
        <v>5715</v>
      </c>
      <c r="C206" s="4">
        <f t="shared" si="3"/>
        <v>200204</v>
      </c>
    </row>
    <row r="207" spans="1:3" x14ac:dyDescent="0.3">
      <c r="A207" t="s">
        <v>5517</v>
      </c>
      <c r="B207" t="s">
        <v>5716</v>
      </c>
      <c r="C207" s="4">
        <f t="shared" si="3"/>
        <v>200205</v>
      </c>
    </row>
    <row r="208" spans="1:3" x14ac:dyDescent="0.3">
      <c r="A208" t="s">
        <v>5517</v>
      </c>
      <c r="B208" t="s">
        <v>5329</v>
      </c>
      <c r="C208" s="4">
        <f t="shared" si="3"/>
        <v>200206</v>
      </c>
    </row>
    <row r="209" spans="1:3" x14ac:dyDescent="0.3">
      <c r="A209" t="s">
        <v>5517</v>
      </c>
      <c r="B209" t="s">
        <v>5717</v>
      </c>
      <c r="C209" s="4">
        <f t="shared" si="3"/>
        <v>200207</v>
      </c>
    </row>
    <row r="210" spans="1:3" x14ac:dyDescent="0.3">
      <c r="A210" t="s">
        <v>5517</v>
      </c>
      <c r="B210" t="s">
        <v>5718</v>
      </c>
      <c r="C210" s="4">
        <f t="shared" si="3"/>
        <v>200208</v>
      </c>
    </row>
    <row r="211" spans="1:3" x14ac:dyDescent="0.3">
      <c r="A211" t="s">
        <v>5517</v>
      </c>
      <c r="B211" t="s">
        <v>5719</v>
      </c>
      <c r="C211" s="4">
        <f t="shared" si="3"/>
        <v>200209</v>
      </c>
    </row>
    <row r="212" spans="1:3" x14ac:dyDescent="0.3">
      <c r="A212" t="s">
        <v>5517</v>
      </c>
      <c r="B212" t="s">
        <v>5720</v>
      </c>
      <c r="C212" s="4">
        <f t="shared" si="3"/>
        <v>200210</v>
      </c>
    </row>
    <row r="213" spans="1:3" x14ac:dyDescent="0.3">
      <c r="A213" t="s">
        <v>5517</v>
      </c>
      <c r="B213" t="s">
        <v>5721</v>
      </c>
      <c r="C213" s="4">
        <f t="shared" si="3"/>
        <v>200211</v>
      </c>
    </row>
    <row r="214" spans="1:3" x14ac:dyDescent="0.3">
      <c r="A214" t="s">
        <v>5517</v>
      </c>
      <c r="B214" t="s">
        <v>5722</v>
      </c>
      <c r="C214" s="4">
        <f t="shared" si="3"/>
        <v>200212</v>
      </c>
    </row>
    <row r="215" spans="1:3" x14ac:dyDescent="0.3">
      <c r="A215" t="s">
        <v>5517</v>
      </c>
      <c r="B215" t="s">
        <v>4822</v>
      </c>
      <c r="C215" s="4">
        <f t="shared" si="3"/>
        <v>200213</v>
      </c>
    </row>
    <row r="216" spans="1:3" x14ac:dyDescent="0.3">
      <c r="A216" t="s">
        <v>5517</v>
      </c>
      <c r="B216" t="s">
        <v>5723</v>
      </c>
      <c r="C216" s="4">
        <f t="shared" si="3"/>
        <v>200214</v>
      </c>
    </row>
    <row r="217" spans="1:3" x14ac:dyDescent="0.3">
      <c r="A217" t="s">
        <v>5517</v>
      </c>
      <c r="B217" t="s">
        <v>5724</v>
      </c>
      <c r="C217" s="4">
        <f t="shared" si="3"/>
        <v>200215</v>
      </c>
    </row>
    <row r="218" spans="1:3" x14ac:dyDescent="0.3">
      <c r="A218" t="s">
        <v>5517</v>
      </c>
      <c r="B218" t="s">
        <v>5725</v>
      </c>
      <c r="C218" s="4">
        <f t="shared" si="3"/>
        <v>200216</v>
      </c>
    </row>
    <row r="219" spans="1:3" x14ac:dyDescent="0.3">
      <c r="A219" t="s">
        <v>5517</v>
      </c>
      <c r="B219" t="s">
        <v>5726</v>
      </c>
      <c r="C219" s="4">
        <f t="shared" si="3"/>
        <v>200217</v>
      </c>
    </row>
    <row r="220" spans="1:3" x14ac:dyDescent="0.3">
      <c r="A220" t="s">
        <v>5517</v>
      </c>
      <c r="B220" t="s">
        <v>5727</v>
      </c>
      <c r="C220" s="4">
        <f t="shared" si="3"/>
        <v>200218</v>
      </c>
    </row>
    <row r="221" spans="1:3" x14ac:dyDescent="0.3">
      <c r="A221" t="s">
        <v>5517</v>
      </c>
      <c r="B221" t="s">
        <v>5728</v>
      </c>
      <c r="C221" s="4">
        <f t="shared" si="3"/>
        <v>200219</v>
      </c>
    </row>
    <row r="222" spans="1:3" x14ac:dyDescent="0.3">
      <c r="A222" t="s">
        <v>5517</v>
      </c>
      <c r="B222" t="s">
        <v>5729</v>
      </c>
      <c r="C222" s="4">
        <f t="shared" si="3"/>
        <v>200220</v>
      </c>
    </row>
    <row r="223" spans="1:3" x14ac:dyDescent="0.3">
      <c r="A223" t="s">
        <v>5517</v>
      </c>
      <c r="B223" t="s">
        <v>5730</v>
      </c>
      <c r="C223" s="4">
        <f t="shared" si="3"/>
        <v>200221</v>
      </c>
    </row>
    <row r="224" spans="1:3" x14ac:dyDescent="0.3">
      <c r="A224" t="s">
        <v>5517</v>
      </c>
      <c r="B224" t="s">
        <v>5731</v>
      </c>
      <c r="C224" s="4">
        <f t="shared" si="3"/>
        <v>200222</v>
      </c>
    </row>
    <row r="225" spans="1:3" x14ac:dyDescent="0.3">
      <c r="A225" t="s">
        <v>5517</v>
      </c>
      <c r="B225" t="s">
        <v>5732</v>
      </c>
      <c r="C225" s="4">
        <f t="shared" si="3"/>
        <v>200223</v>
      </c>
    </row>
    <row r="226" spans="1:3" x14ac:dyDescent="0.3">
      <c r="A226" t="s">
        <v>5517</v>
      </c>
      <c r="B226" t="s">
        <v>5733</v>
      </c>
      <c r="C226" s="4">
        <f t="shared" si="3"/>
        <v>200224</v>
      </c>
    </row>
    <row r="227" spans="1:3" x14ac:dyDescent="0.3">
      <c r="A227" t="s">
        <v>5517</v>
      </c>
      <c r="B227" t="s">
        <v>5734</v>
      </c>
      <c r="C227" s="4">
        <f t="shared" si="3"/>
        <v>200225</v>
      </c>
    </row>
    <row r="228" spans="1:3" x14ac:dyDescent="0.3">
      <c r="A228" t="s">
        <v>5517</v>
      </c>
      <c r="B228" t="s">
        <v>5735</v>
      </c>
      <c r="C228" s="4">
        <f t="shared" si="3"/>
        <v>200226</v>
      </c>
    </row>
    <row r="229" spans="1:3" x14ac:dyDescent="0.3">
      <c r="A229" t="s">
        <v>5517</v>
      </c>
      <c r="B229" t="s">
        <v>5736</v>
      </c>
      <c r="C229" s="4">
        <f t="shared" si="3"/>
        <v>200227</v>
      </c>
    </row>
    <row r="230" spans="1:3" x14ac:dyDescent="0.3">
      <c r="A230" t="s">
        <v>5517</v>
      </c>
      <c r="B230" t="s">
        <v>5737</v>
      </c>
      <c r="C230" s="4">
        <f t="shared" si="3"/>
        <v>200228</v>
      </c>
    </row>
    <row r="231" spans="1:3" x14ac:dyDescent="0.3">
      <c r="A231" t="s">
        <v>5517</v>
      </c>
      <c r="B231" t="s">
        <v>5738</v>
      </c>
      <c r="C231" s="4">
        <f t="shared" si="3"/>
        <v>200229</v>
      </c>
    </row>
    <row r="232" spans="1:3" x14ac:dyDescent="0.3">
      <c r="A232" t="s">
        <v>5517</v>
      </c>
      <c r="B232" t="s">
        <v>5739</v>
      </c>
      <c r="C232" s="4">
        <f t="shared" si="3"/>
        <v>200230</v>
      </c>
    </row>
    <row r="233" spans="1:3" x14ac:dyDescent="0.3">
      <c r="A233" t="s">
        <v>5517</v>
      </c>
      <c r="B233" t="s">
        <v>5740</v>
      </c>
      <c r="C233" s="4">
        <f t="shared" si="3"/>
        <v>200231</v>
      </c>
    </row>
    <row r="234" spans="1:3" x14ac:dyDescent="0.3">
      <c r="A234" t="s">
        <v>5517</v>
      </c>
      <c r="B234" t="s">
        <v>5741</v>
      </c>
      <c r="C234" s="4">
        <f t="shared" si="3"/>
        <v>200232</v>
      </c>
    </row>
    <row r="235" spans="1:3" x14ac:dyDescent="0.3">
      <c r="A235" t="s">
        <v>5517</v>
      </c>
      <c r="B235" t="s">
        <v>5742</v>
      </c>
      <c r="C235" s="4">
        <f t="shared" si="3"/>
        <v>200233</v>
      </c>
    </row>
    <row r="236" spans="1:3" x14ac:dyDescent="0.3">
      <c r="A236" t="s">
        <v>5517</v>
      </c>
      <c r="B236" t="s">
        <v>5743</v>
      </c>
      <c r="C236" s="4">
        <f t="shared" si="3"/>
        <v>200234</v>
      </c>
    </row>
    <row r="237" spans="1:3" x14ac:dyDescent="0.3">
      <c r="A237" t="s">
        <v>5517</v>
      </c>
      <c r="B237" t="s">
        <v>5744</v>
      </c>
      <c r="C237" s="4">
        <f t="shared" si="3"/>
        <v>200235</v>
      </c>
    </row>
    <row r="238" spans="1:3" x14ac:dyDescent="0.3">
      <c r="A238" t="s">
        <v>5517</v>
      </c>
      <c r="B238" t="s">
        <v>5745</v>
      </c>
      <c r="C238" s="4">
        <f t="shared" si="3"/>
        <v>200236</v>
      </c>
    </row>
    <row r="239" spans="1:3" x14ac:dyDescent="0.3">
      <c r="A239" t="s">
        <v>5517</v>
      </c>
      <c r="B239" t="s">
        <v>5746</v>
      </c>
      <c r="C239" s="4">
        <f t="shared" si="3"/>
        <v>200237</v>
      </c>
    </row>
    <row r="240" spans="1:3" x14ac:dyDescent="0.3">
      <c r="A240" t="s">
        <v>5517</v>
      </c>
      <c r="B240" t="s">
        <v>3292</v>
      </c>
      <c r="C240" s="4">
        <f t="shared" si="3"/>
        <v>200238</v>
      </c>
    </row>
    <row r="241" spans="1:3" x14ac:dyDescent="0.3">
      <c r="A241" t="s">
        <v>5517</v>
      </c>
      <c r="B241" t="s">
        <v>5747</v>
      </c>
      <c r="C241" s="4">
        <f t="shared" si="3"/>
        <v>200239</v>
      </c>
    </row>
    <row r="242" spans="1:3" x14ac:dyDescent="0.3">
      <c r="A242" t="s">
        <v>5517</v>
      </c>
      <c r="B242" t="s">
        <v>5748</v>
      </c>
      <c r="C242" s="4">
        <f t="shared" si="3"/>
        <v>200240</v>
      </c>
    </row>
    <row r="243" spans="1:3" x14ac:dyDescent="0.3">
      <c r="A243" t="s">
        <v>5517</v>
      </c>
      <c r="B243" t="s">
        <v>5749</v>
      </c>
      <c r="C243" s="4">
        <f t="shared" si="3"/>
        <v>200241</v>
      </c>
    </row>
    <row r="244" spans="1:3" x14ac:dyDescent="0.3">
      <c r="A244" t="s">
        <v>5517</v>
      </c>
      <c r="B244" t="s">
        <v>4520</v>
      </c>
      <c r="C244" s="4">
        <f t="shared" si="3"/>
        <v>200242</v>
      </c>
    </row>
    <row r="245" spans="1:3" x14ac:dyDescent="0.3">
      <c r="A245" t="s">
        <v>5517</v>
      </c>
      <c r="B245" t="s">
        <v>5750</v>
      </c>
      <c r="C245" s="4">
        <f t="shared" si="3"/>
        <v>200243</v>
      </c>
    </row>
    <row r="246" spans="1:3" x14ac:dyDescent="0.3">
      <c r="A246" t="s">
        <v>5517</v>
      </c>
      <c r="B246" t="s">
        <v>5751</v>
      </c>
      <c r="C246" s="4">
        <f t="shared" si="3"/>
        <v>200244</v>
      </c>
    </row>
    <row r="247" spans="1:3" x14ac:dyDescent="0.3">
      <c r="A247" t="s">
        <v>5517</v>
      </c>
      <c r="B247" t="s">
        <v>5752</v>
      </c>
      <c r="C247" s="4">
        <f t="shared" si="3"/>
        <v>200245</v>
      </c>
    </row>
    <row r="248" spans="1:3" x14ac:dyDescent="0.3">
      <c r="A248" t="s">
        <v>5517</v>
      </c>
      <c r="B248" t="s">
        <v>4584</v>
      </c>
      <c r="C248" s="4">
        <f t="shared" si="3"/>
        <v>200246</v>
      </c>
    </row>
    <row r="249" spans="1:3" x14ac:dyDescent="0.3">
      <c r="A249" t="s">
        <v>5517</v>
      </c>
      <c r="B249" t="s">
        <v>5753</v>
      </c>
      <c r="C249" s="4">
        <f t="shared" si="3"/>
        <v>200247</v>
      </c>
    </row>
    <row r="250" spans="1:3" x14ac:dyDescent="0.3">
      <c r="A250" t="s">
        <v>5517</v>
      </c>
      <c r="B250" t="s">
        <v>5754</v>
      </c>
      <c r="C250" s="4">
        <f t="shared" si="3"/>
        <v>200248</v>
      </c>
    </row>
    <row r="251" spans="1:3" x14ac:dyDescent="0.3">
      <c r="A251" t="s">
        <v>5517</v>
      </c>
      <c r="B251" t="s">
        <v>5755</v>
      </c>
      <c r="C251" s="4">
        <f t="shared" si="3"/>
        <v>200249</v>
      </c>
    </row>
    <row r="252" spans="1:3" x14ac:dyDescent="0.3">
      <c r="A252" t="s">
        <v>5517</v>
      </c>
      <c r="B252" t="s">
        <v>5756</v>
      </c>
      <c r="C252" s="4">
        <f t="shared" si="3"/>
        <v>200250</v>
      </c>
    </row>
    <row r="253" spans="1:3" x14ac:dyDescent="0.3">
      <c r="A253" t="s">
        <v>5517</v>
      </c>
      <c r="B253" t="s">
        <v>5757</v>
      </c>
      <c r="C253" s="4">
        <f t="shared" si="3"/>
        <v>200251</v>
      </c>
    </row>
    <row r="254" spans="1:3" x14ac:dyDescent="0.3">
      <c r="A254" t="s">
        <v>5517</v>
      </c>
      <c r="B254" t="s">
        <v>5758</v>
      </c>
      <c r="C254" s="4">
        <f t="shared" si="3"/>
        <v>200252</v>
      </c>
    </row>
    <row r="255" spans="1:3" x14ac:dyDescent="0.3">
      <c r="A255" t="s">
        <v>5517</v>
      </c>
      <c r="B255" t="s">
        <v>5759</v>
      </c>
      <c r="C255" s="4">
        <f t="shared" si="3"/>
        <v>200253</v>
      </c>
    </row>
    <row r="256" spans="1:3" x14ac:dyDescent="0.3">
      <c r="A256" t="s">
        <v>5517</v>
      </c>
      <c r="B256" t="s">
        <v>5760</v>
      </c>
      <c r="C256" s="4">
        <f t="shared" si="3"/>
        <v>200254</v>
      </c>
    </row>
    <row r="257" spans="1:3" x14ac:dyDescent="0.3">
      <c r="A257" t="s">
        <v>5517</v>
      </c>
      <c r="B257" t="s">
        <v>5761</v>
      </c>
      <c r="C257" s="4">
        <f t="shared" si="3"/>
        <v>200255</v>
      </c>
    </row>
    <row r="258" spans="1:3" x14ac:dyDescent="0.3">
      <c r="A258" t="s">
        <v>5517</v>
      </c>
      <c r="B258" t="s">
        <v>19</v>
      </c>
      <c r="C258" s="4">
        <f t="shared" si="3"/>
        <v>200256</v>
      </c>
    </row>
    <row r="259" spans="1:3" x14ac:dyDescent="0.3">
      <c r="A259" t="s">
        <v>5517</v>
      </c>
      <c r="B259" t="s">
        <v>5762</v>
      </c>
      <c r="C259" s="4">
        <f t="shared" ref="C259:C322" si="4">IF(ISNUMBER(C258),C258+1,1)</f>
        <v>200257</v>
      </c>
    </row>
    <row r="260" spans="1:3" x14ac:dyDescent="0.3">
      <c r="A260" t="s">
        <v>5517</v>
      </c>
      <c r="B260" t="s">
        <v>5763</v>
      </c>
      <c r="C260" s="4">
        <f t="shared" si="4"/>
        <v>200258</v>
      </c>
    </row>
    <row r="261" spans="1:3" x14ac:dyDescent="0.3">
      <c r="A261" t="s">
        <v>5517</v>
      </c>
      <c r="B261" t="s">
        <v>5764</v>
      </c>
      <c r="C261" s="4">
        <f t="shared" si="4"/>
        <v>200259</v>
      </c>
    </row>
    <row r="262" spans="1:3" x14ac:dyDescent="0.3">
      <c r="A262" t="s">
        <v>5517</v>
      </c>
      <c r="B262" t="s">
        <v>3238</v>
      </c>
      <c r="C262" s="4">
        <f t="shared" si="4"/>
        <v>200260</v>
      </c>
    </row>
    <row r="263" spans="1:3" x14ac:dyDescent="0.3">
      <c r="A263" t="s">
        <v>5517</v>
      </c>
      <c r="B263" t="s">
        <v>5765</v>
      </c>
      <c r="C263" s="4">
        <f t="shared" si="4"/>
        <v>200261</v>
      </c>
    </row>
    <row r="264" spans="1:3" x14ac:dyDescent="0.3">
      <c r="A264" t="s">
        <v>5517</v>
      </c>
      <c r="B264" t="s">
        <v>5766</v>
      </c>
      <c r="C264" s="4">
        <f t="shared" si="4"/>
        <v>200262</v>
      </c>
    </row>
    <row r="265" spans="1:3" x14ac:dyDescent="0.3">
      <c r="A265" t="s">
        <v>5517</v>
      </c>
      <c r="B265" t="s">
        <v>5767</v>
      </c>
      <c r="C265" s="4">
        <f t="shared" si="4"/>
        <v>200263</v>
      </c>
    </row>
    <row r="266" spans="1:3" x14ac:dyDescent="0.3">
      <c r="A266" t="s">
        <v>5517</v>
      </c>
      <c r="B266" t="s">
        <v>5767</v>
      </c>
      <c r="C266" s="4">
        <f t="shared" si="4"/>
        <v>200264</v>
      </c>
    </row>
    <row r="267" spans="1:3" x14ac:dyDescent="0.3">
      <c r="A267" t="s">
        <v>5517</v>
      </c>
      <c r="B267" t="s">
        <v>5768</v>
      </c>
      <c r="C267" s="4">
        <f t="shared" si="4"/>
        <v>200265</v>
      </c>
    </row>
    <row r="268" spans="1:3" x14ac:dyDescent="0.3">
      <c r="A268" t="s">
        <v>5517</v>
      </c>
      <c r="B268" t="s">
        <v>5769</v>
      </c>
      <c r="C268" s="4">
        <f t="shared" si="4"/>
        <v>200266</v>
      </c>
    </row>
    <row r="269" spans="1:3" x14ac:dyDescent="0.3">
      <c r="A269" t="s">
        <v>5517</v>
      </c>
      <c r="B269" t="s">
        <v>5770</v>
      </c>
      <c r="C269" s="4">
        <f t="shared" si="4"/>
        <v>200267</v>
      </c>
    </row>
    <row r="270" spans="1:3" x14ac:dyDescent="0.3">
      <c r="A270" t="s">
        <v>5517</v>
      </c>
      <c r="B270" t="s">
        <v>5771</v>
      </c>
      <c r="C270" s="4">
        <f t="shared" si="4"/>
        <v>200268</v>
      </c>
    </row>
    <row r="271" spans="1:3" x14ac:dyDescent="0.3">
      <c r="A271" t="s">
        <v>5517</v>
      </c>
      <c r="B271" t="s">
        <v>5772</v>
      </c>
      <c r="C271" s="4">
        <f t="shared" si="4"/>
        <v>200269</v>
      </c>
    </row>
    <row r="272" spans="1:3" x14ac:dyDescent="0.3">
      <c r="A272" t="s">
        <v>5517</v>
      </c>
      <c r="B272" t="s">
        <v>5773</v>
      </c>
      <c r="C272" s="4">
        <f t="shared" si="4"/>
        <v>200270</v>
      </c>
    </row>
    <row r="273" spans="1:3" x14ac:dyDescent="0.3">
      <c r="A273" t="s">
        <v>5517</v>
      </c>
      <c r="B273" t="s">
        <v>5774</v>
      </c>
      <c r="C273" s="4">
        <f t="shared" si="4"/>
        <v>200271</v>
      </c>
    </row>
    <row r="274" spans="1:3" x14ac:dyDescent="0.3">
      <c r="A274" t="s">
        <v>5517</v>
      </c>
      <c r="B274" t="s">
        <v>5775</v>
      </c>
      <c r="C274" s="4">
        <f t="shared" si="4"/>
        <v>200272</v>
      </c>
    </row>
    <row r="275" spans="1:3" x14ac:dyDescent="0.3">
      <c r="A275" t="s">
        <v>5517</v>
      </c>
      <c r="B275" t="s">
        <v>5776</v>
      </c>
      <c r="C275" s="4">
        <f t="shared" si="4"/>
        <v>200273</v>
      </c>
    </row>
    <row r="276" spans="1:3" x14ac:dyDescent="0.3">
      <c r="A276" t="s">
        <v>5517</v>
      </c>
      <c r="B276" t="s">
        <v>5777</v>
      </c>
      <c r="C276" s="4">
        <f t="shared" si="4"/>
        <v>200274</v>
      </c>
    </row>
    <row r="277" spans="1:3" x14ac:dyDescent="0.3">
      <c r="A277" t="s">
        <v>5517</v>
      </c>
      <c r="B277" t="s">
        <v>5778</v>
      </c>
      <c r="C277" s="4">
        <f t="shared" si="4"/>
        <v>200275</v>
      </c>
    </row>
    <row r="278" spans="1:3" x14ac:dyDescent="0.3">
      <c r="A278" t="s">
        <v>5517</v>
      </c>
      <c r="B278" t="s">
        <v>5779</v>
      </c>
      <c r="C278" s="4">
        <f t="shared" si="4"/>
        <v>200276</v>
      </c>
    </row>
    <row r="279" spans="1:3" x14ac:dyDescent="0.3">
      <c r="A279" t="s">
        <v>5517</v>
      </c>
      <c r="B279" t="s">
        <v>5780</v>
      </c>
      <c r="C279" s="4">
        <f t="shared" si="4"/>
        <v>200277</v>
      </c>
    </row>
    <row r="280" spans="1:3" x14ac:dyDescent="0.3">
      <c r="A280" t="s">
        <v>5517</v>
      </c>
      <c r="B280" t="s">
        <v>5781</v>
      </c>
      <c r="C280" s="4">
        <f t="shared" si="4"/>
        <v>200278</v>
      </c>
    </row>
    <row r="281" spans="1:3" x14ac:dyDescent="0.3">
      <c r="A281" t="s">
        <v>5517</v>
      </c>
      <c r="B281" t="s">
        <v>5782</v>
      </c>
      <c r="C281" s="4">
        <f t="shared" si="4"/>
        <v>200279</v>
      </c>
    </row>
    <row r="282" spans="1:3" x14ac:dyDescent="0.3">
      <c r="A282" t="s">
        <v>5517</v>
      </c>
      <c r="B282" t="s">
        <v>5783</v>
      </c>
      <c r="C282" s="4">
        <f t="shared" si="4"/>
        <v>200280</v>
      </c>
    </row>
    <row r="283" spans="1:3" x14ac:dyDescent="0.3">
      <c r="A283" t="s">
        <v>5517</v>
      </c>
      <c r="B283" t="s">
        <v>5784</v>
      </c>
      <c r="C283" s="4">
        <f t="shared" si="4"/>
        <v>200281</v>
      </c>
    </row>
    <row r="284" spans="1:3" x14ac:dyDescent="0.3">
      <c r="A284" t="s">
        <v>5517</v>
      </c>
      <c r="B284" t="s">
        <v>5785</v>
      </c>
      <c r="C284" s="4">
        <f t="shared" si="4"/>
        <v>200282</v>
      </c>
    </row>
    <row r="285" spans="1:3" x14ac:dyDescent="0.3">
      <c r="A285" t="s">
        <v>5517</v>
      </c>
      <c r="B285" t="s">
        <v>5786</v>
      </c>
      <c r="C285" s="4">
        <f t="shared" si="4"/>
        <v>200283</v>
      </c>
    </row>
    <row r="286" spans="1:3" x14ac:dyDescent="0.3">
      <c r="A286" t="s">
        <v>5517</v>
      </c>
      <c r="B286" t="s">
        <v>5787</v>
      </c>
      <c r="C286" s="4">
        <f t="shared" si="4"/>
        <v>200284</v>
      </c>
    </row>
    <row r="287" spans="1:3" x14ac:dyDescent="0.3">
      <c r="A287" t="s">
        <v>5517</v>
      </c>
      <c r="B287" t="s">
        <v>5788</v>
      </c>
      <c r="C287" s="4">
        <f t="shared" si="4"/>
        <v>200285</v>
      </c>
    </row>
    <row r="288" spans="1:3" x14ac:dyDescent="0.3">
      <c r="A288" t="s">
        <v>5517</v>
      </c>
      <c r="B288" t="s">
        <v>5789</v>
      </c>
      <c r="C288" s="4">
        <f t="shared" si="4"/>
        <v>200286</v>
      </c>
    </row>
    <row r="289" spans="1:3" x14ac:dyDescent="0.3">
      <c r="A289" t="s">
        <v>5517</v>
      </c>
      <c r="B289" t="s">
        <v>5790</v>
      </c>
      <c r="C289" s="4">
        <f t="shared" si="4"/>
        <v>200287</v>
      </c>
    </row>
    <row r="290" spans="1:3" x14ac:dyDescent="0.3">
      <c r="A290" t="s">
        <v>5517</v>
      </c>
      <c r="B290" t="s">
        <v>5791</v>
      </c>
      <c r="C290" s="4">
        <f t="shared" si="4"/>
        <v>200288</v>
      </c>
    </row>
    <row r="291" spans="1:3" x14ac:dyDescent="0.3">
      <c r="A291" t="s">
        <v>5517</v>
      </c>
      <c r="B291" t="s">
        <v>5792</v>
      </c>
      <c r="C291" s="4">
        <f t="shared" si="4"/>
        <v>200289</v>
      </c>
    </row>
    <row r="292" spans="1:3" x14ac:dyDescent="0.3">
      <c r="A292" t="s">
        <v>5517</v>
      </c>
      <c r="B292" t="s">
        <v>5793</v>
      </c>
      <c r="C292" s="4">
        <f t="shared" si="4"/>
        <v>200290</v>
      </c>
    </row>
    <row r="293" spans="1:3" x14ac:dyDescent="0.3">
      <c r="A293" t="s">
        <v>5517</v>
      </c>
      <c r="B293" t="s">
        <v>5794</v>
      </c>
      <c r="C293" s="4">
        <f t="shared" si="4"/>
        <v>200291</v>
      </c>
    </row>
    <row r="294" spans="1:3" x14ac:dyDescent="0.3">
      <c r="A294" t="s">
        <v>5517</v>
      </c>
      <c r="B294" t="s">
        <v>5795</v>
      </c>
      <c r="C294" s="4">
        <f t="shared" si="4"/>
        <v>200292</v>
      </c>
    </row>
    <row r="295" spans="1:3" x14ac:dyDescent="0.3">
      <c r="A295" t="s">
        <v>5517</v>
      </c>
      <c r="B295" t="s">
        <v>5796</v>
      </c>
      <c r="C295" s="4">
        <f t="shared" si="4"/>
        <v>200293</v>
      </c>
    </row>
    <row r="296" spans="1:3" x14ac:dyDescent="0.3">
      <c r="A296" t="s">
        <v>5517</v>
      </c>
      <c r="B296" t="s">
        <v>5797</v>
      </c>
      <c r="C296" s="4">
        <f t="shared" si="4"/>
        <v>200294</v>
      </c>
    </row>
    <row r="297" spans="1:3" x14ac:dyDescent="0.3">
      <c r="A297" t="s">
        <v>5517</v>
      </c>
      <c r="B297" t="s">
        <v>5798</v>
      </c>
      <c r="C297" s="4">
        <f t="shared" si="4"/>
        <v>200295</v>
      </c>
    </row>
    <row r="298" spans="1:3" x14ac:dyDescent="0.3">
      <c r="A298" t="s">
        <v>5517</v>
      </c>
      <c r="B298" t="s">
        <v>5799</v>
      </c>
      <c r="C298" s="4">
        <f t="shared" si="4"/>
        <v>200296</v>
      </c>
    </row>
    <row r="299" spans="1:3" x14ac:dyDescent="0.3">
      <c r="A299" t="s">
        <v>5517</v>
      </c>
      <c r="B299" t="s">
        <v>3497</v>
      </c>
      <c r="C299" s="4">
        <f t="shared" si="4"/>
        <v>200297</v>
      </c>
    </row>
    <row r="300" spans="1:3" x14ac:dyDescent="0.3">
      <c r="A300" t="s">
        <v>5517</v>
      </c>
      <c r="B300" t="s">
        <v>5800</v>
      </c>
      <c r="C300" s="4">
        <f t="shared" si="4"/>
        <v>200298</v>
      </c>
    </row>
    <row r="301" spans="1:3" x14ac:dyDescent="0.3">
      <c r="A301" t="s">
        <v>5517</v>
      </c>
      <c r="B301" t="s">
        <v>5801</v>
      </c>
      <c r="C301" s="4">
        <f t="shared" si="4"/>
        <v>200299</v>
      </c>
    </row>
    <row r="302" spans="1:3" x14ac:dyDescent="0.3">
      <c r="A302" t="s">
        <v>5517</v>
      </c>
      <c r="B302" t="s">
        <v>5802</v>
      </c>
      <c r="C302" s="4">
        <f t="shared" si="4"/>
        <v>200300</v>
      </c>
    </row>
    <row r="303" spans="1:3" x14ac:dyDescent="0.3">
      <c r="A303" t="s">
        <v>5517</v>
      </c>
      <c r="B303" t="s">
        <v>5803</v>
      </c>
      <c r="C303" s="4">
        <f t="shared" si="4"/>
        <v>200301</v>
      </c>
    </row>
    <row r="304" spans="1:3" x14ac:dyDescent="0.3">
      <c r="A304" t="s">
        <v>5517</v>
      </c>
      <c r="B304" t="s">
        <v>5804</v>
      </c>
      <c r="C304" s="4">
        <f t="shared" si="4"/>
        <v>200302</v>
      </c>
    </row>
    <row r="305" spans="1:3" x14ac:dyDescent="0.3">
      <c r="A305" t="s">
        <v>5517</v>
      </c>
      <c r="B305" t="s">
        <v>5805</v>
      </c>
      <c r="C305" s="4">
        <f t="shared" si="4"/>
        <v>200303</v>
      </c>
    </row>
    <row r="306" spans="1:3" x14ac:dyDescent="0.3">
      <c r="A306" t="s">
        <v>5517</v>
      </c>
      <c r="B306" t="s">
        <v>5806</v>
      </c>
      <c r="C306" s="4">
        <f t="shared" si="4"/>
        <v>200304</v>
      </c>
    </row>
    <row r="307" spans="1:3" x14ac:dyDescent="0.3">
      <c r="A307" t="s">
        <v>5517</v>
      </c>
      <c r="B307" t="s">
        <v>5807</v>
      </c>
      <c r="C307" s="4">
        <f t="shared" si="4"/>
        <v>200305</v>
      </c>
    </row>
    <row r="308" spans="1:3" x14ac:dyDescent="0.3">
      <c r="A308" t="s">
        <v>5517</v>
      </c>
      <c r="B308" t="s">
        <v>5808</v>
      </c>
      <c r="C308" s="4">
        <f t="shared" si="4"/>
        <v>200306</v>
      </c>
    </row>
    <row r="309" spans="1:3" x14ac:dyDescent="0.3">
      <c r="A309" t="s">
        <v>5517</v>
      </c>
      <c r="B309" t="s">
        <v>5809</v>
      </c>
      <c r="C309" s="4">
        <f t="shared" si="4"/>
        <v>200307</v>
      </c>
    </row>
    <row r="310" spans="1:3" x14ac:dyDescent="0.3">
      <c r="A310" t="s">
        <v>5517</v>
      </c>
      <c r="B310" t="s">
        <v>5810</v>
      </c>
      <c r="C310" s="4">
        <f t="shared" si="4"/>
        <v>200308</v>
      </c>
    </row>
    <row r="311" spans="1:3" x14ac:dyDescent="0.3">
      <c r="A311" t="s">
        <v>5517</v>
      </c>
      <c r="B311" t="s">
        <v>5811</v>
      </c>
      <c r="C311" s="4">
        <f t="shared" si="4"/>
        <v>200309</v>
      </c>
    </row>
    <row r="312" spans="1:3" x14ac:dyDescent="0.3">
      <c r="A312" t="s">
        <v>5517</v>
      </c>
      <c r="B312" t="s">
        <v>5812</v>
      </c>
      <c r="C312" s="4">
        <f t="shared" si="4"/>
        <v>200310</v>
      </c>
    </row>
    <row r="313" spans="1:3" x14ac:dyDescent="0.3">
      <c r="A313" t="s">
        <v>5517</v>
      </c>
      <c r="B313" t="s">
        <v>5813</v>
      </c>
      <c r="C313" s="4">
        <f t="shared" si="4"/>
        <v>200311</v>
      </c>
    </row>
    <row r="314" spans="1:3" x14ac:dyDescent="0.3">
      <c r="A314" t="s">
        <v>5517</v>
      </c>
      <c r="B314" t="s">
        <v>5814</v>
      </c>
      <c r="C314" s="4">
        <f t="shared" si="4"/>
        <v>200312</v>
      </c>
    </row>
    <row r="315" spans="1:3" x14ac:dyDescent="0.3">
      <c r="A315" t="s">
        <v>5517</v>
      </c>
      <c r="B315" t="s">
        <v>5815</v>
      </c>
      <c r="C315" s="4">
        <f t="shared" si="4"/>
        <v>200313</v>
      </c>
    </row>
    <row r="316" spans="1:3" x14ac:dyDescent="0.3">
      <c r="A316" t="s">
        <v>5517</v>
      </c>
      <c r="B316" t="s">
        <v>5816</v>
      </c>
      <c r="C316" s="4">
        <f t="shared" si="4"/>
        <v>200314</v>
      </c>
    </row>
    <row r="317" spans="1:3" x14ac:dyDescent="0.3">
      <c r="A317" t="s">
        <v>5517</v>
      </c>
      <c r="B317" t="s">
        <v>5817</v>
      </c>
      <c r="C317" s="4">
        <f t="shared" si="4"/>
        <v>200315</v>
      </c>
    </row>
    <row r="318" spans="1:3" x14ac:dyDescent="0.3">
      <c r="A318" t="s">
        <v>5517</v>
      </c>
      <c r="B318" t="s">
        <v>5818</v>
      </c>
      <c r="C318" s="4">
        <f t="shared" si="4"/>
        <v>200316</v>
      </c>
    </row>
    <row r="319" spans="1:3" x14ac:dyDescent="0.3">
      <c r="A319" t="s">
        <v>5517</v>
      </c>
      <c r="B319" t="s">
        <v>5819</v>
      </c>
      <c r="C319" s="4">
        <f t="shared" si="4"/>
        <v>200317</v>
      </c>
    </row>
    <row r="320" spans="1:3" x14ac:dyDescent="0.3">
      <c r="A320" t="s">
        <v>5517</v>
      </c>
      <c r="B320" t="s">
        <v>4970</v>
      </c>
      <c r="C320" s="4">
        <f t="shared" si="4"/>
        <v>200318</v>
      </c>
    </row>
    <row r="321" spans="1:3" x14ac:dyDescent="0.3">
      <c r="A321" t="s">
        <v>5517</v>
      </c>
      <c r="B321" t="s">
        <v>5820</v>
      </c>
      <c r="C321" s="4">
        <f t="shared" si="4"/>
        <v>200319</v>
      </c>
    </row>
    <row r="322" spans="1:3" x14ac:dyDescent="0.3">
      <c r="A322" t="s">
        <v>5517</v>
      </c>
      <c r="B322" t="s">
        <v>5821</v>
      </c>
      <c r="C322" s="4">
        <f t="shared" si="4"/>
        <v>200320</v>
      </c>
    </row>
    <row r="323" spans="1:3" x14ac:dyDescent="0.3">
      <c r="A323" t="s">
        <v>5517</v>
      </c>
      <c r="B323" t="s">
        <v>5822</v>
      </c>
      <c r="C323" s="4">
        <f t="shared" ref="C323:C386" si="5">IF(ISNUMBER(C322),C322+1,1)</f>
        <v>200321</v>
      </c>
    </row>
    <row r="324" spans="1:3" x14ac:dyDescent="0.3">
      <c r="A324" t="s">
        <v>5517</v>
      </c>
      <c r="B324" t="s">
        <v>5823</v>
      </c>
      <c r="C324" s="4">
        <f t="shared" si="5"/>
        <v>200322</v>
      </c>
    </row>
    <row r="325" spans="1:3" x14ac:dyDescent="0.3">
      <c r="A325" t="s">
        <v>5517</v>
      </c>
      <c r="B325" t="s">
        <v>5824</v>
      </c>
      <c r="C325" s="4">
        <f t="shared" si="5"/>
        <v>200323</v>
      </c>
    </row>
    <row r="326" spans="1:3" x14ac:dyDescent="0.3">
      <c r="A326" t="s">
        <v>5517</v>
      </c>
      <c r="B326" t="s">
        <v>5825</v>
      </c>
      <c r="C326" s="4">
        <f t="shared" si="5"/>
        <v>200324</v>
      </c>
    </row>
    <row r="327" spans="1:3" x14ac:dyDescent="0.3">
      <c r="A327" t="s">
        <v>5517</v>
      </c>
      <c r="B327" t="s">
        <v>5826</v>
      </c>
      <c r="C327" s="4">
        <f t="shared" si="5"/>
        <v>200325</v>
      </c>
    </row>
    <row r="328" spans="1:3" x14ac:dyDescent="0.3">
      <c r="A328" t="s">
        <v>5517</v>
      </c>
      <c r="B328" t="s">
        <v>5827</v>
      </c>
      <c r="C328" s="4">
        <f t="shared" si="5"/>
        <v>200326</v>
      </c>
    </row>
    <row r="329" spans="1:3" x14ac:dyDescent="0.3">
      <c r="A329" t="s">
        <v>5517</v>
      </c>
      <c r="B329" t="s">
        <v>5828</v>
      </c>
      <c r="C329" s="4">
        <f t="shared" si="5"/>
        <v>200327</v>
      </c>
    </row>
    <row r="330" spans="1:3" x14ac:dyDescent="0.3">
      <c r="A330" t="s">
        <v>5517</v>
      </c>
      <c r="B330" t="s">
        <v>59</v>
      </c>
      <c r="C330" s="4">
        <f t="shared" si="5"/>
        <v>200328</v>
      </c>
    </row>
    <row r="331" spans="1:3" x14ac:dyDescent="0.3">
      <c r="A331" t="s">
        <v>5517</v>
      </c>
      <c r="B331" t="s">
        <v>5829</v>
      </c>
      <c r="C331" s="4">
        <f t="shared" si="5"/>
        <v>200329</v>
      </c>
    </row>
    <row r="332" spans="1:3" x14ac:dyDescent="0.3">
      <c r="A332" t="s">
        <v>5517</v>
      </c>
      <c r="B332" t="s">
        <v>5830</v>
      </c>
      <c r="C332" s="4">
        <f t="shared" si="5"/>
        <v>200330</v>
      </c>
    </row>
    <row r="333" spans="1:3" x14ac:dyDescent="0.3">
      <c r="A333" t="s">
        <v>5517</v>
      </c>
      <c r="B333" t="s">
        <v>5831</v>
      </c>
      <c r="C333" s="4">
        <f t="shared" si="5"/>
        <v>200331</v>
      </c>
    </row>
    <row r="334" spans="1:3" x14ac:dyDescent="0.3">
      <c r="A334" t="s">
        <v>5517</v>
      </c>
      <c r="B334" t="s">
        <v>5832</v>
      </c>
      <c r="C334" s="4">
        <f t="shared" si="5"/>
        <v>200332</v>
      </c>
    </row>
    <row r="335" spans="1:3" x14ac:dyDescent="0.3">
      <c r="A335" t="s">
        <v>5517</v>
      </c>
      <c r="B335" t="s">
        <v>5833</v>
      </c>
      <c r="C335" s="4">
        <f t="shared" si="5"/>
        <v>200333</v>
      </c>
    </row>
    <row r="336" spans="1:3" x14ac:dyDescent="0.3">
      <c r="A336" t="s">
        <v>5517</v>
      </c>
      <c r="B336" t="s">
        <v>5834</v>
      </c>
      <c r="C336" s="4">
        <f t="shared" si="5"/>
        <v>200334</v>
      </c>
    </row>
    <row r="337" spans="1:3" x14ac:dyDescent="0.3">
      <c r="A337" t="s">
        <v>5517</v>
      </c>
      <c r="B337" t="s">
        <v>5835</v>
      </c>
      <c r="C337" s="4">
        <f t="shared" si="5"/>
        <v>200335</v>
      </c>
    </row>
    <row r="338" spans="1:3" x14ac:dyDescent="0.3">
      <c r="A338" t="s">
        <v>5517</v>
      </c>
      <c r="B338" t="s">
        <v>4397</v>
      </c>
      <c r="C338" s="4">
        <f t="shared" si="5"/>
        <v>200336</v>
      </c>
    </row>
    <row r="339" spans="1:3" x14ac:dyDescent="0.3">
      <c r="A339" t="s">
        <v>5517</v>
      </c>
      <c r="B339" t="s">
        <v>5836</v>
      </c>
      <c r="C339" s="4">
        <f t="shared" si="5"/>
        <v>200337</v>
      </c>
    </row>
    <row r="340" spans="1:3" x14ac:dyDescent="0.3">
      <c r="A340" t="s">
        <v>5517</v>
      </c>
      <c r="B340" t="s">
        <v>5837</v>
      </c>
      <c r="C340" s="4">
        <f t="shared" si="5"/>
        <v>200338</v>
      </c>
    </row>
    <row r="341" spans="1:3" x14ac:dyDescent="0.3">
      <c r="A341" t="s">
        <v>5517</v>
      </c>
      <c r="B341" t="s">
        <v>5838</v>
      </c>
      <c r="C341" s="4">
        <f t="shared" si="5"/>
        <v>200339</v>
      </c>
    </row>
    <row r="342" spans="1:3" x14ac:dyDescent="0.3">
      <c r="A342" t="s">
        <v>5517</v>
      </c>
      <c r="B342" t="s">
        <v>5839</v>
      </c>
      <c r="C342" s="4">
        <f t="shared" si="5"/>
        <v>200340</v>
      </c>
    </row>
    <row r="343" spans="1:3" x14ac:dyDescent="0.3">
      <c r="A343" t="s">
        <v>5517</v>
      </c>
      <c r="B343" t="s">
        <v>5840</v>
      </c>
      <c r="C343" s="4">
        <f t="shared" si="5"/>
        <v>200341</v>
      </c>
    </row>
    <row r="344" spans="1:3" x14ac:dyDescent="0.3">
      <c r="A344" t="s">
        <v>5517</v>
      </c>
      <c r="B344" t="s">
        <v>5841</v>
      </c>
      <c r="C344" s="4">
        <f t="shared" si="5"/>
        <v>200342</v>
      </c>
    </row>
    <row r="345" spans="1:3" x14ac:dyDescent="0.3">
      <c r="A345" t="s">
        <v>5517</v>
      </c>
      <c r="B345" t="s">
        <v>5842</v>
      </c>
      <c r="C345" s="4">
        <f t="shared" si="5"/>
        <v>200343</v>
      </c>
    </row>
    <row r="346" spans="1:3" x14ac:dyDescent="0.3">
      <c r="A346" t="s">
        <v>5517</v>
      </c>
      <c r="B346" t="s">
        <v>5843</v>
      </c>
      <c r="C346" s="4">
        <f t="shared" si="5"/>
        <v>200344</v>
      </c>
    </row>
    <row r="347" spans="1:3" x14ac:dyDescent="0.3">
      <c r="A347" t="s">
        <v>5517</v>
      </c>
      <c r="B347" t="s">
        <v>5844</v>
      </c>
      <c r="C347" s="4">
        <f t="shared" si="5"/>
        <v>200345</v>
      </c>
    </row>
    <row r="348" spans="1:3" x14ac:dyDescent="0.3">
      <c r="A348" t="s">
        <v>5517</v>
      </c>
      <c r="B348" t="s">
        <v>5845</v>
      </c>
      <c r="C348" s="4">
        <f t="shared" si="5"/>
        <v>200346</v>
      </c>
    </row>
    <row r="349" spans="1:3" x14ac:dyDescent="0.3">
      <c r="A349" t="s">
        <v>5517</v>
      </c>
      <c r="B349" t="s">
        <v>5846</v>
      </c>
      <c r="C349" s="4">
        <f t="shared" si="5"/>
        <v>200347</v>
      </c>
    </row>
    <row r="350" spans="1:3" x14ac:dyDescent="0.3">
      <c r="A350" t="s">
        <v>5517</v>
      </c>
      <c r="B350" t="s">
        <v>5847</v>
      </c>
      <c r="C350" s="4">
        <f t="shared" si="5"/>
        <v>200348</v>
      </c>
    </row>
    <row r="351" spans="1:3" x14ac:dyDescent="0.3">
      <c r="A351" t="s">
        <v>5517</v>
      </c>
      <c r="B351" t="s">
        <v>5848</v>
      </c>
      <c r="C351" s="4">
        <f t="shared" si="5"/>
        <v>200349</v>
      </c>
    </row>
    <row r="352" spans="1:3" x14ac:dyDescent="0.3">
      <c r="A352" t="s">
        <v>5517</v>
      </c>
      <c r="B352" t="s">
        <v>5849</v>
      </c>
      <c r="C352" s="4">
        <f t="shared" si="5"/>
        <v>200350</v>
      </c>
    </row>
    <row r="353" spans="1:3" x14ac:dyDescent="0.3">
      <c r="A353" t="s">
        <v>5517</v>
      </c>
      <c r="B353" t="s">
        <v>5850</v>
      </c>
      <c r="C353" s="4">
        <f t="shared" si="5"/>
        <v>200351</v>
      </c>
    </row>
    <row r="354" spans="1:3" x14ac:dyDescent="0.3">
      <c r="A354" t="s">
        <v>5517</v>
      </c>
      <c r="B354" t="s">
        <v>5851</v>
      </c>
      <c r="C354" s="4">
        <f t="shared" si="5"/>
        <v>200352</v>
      </c>
    </row>
    <row r="355" spans="1:3" x14ac:dyDescent="0.3">
      <c r="A355" t="s">
        <v>5517</v>
      </c>
      <c r="B355" t="s">
        <v>5852</v>
      </c>
      <c r="C355" s="4">
        <f t="shared" si="5"/>
        <v>200353</v>
      </c>
    </row>
    <row r="356" spans="1:3" x14ac:dyDescent="0.3">
      <c r="A356" t="s">
        <v>5517</v>
      </c>
      <c r="B356" t="s">
        <v>5853</v>
      </c>
      <c r="C356" s="4">
        <f t="shared" si="5"/>
        <v>200354</v>
      </c>
    </row>
    <row r="357" spans="1:3" x14ac:dyDescent="0.3">
      <c r="A357" t="s">
        <v>5517</v>
      </c>
      <c r="B357" t="s">
        <v>5854</v>
      </c>
      <c r="C357" s="4">
        <f t="shared" si="5"/>
        <v>200355</v>
      </c>
    </row>
    <row r="358" spans="1:3" x14ac:dyDescent="0.3">
      <c r="A358" t="s">
        <v>5517</v>
      </c>
      <c r="B358" t="s">
        <v>5855</v>
      </c>
      <c r="C358" s="4">
        <f t="shared" si="5"/>
        <v>200356</v>
      </c>
    </row>
    <row r="359" spans="1:3" x14ac:dyDescent="0.3">
      <c r="A359" t="s">
        <v>5517</v>
      </c>
      <c r="B359" t="s">
        <v>5856</v>
      </c>
      <c r="C359" s="4">
        <f t="shared" si="5"/>
        <v>200357</v>
      </c>
    </row>
    <row r="360" spans="1:3" x14ac:dyDescent="0.3">
      <c r="A360" t="s">
        <v>5517</v>
      </c>
      <c r="B360" t="s">
        <v>5857</v>
      </c>
      <c r="C360" s="4">
        <f t="shared" si="5"/>
        <v>200358</v>
      </c>
    </row>
    <row r="361" spans="1:3" x14ac:dyDescent="0.3">
      <c r="A361" t="s">
        <v>5517</v>
      </c>
      <c r="B361" t="s">
        <v>5858</v>
      </c>
      <c r="C361" s="4">
        <f t="shared" si="5"/>
        <v>200359</v>
      </c>
    </row>
    <row r="362" spans="1:3" x14ac:dyDescent="0.3">
      <c r="A362" t="s">
        <v>5517</v>
      </c>
      <c r="B362" t="s">
        <v>5859</v>
      </c>
      <c r="C362" s="4">
        <f t="shared" si="5"/>
        <v>200360</v>
      </c>
    </row>
    <row r="363" spans="1:3" x14ac:dyDescent="0.3">
      <c r="A363" t="s">
        <v>5517</v>
      </c>
      <c r="B363" t="s">
        <v>5860</v>
      </c>
      <c r="C363" s="4">
        <f t="shared" si="5"/>
        <v>200361</v>
      </c>
    </row>
    <row r="364" spans="1:3" x14ac:dyDescent="0.3">
      <c r="A364" t="s">
        <v>5517</v>
      </c>
      <c r="B364" t="s">
        <v>5861</v>
      </c>
      <c r="C364" s="4">
        <f t="shared" si="5"/>
        <v>200362</v>
      </c>
    </row>
    <row r="365" spans="1:3" x14ac:dyDescent="0.3">
      <c r="A365" t="s">
        <v>5517</v>
      </c>
      <c r="B365" t="s">
        <v>5862</v>
      </c>
      <c r="C365" s="4">
        <f t="shared" si="5"/>
        <v>200363</v>
      </c>
    </row>
    <row r="366" spans="1:3" x14ac:dyDescent="0.3">
      <c r="A366" t="s">
        <v>5517</v>
      </c>
      <c r="B366" t="s">
        <v>5863</v>
      </c>
      <c r="C366" s="4">
        <f t="shared" si="5"/>
        <v>200364</v>
      </c>
    </row>
    <row r="367" spans="1:3" x14ac:dyDescent="0.3">
      <c r="A367" t="s">
        <v>5517</v>
      </c>
      <c r="B367" t="s">
        <v>5864</v>
      </c>
      <c r="C367" s="4">
        <f t="shared" si="5"/>
        <v>200365</v>
      </c>
    </row>
    <row r="368" spans="1:3" x14ac:dyDescent="0.3">
      <c r="A368" t="s">
        <v>5517</v>
      </c>
      <c r="B368" t="s">
        <v>5865</v>
      </c>
      <c r="C368" s="4">
        <f t="shared" si="5"/>
        <v>200366</v>
      </c>
    </row>
    <row r="369" spans="1:3" x14ac:dyDescent="0.3">
      <c r="A369" t="s">
        <v>5517</v>
      </c>
      <c r="B369" t="s">
        <v>3660</v>
      </c>
      <c r="C369" s="4">
        <f t="shared" si="5"/>
        <v>200367</v>
      </c>
    </row>
    <row r="370" spans="1:3" x14ac:dyDescent="0.3">
      <c r="A370" t="s">
        <v>5517</v>
      </c>
      <c r="B370" t="s">
        <v>5866</v>
      </c>
      <c r="C370" s="4">
        <f t="shared" si="5"/>
        <v>200368</v>
      </c>
    </row>
    <row r="371" spans="1:3" x14ac:dyDescent="0.3">
      <c r="A371" t="s">
        <v>5517</v>
      </c>
      <c r="B371" t="s">
        <v>3343</v>
      </c>
      <c r="C371" s="4">
        <f t="shared" si="5"/>
        <v>200369</v>
      </c>
    </row>
    <row r="372" spans="1:3" x14ac:dyDescent="0.3">
      <c r="A372" t="s">
        <v>5517</v>
      </c>
      <c r="B372" t="s">
        <v>5867</v>
      </c>
      <c r="C372" s="4">
        <f t="shared" si="5"/>
        <v>200370</v>
      </c>
    </row>
    <row r="373" spans="1:3" x14ac:dyDescent="0.3">
      <c r="A373" t="s">
        <v>5517</v>
      </c>
      <c r="B373" t="s">
        <v>5868</v>
      </c>
      <c r="C373" s="4">
        <f t="shared" si="5"/>
        <v>200371</v>
      </c>
    </row>
    <row r="374" spans="1:3" x14ac:dyDescent="0.3">
      <c r="A374" t="s">
        <v>5517</v>
      </c>
      <c r="B374" t="s">
        <v>5869</v>
      </c>
      <c r="C374" s="4">
        <f t="shared" si="5"/>
        <v>200372</v>
      </c>
    </row>
    <row r="375" spans="1:3" x14ac:dyDescent="0.3">
      <c r="A375" t="s">
        <v>5517</v>
      </c>
      <c r="B375" t="s">
        <v>5870</v>
      </c>
      <c r="C375" s="4">
        <f t="shared" si="5"/>
        <v>200373</v>
      </c>
    </row>
    <row r="376" spans="1:3" x14ac:dyDescent="0.3">
      <c r="A376" t="s">
        <v>5517</v>
      </c>
      <c r="B376" t="s">
        <v>5871</v>
      </c>
      <c r="C376" s="4">
        <f t="shared" si="5"/>
        <v>200374</v>
      </c>
    </row>
    <row r="377" spans="1:3" x14ac:dyDescent="0.3">
      <c r="A377" t="s">
        <v>5517</v>
      </c>
      <c r="B377" t="s">
        <v>5872</v>
      </c>
      <c r="C377" s="4">
        <f t="shared" si="5"/>
        <v>200375</v>
      </c>
    </row>
    <row r="378" spans="1:3" x14ac:dyDescent="0.3">
      <c r="A378" t="s">
        <v>5517</v>
      </c>
      <c r="B378" t="s">
        <v>5873</v>
      </c>
      <c r="C378" s="4">
        <f t="shared" si="5"/>
        <v>200376</v>
      </c>
    </row>
    <row r="379" spans="1:3" x14ac:dyDescent="0.3">
      <c r="A379" t="s">
        <v>5517</v>
      </c>
      <c r="B379" t="s">
        <v>5874</v>
      </c>
      <c r="C379" s="4">
        <f t="shared" si="5"/>
        <v>200377</v>
      </c>
    </row>
    <row r="380" spans="1:3" x14ac:dyDescent="0.3">
      <c r="A380" t="s">
        <v>5517</v>
      </c>
      <c r="B380" t="s">
        <v>5875</v>
      </c>
      <c r="C380" s="4">
        <f t="shared" si="5"/>
        <v>200378</v>
      </c>
    </row>
    <row r="381" spans="1:3" x14ac:dyDescent="0.3">
      <c r="A381" t="s">
        <v>5517</v>
      </c>
      <c r="B381" t="s">
        <v>5876</v>
      </c>
      <c r="C381" s="4">
        <f t="shared" si="5"/>
        <v>200379</v>
      </c>
    </row>
    <row r="382" spans="1:3" x14ac:dyDescent="0.3">
      <c r="A382" t="s">
        <v>5517</v>
      </c>
      <c r="B382" t="s">
        <v>5877</v>
      </c>
      <c r="C382" s="4">
        <f t="shared" si="5"/>
        <v>200380</v>
      </c>
    </row>
    <row r="383" spans="1:3" x14ac:dyDescent="0.3">
      <c r="A383" t="s">
        <v>5517</v>
      </c>
      <c r="B383" t="s">
        <v>5878</v>
      </c>
      <c r="C383" s="4">
        <f t="shared" si="5"/>
        <v>200381</v>
      </c>
    </row>
    <row r="384" spans="1:3" x14ac:dyDescent="0.3">
      <c r="A384" t="s">
        <v>5517</v>
      </c>
      <c r="B384" t="s">
        <v>5879</v>
      </c>
      <c r="C384" s="4">
        <f t="shared" si="5"/>
        <v>200382</v>
      </c>
    </row>
    <row r="385" spans="1:3" x14ac:dyDescent="0.3">
      <c r="A385" t="s">
        <v>5517</v>
      </c>
      <c r="B385" t="s">
        <v>5880</v>
      </c>
      <c r="C385" s="4">
        <f t="shared" si="5"/>
        <v>200383</v>
      </c>
    </row>
    <row r="386" spans="1:3" x14ac:dyDescent="0.3">
      <c r="A386" t="s">
        <v>5517</v>
      </c>
      <c r="B386" t="s">
        <v>3447</v>
      </c>
      <c r="C386" s="4">
        <f t="shared" si="5"/>
        <v>200384</v>
      </c>
    </row>
    <row r="387" spans="1:3" x14ac:dyDescent="0.3">
      <c r="A387" t="s">
        <v>5517</v>
      </c>
      <c r="B387" t="s">
        <v>5881</v>
      </c>
      <c r="C387" s="4">
        <f t="shared" ref="C387:C450" si="6">IF(ISNUMBER(C386),C386+1,1)</f>
        <v>200385</v>
      </c>
    </row>
    <row r="388" spans="1:3" x14ac:dyDescent="0.3">
      <c r="A388" t="s">
        <v>5517</v>
      </c>
      <c r="B388" t="s">
        <v>5882</v>
      </c>
      <c r="C388" s="4">
        <f t="shared" si="6"/>
        <v>200386</v>
      </c>
    </row>
    <row r="389" spans="1:3" x14ac:dyDescent="0.3">
      <c r="A389" t="s">
        <v>5517</v>
      </c>
      <c r="B389" t="s">
        <v>3029</v>
      </c>
      <c r="C389" s="4">
        <f t="shared" si="6"/>
        <v>200387</v>
      </c>
    </row>
    <row r="390" spans="1:3" x14ac:dyDescent="0.3">
      <c r="A390" t="s">
        <v>5517</v>
      </c>
      <c r="B390" t="s">
        <v>5883</v>
      </c>
      <c r="C390" s="4">
        <f t="shared" si="6"/>
        <v>200388</v>
      </c>
    </row>
    <row r="391" spans="1:3" x14ac:dyDescent="0.3">
      <c r="A391" t="s">
        <v>5517</v>
      </c>
      <c r="B391" t="s">
        <v>5884</v>
      </c>
      <c r="C391" s="4">
        <f t="shared" si="6"/>
        <v>200389</v>
      </c>
    </row>
    <row r="392" spans="1:3" x14ac:dyDescent="0.3">
      <c r="A392" t="s">
        <v>5517</v>
      </c>
      <c r="B392" t="s">
        <v>5885</v>
      </c>
      <c r="C392" s="4">
        <f t="shared" si="6"/>
        <v>200390</v>
      </c>
    </row>
    <row r="393" spans="1:3" x14ac:dyDescent="0.3">
      <c r="A393" t="s">
        <v>5517</v>
      </c>
      <c r="B393" t="s">
        <v>5886</v>
      </c>
      <c r="C393" s="4">
        <f t="shared" si="6"/>
        <v>200391</v>
      </c>
    </row>
    <row r="394" spans="1:3" x14ac:dyDescent="0.3">
      <c r="A394" t="s">
        <v>5517</v>
      </c>
      <c r="B394" t="s">
        <v>5887</v>
      </c>
      <c r="C394" s="4">
        <f t="shared" si="6"/>
        <v>200392</v>
      </c>
    </row>
    <row r="395" spans="1:3" x14ac:dyDescent="0.3">
      <c r="A395" t="s">
        <v>5517</v>
      </c>
      <c r="B395" t="s">
        <v>5888</v>
      </c>
      <c r="C395" s="4">
        <f t="shared" si="6"/>
        <v>200393</v>
      </c>
    </row>
    <row r="396" spans="1:3" x14ac:dyDescent="0.3">
      <c r="A396" t="s">
        <v>5517</v>
      </c>
      <c r="B396" t="s">
        <v>5889</v>
      </c>
      <c r="C396" s="4">
        <f t="shared" si="6"/>
        <v>200394</v>
      </c>
    </row>
    <row r="397" spans="1:3" x14ac:dyDescent="0.3">
      <c r="A397" t="s">
        <v>5517</v>
      </c>
      <c r="B397" t="s">
        <v>3836</v>
      </c>
      <c r="C397" s="4">
        <f t="shared" si="6"/>
        <v>200395</v>
      </c>
    </row>
    <row r="398" spans="1:3" x14ac:dyDescent="0.3">
      <c r="A398" t="s">
        <v>5517</v>
      </c>
      <c r="B398" t="s">
        <v>5890</v>
      </c>
      <c r="C398" s="4">
        <f t="shared" si="6"/>
        <v>200396</v>
      </c>
    </row>
    <row r="399" spans="1:3" x14ac:dyDescent="0.3">
      <c r="A399" t="s">
        <v>5517</v>
      </c>
      <c r="B399" t="s">
        <v>5891</v>
      </c>
      <c r="C399" s="4">
        <f t="shared" si="6"/>
        <v>200397</v>
      </c>
    </row>
    <row r="400" spans="1:3" x14ac:dyDescent="0.3">
      <c r="A400" t="s">
        <v>5517</v>
      </c>
      <c r="B400" t="s">
        <v>5892</v>
      </c>
      <c r="C400" s="4">
        <f t="shared" si="6"/>
        <v>200398</v>
      </c>
    </row>
    <row r="401" spans="1:3" x14ac:dyDescent="0.3">
      <c r="A401" t="s">
        <v>5517</v>
      </c>
      <c r="B401" t="s">
        <v>5893</v>
      </c>
      <c r="C401" s="4">
        <f t="shared" si="6"/>
        <v>200399</v>
      </c>
    </row>
    <row r="402" spans="1:3" x14ac:dyDescent="0.3">
      <c r="A402" t="s">
        <v>5517</v>
      </c>
      <c r="B402" t="s">
        <v>5894</v>
      </c>
      <c r="C402" s="4">
        <f t="shared" si="6"/>
        <v>200400</v>
      </c>
    </row>
    <row r="403" spans="1:3" x14ac:dyDescent="0.3">
      <c r="A403" t="s">
        <v>5517</v>
      </c>
      <c r="B403" t="s">
        <v>5895</v>
      </c>
      <c r="C403" s="4">
        <f t="shared" si="6"/>
        <v>200401</v>
      </c>
    </row>
    <row r="404" spans="1:3" x14ac:dyDescent="0.3">
      <c r="A404" t="s">
        <v>5517</v>
      </c>
      <c r="B404" t="s">
        <v>5896</v>
      </c>
      <c r="C404" s="4">
        <f t="shared" si="6"/>
        <v>200402</v>
      </c>
    </row>
    <row r="405" spans="1:3" x14ac:dyDescent="0.3">
      <c r="A405" t="s">
        <v>5517</v>
      </c>
      <c r="B405" t="s">
        <v>5897</v>
      </c>
      <c r="C405" s="4">
        <f t="shared" si="6"/>
        <v>200403</v>
      </c>
    </row>
    <row r="406" spans="1:3" x14ac:dyDescent="0.3">
      <c r="A406" t="s">
        <v>5517</v>
      </c>
      <c r="B406" t="s">
        <v>5898</v>
      </c>
      <c r="C406" s="4">
        <f t="shared" si="6"/>
        <v>200404</v>
      </c>
    </row>
    <row r="407" spans="1:3" x14ac:dyDescent="0.3">
      <c r="A407" t="s">
        <v>5517</v>
      </c>
      <c r="B407" t="s">
        <v>5899</v>
      </c>
      <c r="C407" s="4">
        <f t="shared" si="6"/>
        <v>200405</v>
      </c>
    </row>
    <row r="408" spans="1:3" x14ac:dyDescent="0.3">
      <c r="A408" t="s">
        <v>5517</v>
      </c>
      <c r="B408" t="s">
        <v>5900</v>
      </c>
      <c r="C408" s="4">
        <f t="shared" si="6"/>
        <v>200406</v>
      </c>
    </row>
    <row r="409" spans="1:3" x14ac:dyDescent="0.3">
      <c r="A409" t="s">
        <v>5517</v>
      </c>
      <c r="B409" t="s">
        <v>5901</v>
      </c>
      <c r="C409" s="4">
        <f t="shared" si="6"/>
        <v>200407</v>
      </c>
    </row>
    <row r="410" spans="1:3" x14ac:dyDescent="0.3">
      <c r="A410" t="s">
        <v>5517</v>
      </c>
      <c r="B410" t="s">
        <v>5902</v>
      </c>
      <c r="C410" s="4">
        <f t="shared" si="6"/>
        <v>200408</v>
      </c>
    </row>
    <row r="411" spans="1:3" x14ac:dyDescent="0.3">
      <c r="A411" t="s">
        <v>5517</v>
      </c>
      <c r="B411" t="s">
        <v>61</v>
      </c>
      <c r="C411" s="4">
        <f t="shared" si="6"/>
        <v>200409</v>
      </c>
    </row>
    <row r="412" spans="1:3" x14ac:dyDescent="0.3">
      <c r="A412" t="s">
        <v>5517</v>
      </c>
      <c r="B412" t="s">
        <v>5903</v>
      </c>
      <c r="C412" s="4">
        <f t="shared" si="6"/>
        <v>200410</v>
      </c>
    </row>
    <row r="413" spans="1:3" x14ac:dyDescent="0.3">
      <c r="A413" t="s">
        <v>5517</v>
      </c>
      <c r="B413" t="s">
        <v>5904</v>
      </c>
      <c r="C413" s="4">
        <f t="shared" si="6"/>
        <v>200411</v>
      </c>
    </row>
    <row r="414" spans="1:3" x14ac:dyDescent="0.3">
      <c r="A414" t="s">
        <v>5517</v>
      </c>
      <c r="B414" t="s">
        <v>5905</v>
      </c>
      <c r="C414" s="4">
        <f t="shared" si="6"/>
        <v>200412</v>
      </c>
    </row>
    <row r="415" spans="1:3" x14ac:dyDescent="0.3">
      <c r="A415" t="s">
        <v>5517</v>
      </c>
      <c r="B415" t="s">
        <v>5906</v>
      </c>
      <c r="C415" s="4">
        <f t="shared" si="6"/>
        <v>200413</v>
      </c>
    </row>
    <row r="416" spans="1:3" x14ac:dyDescent="0.3">
      <c r="A416" t="s">
        <v>5517</v>
      </c>
      <c r="B416" t="s">
        <v>5907</v>
      </c>
      <c r="C416" s="4">
        <f t="shared" si="6"/>
        <v>200414</v>
      </c>
    </row>
    <row r="417" spans="1:3" x14ac:dyDescent="0.3">
      <c r="A417" t="s">
        <v>5517</v>
      </c>
      <c r="B417" t="s">
        <v>5908</v>
      </c>
      <c r="C417" s="4">
        <f t="shared" si="6"/>
        <v>200415</v>
      </c>
    </row>
    <row r="418" spans="1:3" x14ac:dyDescent="0.3">
      <c r="A418" t="s">
        <v>5517</v>
      </c>
      <c r="B418" t="s">
        <v>5909</v>
      </c>
      <c r="C418" s="4">
        <f t="shared" si="6"/>
        <v>200416</v>
      </c>
    </row>
    <row r="419" spans="1:3" x14ac:dyDescent="0.3">
      <c r="A419" t="s">
        <v>5517</v>
      </c>
      <c r="B419" t="s">
        <v>29</v>
      </c>
      <c r="C419" s="4">
        <f t="shared" si="6"/>
        <v>200417</v>
      </c>
    </row>
    <row r="420" spans="1:3" x14ac:dyDescent="0.3">
      <c r="A420" t="s">
        <v>5517</v>
      </c>
      <c r="B420" t="s">
        <v>5910</v>
      </c>
      <c r="C420" s="4">
        <f t="shared" si="6"/>
        <v>200418</v>
      </c>
    </row>
    <row r="421" spans="1:3" x14ac:dyDescent="0.3">
      <c r="A421" t="s">
        <v>5517</v>
      </c>
      <c r="B421" t="s">
        <v>5911</v>
      </c>
      <c r="C421" s="4">
        <f t="shared" si="6"/>
        <v>200419</v>
      </c>
    </row>
    <row r="422" spans="1:3" x14ac:dyDescent="0.3">
      <c r="A422" t="s">
        <v>5517</v>
      </c>
      <c r="B422" t="s">
        <v>5912</v>
      </c>
      <c r="C422" s="4">
        <f t="shared" si="6"/>
        <v>200420</v>
      </c>
    </row>
    <row r="423" spans="1:3" x14ac:dyDescent="0.3">
      <c r="A423" t="s">
        <v>5517</v>
      </c>
      <c r="B423" t="s">
        <v>5913</v>
      </c>
      <c r="C423" s="4">
        <f t="shared" si="6"/>
        <v>200421</v>
      </c>
    </row>
    <row r="424" spans="1:3" x14ac:dyDescent="0.3">
      <c r="A424" t="s">
        <v>5517</v>
      </c>
      <c r="B424" t="s">
        <v>5914</v>
      </c>
      <c r="C424" s="4">
        <f t="shared" si="6"/>
        <v>200422</v>
      </c>
    </row>
    <row r="425" spans="1:3" x14ac:dyDescent="0.3">
      <c r="A425" t="s">
        <v>5517</v>
      </c>
      <c r="B425" t="s">
        <v>3820</v>
      </c>
      <c r="C425" s="4">
        <f t="shared" si="6"/>
        <v>200423</v>
      </c>
    </row>
    <row r="426" spans="1:3" x14ac:dyDescent="0.3">
      <c r="A426" t="s">
        <v>5517</v>
      </c>
      <c r="B426" t="s">
        <v>5915</v>
      </c>
      <c r="C426" s="4">
        <f t="shared" si="6"/>
        <v>200424</v>
      </c>
    </row>
    <row r="427" spans="1:3" x14ac:dyDescent="0.3">
      <c r="A427" t="s">
        <v>5517</v>
      </c>
      <c r="B427" t="s">
        <v>5916</v>
      </c>
      <c r="C427" s="4">
        <f t="shared" si="6"/>
        <v>200425</v>
      </c>
    </row>
    <row r="428" spans="1:3" x14ac:dyDescent="0.3">
      <c r="A428" t="s">
        <v>5517</v>
      </c>
      <c r="B428" t="s">
        <v>5917</v>
      </c>
      <c r="C428" s="4">
        <f t="shared" si="6"/>
        <v>200426</v>
      </c>
    </row>
    <row r="429" spans="1:3" x14ac:dyDescent="0.3">
      <c r="A429" t="s">
        <v>5517</v>
      </c>
      <c r="B429" t="s">
        <v>4380</v>
      </c>
      <c r="C429" s="4">
        <f t="shared" si="6"/>
        <v>200427</v>
      </c>
    </row>
    <row r="430" spans="1:3" x14ac:dyDescent="0.3">
      <c r="A430" t="s">
        <v>5517</v>
      </c>
      <c r="B430" t="s">
        <v>5918</v>
      </c>
      <c r="C430" s="4">
        <f t="shared" si="6"/>
        <v>200428</v>
      </c>
    </row>
    <row r="431" spans="1:3" x14ac:dyDescent="0.3">
      <c r="A431" t="s">
        <v>5517</v>
      </c>
      <c r="B431" t="s">
        <v>5919</v>
      </c>
      <c r="C431" s="4">
        <f t="shared" si="6"/>
        <v>200429</v>
      </c>
    </row>
    <row r="432" spans="1:3" x14ac:dyDescent="0.3">
      <c r="A432" t="s">
        <v>5517</v>
      </c>
      <c r="B432" t="s">
        <v>3867</v>
      </c>
      <c r="C432" s="4">
        <f t="shared" si="6"/>
        <v>200430</v>
      </c>
    </row>
    <row r="433" spans="1:3" x14ac:dyDescent="0.3">
      <c r="A433" t="s">
        <v>5517</v>
      </c>
      <c r="B433" t="s">
        <v>5920</v>
      </c>
      <c r="C433" s="4">
        <f t="shared" si="6"/>
        <v>200431</v>
      </c>
    </row>
    <row r="434" spans="1:3" x14ac:dyDescent="0.3">
      <c r="A434" t="s">
        <v>5517</v>
      </c>
      <c r="B434" t="s">
        <v>5921</v>
      </c>
      <c r="C434" s="4">
        <f t="shared" si="6"/>
        <v>200432</v>
      </c>
    </row>
    <row r="435" spans="1:3" x14ac:dyDescent="0.3">
      <c r="A435" t="s">
        <v>5517</v>
      </c>
      <c r="B435" t="s">
        <v>5922</v>
      </c>
      <c r="C435" s="4">
        <f t="shared" si="6"/>
        <v>200433</v>
      </c>
    </row>
    <row r="436" spans="1:3" x14ac:dyDescent="0.3">
      <c r="A436" t="s">
        <v>5517</v>
      </c>
      <c r="B436" t="s">
        <v>5923</v>
      </c>
      <c r="C436" s="4">
        <f t="shared" si="6"/>
        <v>200434</v>
      </c>
    </row>
    <row r="437" spans="1:3" x14ac:dyDescent="0.3">
      <c r="A437" t="s">
        <v>5517</v>
      </c>
      <c r="B437" t="s">
        <v>5924</v>
      </c>
      <c r="C437" s="4">
        <f t="shared" si="6"/>
        <v>200435</v>
      </c>
    </row>
    <row r="438" spans="1:3" x14ac:dyDescent="0.3">
      <c r="A438" t="s">
        <v>5517</v>
      </c>
      <c r="B438" t="s">
        <v>5925</v>
      </c>
      <c r="C438" s="4">
        <f t="shared" si="6"/>
        <v>200436</v>
      </c>
    </row>
    <row r="439" spans="1:3" x14ac:dyDescent="0.3">
      <c r="A439" t="s">
        <v>5517</v>
      </c>
      <c r="B439" t="s">
        <v>5926</v>
      </c>
      <c r="C439" s="4">
        <f t="shared" si="6"/>
        <v>200437</v>
      </c>
    </row>
    <row r="440" spans="1:3" x14ac:dyDescent="0.3">
      <c r="A440" t="s">
        <v>5517</v>
      </c>
      <c r="B440" t="s">
        <v>5927</v>
      </c>
      <c r="C440" s="4">
        <f t="shared" si="6"/>
        <v>200438</v>
      </c>
    </row>
    <row r="441" spans="1:3" x14ac:dyDescent="0.3">
      <c r="A441" t="s">
        <v>5517</v>
      </c>
      <c r="B441" t="s">
        <v>5928</v>
      </c>
      <c r="C441" s="4">
        <f t="shared" si="6"/>
        <v>200439</v>
      </c>
    </row>
    <row r="442" spans="1:3" x14ac:dyDescent="0.3">
      <c r="A442" t="s">
        <v>5517</v>
      </c>
      <c r="B442" t="s">
        <v>5929</v>
      </c>
      <c r="C442" s="4">
        <f t="shared" si="6"/>
        <v>200440</v>
      </c>
    </row>
    <row r="443" spans="1:3" x14ac:dyDescent="0.3">
      <c r="A443" t="s">
        <v>5517</v>
      </c>
      <c r="B443" t="s">
        <v>23</v>
      </c>
      <c r="C443" s="4">
        <f t="shared" si="6"/>
        <v>200441</v>
      </c>
    </row>
    <row r="444" spans="1:3" x14ac:dyDescent="0.3">
      <c r="A444" t="s">
        <v>5517</v>
      </c>
      <c r="B444" t="s">
        <v>5930</v>
      </c>
      <c r="C444" s="4">
        <f t="shared" si="6"/>
        <v>200442</v>
      </c>
    </row>
    <row r="445" spans="1:3" x14ac:dyDescent="0.3">
      <c r="A445" t="s">
        <v>5517</v>
      </c>
      <c r="B445" t="s">
        <v>5931</v>
      </c>
      <c r="C445" s="4">
        <f t="shared" si="6"/>
        <v>200443</v>
      </c>
    </row>
    <row r="446" spans="1:3" x14ac:dyDescent="0.3">
      <c r="A446" t="s">
        <v>5517</v>
      </c>
      <c r="B446" t="s">
        <v>5932</v>
      </c>
      <c r="C446" s="4">
        <f t="shared" si="6"/>
        <v>200444</v>
      </c>
    </row>
    <row r="447" spans="1:3" x14ac:dyDescent="0.3">
      <c r="A447" t="s">
        <v>5517</v>
      </c>
      <c r="B447" t="s">
        <v>5933</v>
      </c>
      <c r="C447" s="4">
        <f t="shared" si="6"/>
        <v>200445</v>
      </c>
    </row>
    <row r="448" spans="1:3" x14ac:dyDescent="0.3">
      <c r="A448" t="s">
        <v>5517</v>
      </c>
      <c r="B448" t="s">
        <v>5934</v>
      </c>
      <c r="C448" s="4">
        <f t="shared" si="6"/>
        <v>200446</v>
      </c>
    </row>
    <row r="449" spans="1:3" x14ac:dyDescent="0.3">
      <c r="A449" t="s">
        <v>5517</v>
      </c>
      <c r="B449" t="s">
        <v>5935</v>
      </c>
      <c r="C449" s="4">
        <f t="shared" si="6"/>
        <v>200447</v>
      </c>
    </row>
    <row r="450" spans="1:3" x14ac:dyDescent="0.3">
      <c r="A450" t="s">
        <v>5517</v>
      </c>
      <c r="B450" t="s">
        <v>5936</v>
      </c>
      <c r="C450" s="4">
        <f t="shared" si="6"/>
        <v>200448</v>
      </c>
    </row>
    <row r="451" spans="1:3" x14ac:dyDescent="0.3">
      <c r="A451" t="s">
        <v>5517</v>
      </c>
      <c r="B451" t="s">
        <v>5937</v>
      </c>
      <c r="C451" s="4">
        <f t="shared" ref="C451:C514" si="7">IF(ISNUMBER(C450),C450+1,1)</f>
        <v>200449</v>
      </c>
    </row>
    <row r="452" spans="1:3" x14ac:dyDescent="0.3">
      <c r="A452" t="s">
        <v>5517</v>
      </c>
      <c r="B452" t="s">
        <v>5938</v>
      </c>
      <c r="C452" s="4">
        <f t="shared" si="7"/>
        <v>200450</v>
      </c>
    </row>
    <row r="453" spans="1:3" x14ac:dyDescent="0.3">
      <c r="A453" t="s">
        <v>5517</v>
      </c>
      <c r="B453" t="s">
        <v>5939</v>
      </c>
      <c r="C453" s="4">
        <f t="shared" si="7"/>
        <v>200451</v>
      </c>
    </row>
    <row r="454" spans="1:3" x14ac:dyDescent="0.3">
      <c r="A454" t="s">
        <v>5517</v>
      </c>
      <c r="B454" t="s">
        <v>5940</v>
      </c>
      <c r="C454" s="4">
        <f t="shared" si="7"/>
        <v>200452</v>
      </c>
    </row>
    <row r="455" spans="1:3" x14ac:dyDescent="0.3">
      <c r="A455" t="s">
        <v>5517</v>
      </c>
      <c r="B455" t="s">
        <v>5941</v>
      </c>
      <c r="C455" s="4">
        <f t="shared" si="7"/>
        <v>200453</v>
      </c>
    </row>
    <row r="456" spans="1:3" x14ac:dyDescent="0.3">
      <c r="A456" t="s">
        <v>5517</v>
      </c>
      <c r="B456" t="s">
        <v>5942</v>
      </c>
      <c r="C456" s="4">
        <f t="shared" si="7"/>
        <v>200454</v>
      </c>
    </row>
    <row r="457" spans="1:3" x14ac:dyDescent="0.3">
      <c r="A457" t="s">
        <v>5517</v>
      </c>
      <c r="B457" t="s">
        <v>5943</v>
      </c>
      <c r="C457" s="4">
        <f t="shared" si="7"/>
        <v>200455</v>
      </c>
    </row>
    <row r="458" spans="1:3" x14ac:dyDescent="0.3">
      <c r="A458" t="s">
        <v>5517</v>
      </c>
      <c r="B458" t="s">
        <v>5944</v>
      </c>
      <c r="C458" s="4">
        <f t="shared" si="7"/>
        <v>200456</v>
      </c>
    </row>
    <row r="459" spans="1:3" x14ac:dyDescent="0.3">
      <c r="A459" t="s">
        <v>5517</v>
      </c>
      <c r="B459" t="s">
        <v>5945</v>
      </c>
      <c r="C459" s="4">
        <f t="shared" si="7"/>
        <v>200457</v>
      </c>
    </row>
    <row r="460" spans="1:3" x14ac:dyDescent="0.3">
      <c r="A460" t="s">
        <v>5517</v>
      </c>
      <c r="B460" t="s">
        <v>5946</v>
      </c>
      <c r="C460" s="4">
        <f t="shared" si="7"/>
        <v>200458</v>
      </c>
    </row>
    <row r="461" spans="1:3" x14ac:dyDescent="0.3">
      <c r="A461" t="s">
        <v>5517</v>
      </c>
      <c r="B461" t="s">
        <v>5947</v>
      </c>
      <c r="C461" s="4">
        <f t="shared" si="7"/>
        <v>200459</v>
      </c>
    </row>
    <row r="462" spans="1:3" x14ac:dyDescent="0.3">
      <c r="A462" t="s">
        <v>5517</v>
      </c>
      <c r="B462" t="s">
        <v>5948</v>
      </c>
      <c r="C462" s="4">
        <f t="shared" si="7"/>
        <v>200460</v>
      </c>
    </row>
    <row r="463" spans="1:3" x14ac:dyDescent="0.3">
      <c r="A463" t="s">
        <v>5517</v>
      </c>
      <c r="B463" t="s">
        <v>5949</v>
      </c>
      <c r="C463" s="4">
        <f t="shared" si="7"/>
        <v>200461</v>
      </c>
    </row>
    <row r="464" spans="1:3" x14ac:dyDescent="0.3">
      <c r="A464" t="s">
        <v>5517</v>
      </c>
      <c r="B464" t="s">
        <v>5950</v>
      </c>
      <c r="C464" s="4">
        <f t="shared" si="7"/>
        <v>200462</v>
      </c>
    </row>
    <row r="465" spans="1:3" x14ac:dyDescent="0.3">
      <c r="A465" t="s">
        <v>5517</v>
      </c>
      <c r="B465" t="s">
        <v>5951</v>
      </c>
      <c r="C465" s="4">
        <f t="shared" si="7"/>
        <v>200463</v>
      </c>
    </row>
    <row r="466" spans="1:3" x14ac:dyDescent="0.3">
      <c r="A466" t="s">
        <v>5517</v>
      </c>
      <c r="B466" t="s">
        <v>3327</v>
      </c>
      <c r="C466" s="4">
        <f t="shared" si="7"/>
        <v>200464</v>
      </c>
    </row>
    <row r="467" spans="1:3" x14ac:dyDescent="0.3">
      <c r="A467" t="s">
        <v>5517</v>
      </c>
      <c r="B467" t="s">
        <v>5952</v>
      </c>
      <c r="C467" s="4">
        <f t="shared" si="7"/>
        <v>200465</v>
      </c>
    </row>
    <row r="468" spans="1:3" x14ac:dyDescent="0.3">
      <c r="A468" t="s">
        <v>5517</v>
      </c>
      <c r="B468" t="s">
        <v>4568</v>
      </c>
      <c r="C468" s="4">
        <f t="shared" si="7"/>
        <v>200466</v>
      </c>
    </row>
    <row r="469" spans="1:3" x14ac:dyDescent="0.3">
      <c r="A469" t="s">
        <v>5517</v>
      </c>
      <c r="B469" t="s">
        <v>5953</v>
      </c>
      <c r="C469" s="4">
        <f t="shared" si="7"/>
        <v>200467</v>
      </c>
    </row>
    <row r="470" spans="1:3" x14ac:dyDescent="0.3">
      <c r="A470" t="s">
        <v>5517</v>
      </c>
      <c r="B470" t="s">
        <v>5954</v>
      </c>
      <c r="C470" s="4">
        <f t="shared" si="7"/>
        <v>200468</v>
      </c>
    </row>
    <row r="471" spans="1:3" x14ac:dyDescent="0.3">
      <c r="A471" t="s">
        <v>5517</v>
      </c>
      <c r="B471" t="s">
        <v>3035</v>
      </c>
      <c r="C471" s="4">
        <f t="shared" si="7"/>
        <v>200469</v>
      </c>
    </row>
    <row r="472" spans="1:3" x14ac:dyDescent="0.3">
      <c r="A472" t="s">
        <v>5517</v>
      </c>
      <c r="B472" t="s">
        <v>5955</v>
      </c>
      <c r="C472" s="4">
        <f t="shared" si="7"/>
        <v>200470</v>
      </c>
    </row>
    <row r="473" spans="1:3" x14ac:dyDescent="0.3">
      <c r="A473" t="s">
        <v>5517</v>
      </c>
      <c r="B473" t="s">
        <v>5956</v>
      </c>
      <c r="C473" s="4">
        <f t="shared" si="7"/>
        <v>200471</v>
      </c>
    </row>
    <row r="474" spans="1:3" x14ac:dyDescent="0.3">
      <c r="A474" t="s">
        <v>5517</v>
      </c>
      <c r="B474" t="s">
        <v>5957</v>
      </c>
      <c r="C474" s="4">
        <f t="shared" si="7"/>
        <v>200472</v>
      </c>
    </row>
    <row r="475" spans="1:3" x14ac:dyDescent="0.3">
      <c r="A475" t="s">
        <v>5517</v>
      </c>
      <c r="B475" t="s">
        <v>5958</v>
      </c>
      <c r="C475" s="4">
        <f t="shared" si="7"/>
        <v>200473</v>
      </c>
    </row>
    <row r="476" spans="1:3" x14ac:dyDescent="0.3">
      <c r="A476" t="s">
        <v>5517</v>
      </c>
      <c r="B476" t="s">
        <v>5959</v>
      </c>
      <c r="C476" s="4">
        <f t="shared" si="7"/>
        <v>200474</v>
      </c>
    </row>
    <row r="477" spans="1:3" x14ac:dyDescent="0.3">
      <c r="A477" t="s">
        <v>5517</v>
      </c>
      <c r="B477" t="s">
        <v>5960</v>
      </c>
      <c r="C477" s="4">
        <f t="shared" si="7"/>
        <v>200475</v>
      </c>
    </row>
    <row r="478" spans="1:3" x14ac:dyDescent="0.3">
      <c r="A478" t="s">
        <v>5517</v>
      </c>
      <c r="B478" t="s">
        <v>5961</v>
      </c>
      <c r="C478" s="4">
        <f t="shared" si="7"/>
        <v>200476</v>
      </c>
    </row>
    <row r="479" spans="1:3" x14ac:dyDescent="0.3">
      <c r="A479" t="s">
        <v>5517</v>
      </c>
      <c r="B479" t="s">
        <v>5962</v>
      </c>
      <c r="C479" s="4">
        <f t="shared" si="7"/>
        <v>200477</v>
      </c>
    </row>
    <row r="480" spans="1:3" x14ac:dyDescent="0.3">
      <c r="A480" t="s">
        <v>5517</v>
      </c>
      <c r="B480" t="s">
        <v>5963</v>
      </c>
      <c r="C480" s="4">
        <f t="shared" si="7"/>
        <v>200478</v>
      </c>
    </row>
    <row r="481" spans="1:3" x14ac:dyDescent="0.3">
      <c r="A481" t="s">
        <v>5517</v>
      </c>
      <c r="B481" t="s">
        <v>20</v>
      </c>
      <c r="C481" s="4">
        <f t="shared" si="7"/>
        <v>200479</v>
      </c>
    </row>
    <row r="482" spans="1:3" x14ac:dyDescent="0.3">
      <c r="A482" t="s">
        <v>5517</v>
      </c>
      <c r="B482" t="s">
        <v>5964</v>
      </c>
      <c r="C482" s="4">
        <f t="shared" si="7"/>
        <v>200480</v>
      </c>
    </row>
    <row r="483" spans="1:3" x14ac:dyDescent="0.3">
      <c r="A483" t="s">
        <v>5517</v>
      </c>
      <c r="B483" t="s">
        <v>5</v>
      </c>
      <c r="C483" s="4">
        <f t="shared" si="7"/>
        <v>200481</v>
      </c>
    </row>
    <row r="484" spans="1:3" x14ac:dyDescent="0.3">
      <c r="A484" t="s">
        <v>5517</v>
      </c>
      <c r="B484" t="s">
        <v>5965</v>
      </c>
      <c r="C484" s="4">
        <f t="shared" si="7"/>
        <v>200482</v>
      </c>
    </row>
    <row r="485" spans="1:3" x14ac:dyDescent="0.3">
      <c r="A485" t="s">
        <v>5517</v>
      </c>
      <c r="B485" t="s">
        <v>4898</v>
      </c>
      <c r="C485" s="4">
        <f t="shared" si="7"/>
        <v>200483</v>
      </c>
    </row>
    <row r="486" spans="1:3" x14ac:dyDescent="0.3">
      <c r="A486" t="s">
        <v>5517</v>
      </c>
      <c r="B486" t="s">
        <v>32</v>
      </c>
      <c r="C486" s="4">
        <f t="shared" si="7"/>
        <v>200484</v>
      </c>
    </row>
    <row r="487" spans="1:3" x14ac:dyDescent="0.3">
      <c r="A487" t="s">
        <v>5517</v>
      </c>
      <c r="B487" t="s">
        <v>5966</v>
      </c>
      <c r="C487" s="4">
        <f t="shared" si="7"/>
        <v>200485</v>
      </c>
    </row>
    <row r="488" spans="1:3" x14ac:dyDescent="0.3">
      <c r="A488" t="s">
        <v>5517</v>
      </c>
      <c r="B488" t="s">
        <v>5967</v>
      </c>
      <c r="C488" s="4">
        <f t="shared" si="7"/>
        <v>200486</v>
      </c>
    </row>
    <row r="489" spans="1:3" x14ac:dyDescent="0.3">
      <c r="A489" t="s">
        <v>5517</v>
      </c>
      <c r="B489" t="s">
        <v>5968</v>
      </c>
      <c r="C489" s="4">
        <f t="shared" si="7"/>
        <v>200487</v>
      </c>
    </row>
    <row r="490" spans="1:3" x14ac:dyDescent="0.3">
      <c r="A490" t="s">
        <v>5517</v>
      </c>
      <c r="B490" t="s">
        <v>5969</v>
      </c>
      <c r="C490" s="4">
        <f t="shared" si="7"/>
        <v>200488</v>
      </c>
    </row>
    <row r="491" spans="1:3" x14ac:dyDescent="0.3">
      <c r="A491" t="s">
        <v>5517</v>
      </c>
      <c r="B491" t="s">
        <v>5970</v>
      </c>
      <c r="C491" s="4">
        <f t="shared" si="7"/>
        <v>200489</v>
      </c>
    </row>
    <row r="492" spans="1:3" x14ac:dyDescent="0.3">
      <c r="A492" t="s">
        <v>5517</v>
      </c>
      <c r="B492" t="s">
        <v>5971</v>
      </c>
      <c r="C492" s="4">
        <f t="shared" si="7"/>
        <v>200490</v>
      </c>
    </row>
    <row r="493" spans="1:3" x14ac:dyDescent="0.3">
      <c r="A493" t="s">
        <v>5517</v>
      </c>
      <c r="B493" t="s">
        <v>5972</v>
      </c>
      <c r="C493" s="4">
        <f t="shared" si="7"/>
        <v>200491</v>
      </c>
    </row>
    <row r="494" spans="1:3" x14ac:dyDescent="0.3">
      <c r="A494" t="s">
        <v>5517</v>
      </c>
      <c r="B494" t="s">
        <v>3693</v>
      </c>
      <c r="C494" s="4">
        <f t="shared" si="7"/>
        <v>200492</v>
      </c>
    </row>
    <row r="495" spans="1:3" x14ac:dyDescent="0.3">
      <c r="A495" t="s">
        <v>5517</v>
      </c>
      <c r="B495" t="s">
        <v>5973</v>
      </c>
      <c r="C495" s="4">
        <f t="shared" si="7"/>
        <v>200493</v>
      </c>
    </row>
    <row r="496" spans="1:3" x14ac:dyDescent="0.3">
      <c r="A496" t="s">
        <v>5517</v>
      </c>
      <c r="B496" t="s">
        <v>5974</v>
      </c>
      <c r="C496" s="4">
        <f t="shared" si="7"/>
        <v>200494</v>
      </c>
    </row>
    <row r="497" spans="1:3" x14ac:dyDescent="0.3">
      <c r="A497" t="s">
        <v>5517</v>
      </c>
      <c r="B497" t="s">
        <v>5975</v>
      </c>
      <c r="C497" s="4">
        <f t="shared" si="7"/>
        <v>200495</v>
      </c>
    </row>
    <row r="498" spans="1:3" x14ac:dyDescent="0.3">
      <c r="A498" t="s">
        <v>5517</v>
      </c>
      <c r="B498" t="s">
        <v>5976</v>
      </c>
      <c r="C498" s="4">
        <f t="shared" si="7"/>
        <v>200496</v>
      </c>
    </row>
    <row r="499" spans="1:3" x14ac:dyDescent="0.3">
      <c r="A499" t="s">
        <v>5517</v>
      </c>
      <c r="B499" t="s">
        <v>3310</v>
      </c>
      <c r="C499" s="4">
        <f t="shared" si="7"/>
        <v>200497</v>
      </c>
    </row>
    <row r="500" spans="1:3" x14ac:dyDescent="0.3">
      <c r="A500" t="s">
        <v>5517</v>
      </c>
      <c r="B500" t="s">
        <v>5977</v>
      </c>
      <c r="C500" s="4">
        <f t="shared" si="7"/>
        <v>200498</v>
      </c>
    </row>
    <row r="501" spans="1:3" x14ac:dyDescent="0.3">
      <c r="A501" t="s">
        <v>5517</v>
      </c>
      <c r="B501" t="s">
        <v>5978</v>
      </c>
      <c r="C501" s="4">
        <f t="shared" si="7"/>
        <v>200499</v>
      </c>
    </row>
    <row r="502" spans="1:3" x14ac:dyDescent="0.3">
      <c r="A502" t="s">
        <v>5517</v>
      </c>
      <c r="B502" t="s">
        <v>5979</v>
      </c>
      <c r="C502" s="4">
        <f t="shared" si="7"/>
        <v>200500</v>
      </c>
    </row>
    <row r="503" spans="1:3" x14ac:dyDescent="0.3">
      <c r="A503" t="s">
        <v>5517</v>
      </c>
      <c r="B503" t="s">
        <v>5980</v>
      </c>
      <c r="C503" s="4">
        <f t="shared" si="7"/>
        <v>200501</v>
      </c>
    </row>
    <row r="504" spans="1:3" x14ac:dyDescent="0.3">
      <c r="A504" t="s">
        <v>5517</v>
      </c>
      <c r="B504" t="s">
        <v>5981</v>
      </c>
      <c r="C504" s="4">
        <f t="shared" si="7"/>
        <v>200502</v>
      </c>
    </row>
    <row r="505" spans="1:3" x14ac:dyDescent="0.3">
      <c r="A505" t="s">
        <v>5517</v>
      </c>
      <c r="B505" t="s">
        <v>5982</v>
      </c>
      <c r="C505" s="4">
        <f t="shared" si="7"/>
        <v>200503</v>
      </c>
    </row>
    <row r="506" spans="1:3" x14ac:dyDescent="0.3">
      <c r="A506" t="s">
        <v>5517</v>
      </c>
      <c r="B506" t="s">
        <v>5983</v>
      </c>
      <c r="C506" s="4">
        <f t="shared" si="7"/>
        <v>200504</v>
      </c>
    </row>
    <row r="507" spans="1:3" x14ac:dyDescent="0.3">
      <c r="A507" t="s">
        <v>5517</v>
      </c>
      <c r="B507" t="s">
        <v>5984</v>
      </c>
      <c r="C507" s="4">
        <f t="shared" si="7"/>
        <v>200505</v>
      </c>
    </row>
    <row r="508" spans="1:3" x14ac:dyDescent="0.3">
      <c r="A508" t="s">
        <v>5517</v>
      </c>
      <c r="B508" t="s">
        <v>5985</v>
      </c>
      <c r="C508" s="4">
        <f t="shared" si="7"/>
        <v>200506</v>
      </c>
    </row>
    <row r="509" spans="1:3" x14ac:dyDescent="0.3">
      <c r="A509" t="s">
        <v>5517</v>
      </c>
      <c r="B509" t="s">
        <v>5986</v>
      </c>
      <c r="C509" s="4">
        <f t="shared" si="7"/>
        <v>200507</v>
      </c>
    </row>
    <row r="510" spans="1:3" x14ac:dyDescent="0.3">
      <c r="A510" t="s">
        <v>5517</v>
      </c>
      <c r="B510" t="s">
        <v>5987</v>
      </c>
      <c r="C510" s="4">
        <f t="shared" si="7"/>
        <v>200508</v>
      </c>
    </row>
    <row r="511" spans="1:3" x14ac:dyDescent="0.3">
      <c r="A511" t="s">
        <v>5517</v>
      </c>
      <c r="B511" t="s">
        <v>5988</v>
      </c>
      <c r="C511" s="4">
        <f t="shared" si="7"/>
        <v>200509</v>
      </c>
    </row>
    <row r="512" spans="1:3" x14ac:dyDescent="0.3">
      <c r="A512" t="s">
        <v>5517</v>
      </c>
      <c r="B512" t="s">
        <v>5989</v>
      </c>
      <c r="C512" s="4">
        <f t="shared" si="7"/>
        <v>200510</v>
      </c>
    </row>
    <row r="513" spans="1:3" x14ac:dyDescent="0.3">
      <c r="A513" t="s">
        <v>5517</v>
      </c>
      <c r="B513" t="s">
        <v>5990</v>
      </c>
      <c r="C513" s="4">
        <f t="shared" si="7"/>
        <v>200511</v>
      </c>
    </row>
    <row r="514" spans="1:3" x14ac:dyDescent="0.3">
      <c r="A514" t="s">
        <v>5517</v>
      </c>
      <c r="B514" t="s">
        <v>5991</v>
      </c>
      <c r="C514" s="4">
        <f t="shared" si="7"/>
        <v>200512</v>
      </c>
    </row>
    <row r="515" spans="1:3" x14ac:dyDescent="0.3">
      <c r="A515" t="s">
        <v>5517</v>
      </c>
      <c r="B515" t="s">
        <v>5992</v>
      </c>
      <c r="C515" s="4">
        <f t="shared" ref="C515:C578" si="8">IF(ISNUMBER(C514),C514+1,1)</f>
        <v>200513</v>
      </c>
    </row>
    <row r="516" spans="1:3" x14ac:dyDescent="0.3">
      <c r="A516" t="s">
        <v>5517</v>
      </c>
      <c r="B516" t="s">
        <v>4430</v>
      </c>
      <c r="C516" s="4">
        <f t="shared" si="8"/>
        <v>200514</v>
      </c>
    </row>
    <row r="517" spans="1:3" x14ac:dyDescent="0.3">
      <c r="A517" t="s">
        <v>5517</v>
      </c>
      <c r="B517" t="s">
        <v>5993</v>
      </c>
      <c r="C517" s="4">
        <f t="shared" si="8"/>
        <v>200515</v>
      </c>
    </row>
    <row r="518" spans="1:3" x14ac:dyDescent="0.3">
      <c r="A518" t="s">
        <v>5517</v>
      </c>
      <c r="B518" t="s">
        <v>5994</v>
      </c>
      <c r="C518" s="4">
        <f t="shared" si="8"/>
        <v>200516</v>
      </c>
    </row>
    <row r="519" spans="1:3" x14ac:dyDescent="0.3">
      <c r="A519" t="s">
        <v>5517</v>
      </c>
      <c r="B519" t="s">
        <v>5995</v>
      </c>
      <c r="C519" s="4">
        <f t="shared" si="8"/>
        <v>200517</v>
      </c>
    </row>
    <row r="520" spans="1:3" x14ac:dyDescent="0.3">
      <c r="A520" t="s">
        <v>5517</v>
      </c>
      <c r="B520" t="s">
        <v>5996</v>
      </c>
      <c r="C520" s="4">
        <f t="shared" si="8"/>
        <v>200518</v>
      </c>
    </row>
    <row r="521" spans="1:3" x14ac:dyDescent="0.3">
      <c r="A521" t="s">
        <v>5517</v>
      </c>
      <c r="B521" t="s">
        <v>5997</v>
      </c>
      <c r="C521" s="4">
        <f t="shared" si="8"/>
        <v>200519</v>
      </c>
    </row>
    <row r="522" spans="1:3" x14ac:dyDescent="0.3">
      <c r="A522" t="s">
        <v>5517</v>
      </c>
      <c r="B522" t="s">
        <v>5998</v>
      </c>
      <c r="C522" s="4">
        <f t="shared" si="8"/>
        <v>200520</v>
      </c>
    </row>
    <row r="523" spans="1:3" x14ac:dyDescent="0.3">
      <c r="A523" t="s">
        <v>5517</v>
      </c>
      <c r="B523" t="s">
        <v>5999</v>
      </c>
      <c r="C523" s="4">
        <f t="shared" si="8"/>
        <v>200521</v>
      </c>
    </row>
    <row r="524" spans="1:3" x14ac:dyDescent="0.3">
      <c r="A524" t="s">
        <v>5517</v>
      </c>
      <c r="B524" t="s">
        <v>6000</v>
      </c>
      <c r="C524" s="4">
        <f t="shared" si="8"/>
        <v>200522</v>
      </c>
    </row>
    <row r="525" spans="1:3" x14ac:dyDescent="0.3">
      <c r="A525" t="s">
        <v>5517</v>
      </c>
      <c r="B525" t="s">
        <v>6001</v>
      </c>
      <c r="C525" s="4">
        <f t="shared" si="8"/>
        <v>200523</v>
      </c>
    </row>
    <row r="526" spans="1:3" x14ac:dyDescent="0.3">
      <c r="A526" t="s">
        <v>5517</v>
      </c>
      <c r="B526" t="s">
        <v>6002</v>
      </c>
      <c r="C526" s="4">
        <f t="shared" si="8"/>
        <v>200524</v>
      </c>
    </row>
    <row r="527" spans="1:3" x14ac:dyDescent="0.3">
      <c r="A527" t="s">
        <v>5517</v>
      </c>
      <c r="B527" t="s">
        <v>6003</v>
      </c>
      <c r="C527" s="4">
        <f t="shared" si="8"/>
        <v>200525</v>
      </c>
    </row>
    <row r="528" spans="1:3" x14ac:dyDescent="0.3">
      <c r="A528" t="s">
        <v>5517</v>
      </c>
      <c r="B528" t="s">
        <v>6004</v>
      </c>
      <c r="C528" s="4">
        <f t="shared" si="8"/>
        <v>200526</v>
      </c>
    </row>
    <row r="529" spans="1:3" x14ac:dyDescent="0.3">
      <c r="A529" t="s">
        <v>5517</v>
      </c>
      <c r="B529" t="s">
        <v>24</v>
      </c>
      <c r="C529" s="4">
        <f t="shared" si="8"/>
        <v>200527</v>
      </c>
    </row>
    <row r="530" spans="1:3" x14ac:dyDescent="0.3">
      <c r="A530" t="s">
        <v>5517</v>
      </c>
      <c r="B530" t="s">
        <v>6005</v>
      </c>
      <c r="C530" s="4">
        <f t="shared" si="8"/>
        <v>200528</v>
      </c>
    </row>
    <row r="531" spans="1:3" x14ac:dyDescent="0.3">
      <c r="A531" t="s">
        <v>5517</v>
      </c>
      <c r="B531" t="s">
        <v>6006</v>
      </c>
      <c r="C531" s="4">
        <f t="shared" si="8"/>
        <v>200529</v>
      </c>
    </row>
    <row r="532" spans="1:3" x14ac:dyDescent="0.3">
      <c r="A532" t="s">
        <v>5517</v>
      </c>
      <c r="B532" t="s">
        <v>6007</v>
      </c>
      <c r="C532" s="4">
        <f t="shared" si="8"/>
        <v>200530</v>
      </c>
    </row>
    <row r="533" spans="1:3" x14ac:dyDescent="0.3">
      <c r="A533" t="s">
        <v>5517</v>
      </c>
      <c r="B533" t="s">
        <v>6008</v>
      </c>
      <c r="C533" s="4">
        <f t="shared" si="8"/>
        <v>200531</v>
      </c>
    </row>
    <row r="534" spans="1:3" x14ac:dyDescent="0.3">
      <c r="A534" t="s">
        <v>5517</v>
      </c>
      <c r="B534" t="s">
        <v>6009</v>
      </c>
      <c r="C534" s="4">
        <f t="shared" si="8"/>
        <v>200532</v>
      </c>
    </row>
    <row r="535" spans="1:3" x14ac:dyDescent="0.3">
      <c r="A535" t="s">
        <v>5517</v>
      </c>
      <c r="B535" t="s">
        <v>6010</v>
      </c>
      <c r="C535" s="4">
        <f t="shared" si="8"/>
        <v>200533</v>
      </c>
    </row>
    <row r="536" spans="1:3" x14ac:dyDescent="0.3">
      <c r="A536" t="s">
        <v>5517</v>
      </c>
      <c r="B536" t="s">
        <v>6011</v>
      </c>
      <c r="C536" s="4">
        <f t="shared" si="8"/>
        <v>200534</v>
      </c>
    </row>
    <row r="537" spans="1:3" x14ac:dyDescent="0.3">
      <c r="A537" t="s">
        <v>5517</v>
      </c>
      <c r="B537" t="s">
        <v>6012</v>
      </c>
      <c r="C537" s="4">
        <f t="shared" si="8"/>
        <v>200535</v>
      </c>
    </row>
    <row r="538" spans="1:3" x14ac:dyDescent="0.3">
      <c r="A538" t="s">
        <v>5517</v>
      </c>
      <c r="B538" t="s">
        <v>6013</v>
      </c>
      <c r="C538" s="4">
        <f t="shared" si="8"/>
        <v>200536</v>
      </c>
    </row>
    <row r="539" spans="1:3" x14ac:dyDescent="0.3">
      <c r="A539" t="s">
        <v>5517</v>
      </c>
      <c r="B539" t="s">
        <v>6014</v>
      </c>
      <c r="C539" s="4">
        <f t="shared" si="8"/>
        <v>200537</v>
      </c>
    </row>
    <row r="540" spans="1:3" x14ac:dyDescent="0.3">
      <c r="A540" t="s">
        <v>5517</v>
      </c>
      <c r="B540" t="s">
        <v>6015</v>
      </c>
      <c r="C540" s="4">
        <f t="shared" si="8"/>
        <v>200538</v>
      </c>
    </row>
    <row r="541" spans="1:3" x14ac:dyDescent="0.3">
      <c r="A541" t="s">
        <v>5517</v>
      </c>
      <c r="B541" t="s">
        <v>6016</v>
      </c>
      <c r="C541" s="4">
        <f t="shared" si="8"/>
        <v>200539</v>
      </c>
    </row>
    <row r="542" spans="1:3" x14ac:dyDescent="0.3">
      <c r="A542" t="s">
        <v>5517</v>
      </c>
      <c r="B542" t="s">
        <v>6017</v>
      </c>
      <c r="C542" s="4">
        <f t="shared" si="8"/>
        <v>200540</v>
      </c>
    </row>
    <row r="543" spans="1:3" x14ac:dyDescent="0.3">
      <c r="A543" t="s">
        <v>5517</v>
      </c>
      <c r="B543" t="s">
        <v>6018</v>
      </c>
      <c r="C543" s="4">
        <f t="shared" si="8"/>
        <v>200541</v>
      </c>
    </row>
    <row r="544" spans="1:3" x14ac:dyDescent="0.3">
      <c r="A544" t="s">
        <v>5517</v>
      </c>
      <c r="B544" t="s">
        <v>5113</v>
      </c>
      <c r="C544" s="4">
        <f t="shared" si="8"/>
        <v>200542</v>
      </c>
    </row>
    <row r="545" spans="1:3" x14ac:dyDescent="0.3">
      <c r="A545" t="s">
        <v>5517</v>
      </c>
      <c r="B545" t="s">
        <v>3529</v>
      </c>
      <c r="C545" s="4">
        <f t="shared" si="8"/>
        <v>200543</v>
      </c>
    </row>
    <row r="546" spans="1:3" x14ac:dyDescent="0.3">
      <c r="A546" t="s">
        <v>5517</v>
      </c>
      <c r="B546" t="s">
        <v>6019</v>
      </c>
      <c r="C546" s="4">
        <f t="shared" si="8"/>
        <v>200544</v>
      </c>
    </row>
    <row r="547" spans="1:3" x14ac:dyDescent="0.3">
      <c r="A547" t="s">
        <v>5517</v>
      </c>
      <c r="B547" t="s">
        <v>6020</v>
      </c>
      <c r="C547" s="4">
        <f t="shared" si="8"/>
        <v>200545</v>
      </c>
    </row>
    <row r="548" spans="1:3" x14ac:dyDescent="0.3">
      <c r="A548" t="s">
        <v>5517</v>
      </c>
      <c r="B548" t="s">
        <v>6021</v>
      </c>
      <c r="C548" s="4">
        <f t="shared" si="8"/>
        <v>200546</v>
      </c>
    </row>
    <row r="549" spans="1:3" x14ac:dyDescent="0.3">
      <c r="A549" t="s">
        <v>5517</v>
      </c>
      <c r="B549" t="s">
        <v>6022</v>
      </c>
      <c r="C549" s="4">
        <f t="shared" si="8"/>
        <v>200547</v>
      </c>
    </row>
    <row r="550" spans="1:3" x14ac:dyDescent="0.3">
      <c r="A550" t="s">
        <v>5517</v>
      </c>
      <c r="B550" t="s">
        <v>6023</v>
      </c>
      <c r="C550" s="4">
        <f t="shared" si="8"/>
        <v>200548</v>
      </c>
    </row>
    <row r="551" spans="1:3" x14ac:dyDescent="0.3">
      <c r="A551" t="s">
        <v>5517</v>
      </c>
      <c r="B551" t="s">
        <v>6024</v>
      </c>
      <c r="C551" s="4">
        <f t="shared" si="8"/>
        <v>200549</v>
      </c>
    </row>
    <row r="552" spans="1:3" x14ac:dyDescent="0.3">
      <c r="A552" t="s">
        <v>5517</v>
      </c>
      <c r="B552" t="s">
        <v>6025</v>
      </c>
      <c r="C552" s="4">
        <f t="shared" si="8"/>
        <v>200550</v>
      </c>
    </row>
    <row r="553" spans="1:3" x14ac:dyDescent="0.3">
      <c r="A553" t="s">
        <v>5517</v>
      </c>
      <c r="B553" t="s">
        <v>5127</v>
      </c>
      <c r="C553" s="4">
        <f t="shared" si="8"/>
        <v>200551</v>
      </c>
    </row>
    <row r="554" spans="1:3" x14ac:dyDescent="0.3">
      <c r="A554" t="s">
        <v>5517</v>
      </c>
      <c r="B554" t="s">
        <v>3043</v>
      </c>
      <c r="C554" s="4">
        <f t="shared" si="8"/>
        <v>200552</v>
      </c>
    </row>
    <row r="555" spans="1:3" x14ac:dyDescent="0.3">
      <c r="A555" t="s">
        <v>5517</v>
      </c>
      <c r="B555" t="s">
        <v>6026</v>
      </c>
      <c r="C555" s="4">
        <f t="shared" si="8"/>
        <v>200553</v>
      </c>
    </row>
    <row r="556" spans="1:3" x14ac:dyDescent="0.3">
      <c r="A556" t="s">
        <v>5517</v>
      </c>
      <c r="B556" t="s">
        <v>6027</v>
      </c>
      <c r="C556" s="4">
        <f t="shared" si="8"/>
        <v>200554</v>
      </c>
    </row>
    <row r="557" spans="1:3" x14ac:dyDescent="0.3">
      <c r="A557" t="s">
        <v>5517</v>
      </c>
      <c r="B557" t="s">
        <v>6028</v>
      </c>
      <c r="C557" s="4">
        <f t="shared" si="8"/>
        <v>200555</v>
      </c>
    </row>
    <row r="558" spans="1:3" x14ac:dyDescent="0.3">
      <c r="A558" t="s">
        <v>5517</v>
      </c>
      <c r="B558" t="s">
        <v>6029</v>
      </c>
      <c r="C558" s="4">
        <f t="shared" si="8"/>
        <v>200556</v>
      </c>
    </row>
    <row r="559" spans="1:3" x14ac:dyDescent="0.3">
      <c r="A559" t="s">
        <v>5517</v>
      </c>
      <c r="B559" t="s">
        <v>6030</v>
      </c>
      <c r="C559" s="4">
        <f t="shared" si="8"/>
        <v>200557</v>
      </c>
    </row>
    <row r="560" spans="1:3" x14ac:dyDescent="0.3">
      <c r="A560" t="s">
        <v>5517</v>
      </c>
      <c r="B560" t="s">
        <v>6031</v>
      </c>
      <c r="C560" s="4">
        <f t="shared" si="8"/>
        <v>200558</v>
      </c>
    </row>
    <row r="561" spans="1:3" x14ac:dyDescent="0.3">
      <c r="A561" t="s">
        <v>5517</v>
      </c>
      <c r="B561" t="s">
        <v>6032</v>
      </c>
      <c r="C561" s="4">
        <f t="shared" si="8"/>
        <v>200559</v>
      </c>
    </row>
    <row r="562" spans="1:3" x14ac:dyDescent="0.3">
      <c r="A562" t="s">
        <v>5517</v>
      </c>
      <c r="B562" t="s">
        <v>6033</v>
      </c>
      <c r="C562" s="4">
        <f t="shared" si="8"/>
        <v>200560</v>
      </c>
    </row>
    <row r="563" spans="1:3" x14ac:dyDescent="0.3">
      <c r="A563" t="s">
        <v>5517</v>
      </c>
      <c r="B563" t="s">
        <v>6034</v>
      </c>
      <c r="C563" s="4">
        <f t="shared" si="8"/>
        <v>200561</v>
      </c>
    </row>
    <row r="564" spans="1:3" x14ac:dyDescent="0.3">
      <c r="A564" t="s">
        <v>5517</v>
      </c>
      <c r="B564" t="s">
        <v>6035</v>
      </c>
      <c r="C564" s="4">
        <f t="shared" si="8"/>
        <v>200562</v>
      </c>
    </row>
    <row r="565" spans="1:3" x14ac:dyDescent="0.3">
      <c r="A565" t="s">
        <v>5517</v>
      </c>
      <c r="B565" t="s">
        <v>6036</v>
      </c>
      <c r="C565" s="4">
        <f t="shared" si="8"/>
        <v>200563</v>
      </c>
    </row>
    <row r="566" spans="1:3" x14ac:dyDescent="0.3">
      <c r="A566" t="s">
        <v>5517</v>
      </c>
      <c r="B566" t="s">
        <v>26</v>
      </c>
      <c r="C566" s="4">
        <f t="shared" si="8"/>
        <v>200564</v>
      </c>
    </row>
    <row r="567" spans="1:3" x14ac:dyDescent="0.3">
      <c r="A567" t="s">
        <v>5517</v>
      </c>
      <c r="B567" t="s">
        <v>6037</v>
      </c>
      <c r="C567" s="4">
        <f t="shared" si="8"/>
        <v>200565</v>
      </c>
    </row>
    <row r="568" spans="1:3" x14ac:dyDescent="0.3">
      <c r="A568" t="s">
        <v>5517</v>
      </c>
      <c r="B568" t="s">
        <v>6038</v>
      </c>
      <c r="C568" s="4">
        <f t="shared" si="8"/>
        <v>200566</v>
      </c>
    </row>
    <row r="569" spans="1:3" x14ac:dyDescent="0.3">
      <c r="A569" t="s">
        <v>5517</v>
      </c>
      <c r="B569" t="s">
        <v>6039</v>
      </c>
      <c r="C569" s="4">
        <f t="shared" si="8"/>
        <v>200567</v>
      </c>
    </row>
    <row r="570" spans="1:3" x14ac:dyDescent="0.3">
      <c r="A570" t="s">
        <v>5517</v>
      </c>
      <c r="B570" t="s">
        <v>6040</v>
      </c>
      <c r="C570" s="4">
        <f t="shared" si="8"/>
        <v>200568</v>
      </c>
    </row>
    <row r="571" spans="1:3" x14ac:dyDescent="0.3">
      <c r="A571" t="s">
        <v>5517</v>
      </c>
      <c r="B571" t="s">
        <v>6041</v>
      </c>
      <c r="C571" s="4">
        <f t="shared" si="8"/>
        <v>200569</v>
      </c>
    </row>
    <row r="572" spans="1:3" x14ac:dyDescent="0.3">
      <c r="A572" t="s">
        <v>5517</v>
      </c>
      <c r="B572" t="s">
        <v>6042</v>
      </c>
      <c r="C572" s="4">
        <f t="shared" si="8"/>
        <v>200570</v>
      </c>
    </row>
    <row r="573" spans="1:3" x14ac:dyDescent="0.3">
      <c r="A573" t="s">
        <v>5517</v>
      </c>
      <c r="B573" t="s">
        <v>6043</v>
      </c>
      <c r="C573" s="4">
        <f t="shared" si="8"/>
        <v>200571</v>
      </c>
    </row>
    <row r="574" spans="1:3" x14ac:dyDescent="0.3">
      <c r="A574" t="s">
        <v>5517</v>
      </c>
      <c r="B574" t="s">
        <v>6044</v>
      </c>
      <c r="C574" s="4">
        <f t="shared" si="8"/>
        <v>200572</v>
      </c>
    </row>
    <row r="575" spans="1:3" x14ac:dyDescent="0.3">
      <c r="A575" t="s">
        <v>5517</v>
      </c>
      <c r="B575" t="s">
        <v>6045</v>
      </c>
      <c r="C575" s="4">
        <f t="shared" si="8"/>
        <v>200573</v>
      </c>
    </row>
    <row r="576" spans="1:3" x14ac:dyDescent="0.3">
      <c r="A576" t="s">
        <v>5517</v>
      </c>
      <c r="B576" t="s">
        <v>6046</v>
      </c>
      <c r="C576" s="4">
        <f t="shared" si="8"/>
        <v>200574</v>
      </c>
    </row>
    <row r="577" spans="1:3" x14ac:dyDescent="0.3">
      <c r="A577" t="s">
        <v>5517</v>
      </c>
      <c r="B577" t="s">
        <v>6047</v>
      </c>
      <c r="C577" s="4">
        <f t="shared" si="8"/>
        <v>200575</v>
      </c>
    </row>
    <row r="578" spans="1:3" x14ac:dyDescent="0.3">
      <c r="A578" t="s">
        <v>5517</v>
      </c>
      <c r="B578" t="s">
        <v>55</v>
      </c>
      <c r="C578" s="4">
        <f t="shared" si="8"/>
        <v>200576</v>
      </c>
    </row>
    <row r="579" spans="1:3" x14ac:dyDescent="0.3">
      <c r="A579" t="s">
        <v>5517</v>
      </c>
      <c r="B579" t="s">
        <v>6048</v>
      </c>
      <c r="C579" s="4">
        <f t="shared" ref="C579:C642" si="9">IF(ISNUMBER(C578),C578+1,1)</f>
        <v>200577</v>
      </c>
    </row>
    <row r="580" spans="1:3" x14ac:dyDescent="0.3">
      <c r="A580" t="s">
        <v>5517</v>
      </c>
      <c r="B580" t="s">
        <v>4173</v>
      </c>
      <c r="C580" s="4">
        <f t="shared" si="9"/>
        <v>200578</v>
      </c>
    </row>
    <row r="581" spans="1:3" x14ac:dyDescent="0.3">
      <c r="A581" t="s">
        <v>5517</v>
      </c>
      <c r="B581" t="s">
        <v>6049</v>
      </c>
      <c r="C581" s="4">
        <f t="shared" si="9"/>
        <v>200579</v>
      </c>
    </row>
    <row r="582" spans="1:3" x14ac:dyDescent="0.3">
      <c r="A582" t="s">
        <v>5517</v>
      </c>
      <c r="B582" t="s">
        <v>4445</v>
      </c>
      <c r="C582" s="4">
        <f t="shared" si="9"/>
        <v>200580</v>
      </c>
    </row>
    <row r="583" spans="1:3" x14ac:dyDescent="0.3">
      <c r="A583" t="s">
        <v>5517</v>
      </c>
      <c r="B583" t="s">
        <v>6050</v>
      </c>
      <c r="C583" s="4">
        <f t="shared" si="9"/>
        <v>200581</v>
      </c>
    </row>
    <row r="584" spans="1:3" x14ac:dyDescent="0.3">
      <c r="A584" t="s">
        <v>5517</v>
      </c>
      <c r="B584" t="s">
        <v>6051</v>
      </c>
      <c r="C584" s="4">
        <f t="shared" si="9"/>
        <v>200582</v>
      </c>
    </row>
    <row r="585" spans="1:3" x14ac:dyDescent="0.3">
      <c r="A585" t="s">
        <v>5517</v>
      </c>
      <c r="B585" t="s">
        <v>6052</v>
      </c>
      <c r="C585" s="4">
        <f t="shared" si="9"/>
        <v>200583</v>
      </c>
    </row>
    <row r="586" spans="1:3" x14ac:dyDescent="0.3">
      <c r="A586" t="s">
        <v>5517</v>
      </c>
      <c r="B586" t="s">
        <v>6053</v>
      </c>
      <c r="C586" s="4">
        <f t="shared" si="9"/>
        <v>200584</v>
      </c>
    </row>
    <row r="587" spans="1:3" x14ac:dyDescent="0.3">
      <c r="A587" t="s">
        <v>5517</v>
      </c>
      <c r="B587" t="s">
        <v>4349</v>
      </c>
      <c r="C587" s="4">
        <f t="shared" si="9"/>
        <v>200585</v>
      </c>
    </row>
    <row r="588" spans="1:3" x14ac:dyDescent="0.3">
      <c r="A588" t="s">
        <v>5517</v>
      </c>
      <c r="B588" t="s">
        <v>6054</v>
      </c>
      <c r="C588" s="4">
        <f t="shared" si="9"/>
        <v>200586</v>
      </c>
    </row>
    <row r="589" spans="1:3" x14ac:dyDescent="0.3">
      <c r="A589" t="s">
        <v>5517</v>
      </c>
      <c r="B589" t="s">
        <v>6055</v>
      </c>
      <c r="C589" s="4">
        <f t="shared" si="9"/>
        <v>200587</v>
      </c>
    </row>
    <row r="590" spans="1:3" x14ac:dyDescent="0.3">
      <c r="A590" t="s">
        <v>5517</v>
      </c>
      <c r="B590" t="s">
        <v>6056</v>
      </c>
      <c r="C590" s="4">
        <f t="shared" si="9"/>
        <v>200588</v>
      </c>
    </row>
    <row r="591" spans="1:3" x14ac:dyDescent="0.3">
      <c r="A591" t="s">
        <v>5517</v>
      </c>
      <c r="B591" t="s">
        <v>6057</v>
      </c>
      <c r="C591" s="4">
        <f t="shared" si="9"/>
        <v>200589</v>
      </c>
    </row>
    <row r="592" spans="1:3" x14ac:dyDescent="0.3">
      <c r="A592" t="s">
        <v>5517</v>
      </c>
      <c r="B592" t="s">
        <v>6058</v>
      </c>
      <c r="C592" s="4">
        <f t="shared" si="9"/>
        <v>200590</v>
      </c>
    </row>
    <row r="593" spans="1:3" x14ac:dyDescent="0.3">
      <c r="A593" t="s">
        <v>5517</v>
      </c>
      <c r="B593" t="s">
        <v>6059</v>
      </c>
      <c r="C593" s="4">
        <f t="shared" si="9"/>
        <v>200591</v>
      </c>
    </row>
    <row r="594" spans="1:3" x14ac:dyDescent="0.3">
      <c r="A594" t="s">
        <v>5517</v>
      </c>
      <c r="B594" t="s">
        <v>6060</v>
      </c>
      <c r="C594" s="4">
        <f t="shared" si="9"/>
        <v>200592</v>
      </c>
    </row>
    <row r="595" spans="1:3" x14ac:dyDescent="0.3">
      <c r="A595" t="s">
        <v>5517</v>
      </c>
      <c r="B595" t="s">
        <v>6061</v>
      </c>
      <c r="C595" s="4">
        <f t="shared" si="9"/>
        <v>200593</v>
      </c>
    </row>
    <row r="596" spans="1:3" x14ac:dyDescent="0.3">
      <c r="A596" t="s">
        <v>5517</v>
      </c>
      <c r="B596" t="s">
        <v>6062</v>
      </c>
      <c r="C596" s="4">
        <f t="shared" si="9"/>
        <v>200594</v>
      </c>
    </row>
    <row r="597" spans="1:3" x14ac:dyDescent="0.3">
      <c r="A597" t="s">
        <v>5517</v>
      </c>
      <c r="B597" t="s">
        <v>6063</v>
      </c>
      <c r="C597" s="4">
        <f t="shared" si="9"/>
        <v>200595</v>
      </c>
    </row>
    <row r="598" spans="1:3" x14ac:dyDescent="0.3">
      <c r="A598" t="s">
        <v>5517</v>
      </c>
      <c r="B598" t="s">
        <v>6064</v>
      </c>
      <c r="C598" s="4">
        <f t="shared" si="9"/>
        <v>200596</v>
      </c>
    </row>
    <row r="599" spans="1:3" x14ac:dyDescent="0.3">
      <c r="A599" t="s">
        <v>5517</v>
      </c>
      <c r="B599" t="s">
        <v>6065</v>
      </c>
      <c r="C599" s="4">
        <f t="shared" si="9"/>
        <v>200597</v>
      </c>
    </row>
    <row r="600" spans="1:3" x14ac:dyDescent="0.3">
      <c r="A600" t="s">
        <v>5517</v>
      </c>
      <c r="B600" t="s">
        <v>33</v>
      </c>
      <c r="C600" s="4">
        <f t="shared" si="9"/>
        <v>200598</v>
      </c>
    </row>
    <row r="601" spans="1:3" x14ac:dyDescent="0.3">
      <c r="A601" t="s">
        <v>5517</v>
      </c>
      <c r="B601" t="s">
        <v>6066</v>
      </c>
      <c r="C601" s="4">
        <f t="shared" si="9"/>
        <v>200599</v>
      </c>
    </row>
    <row r="602" spans="1:3" x14ac:dyDescent="0.3">
      <c r="A602" t="s">
        <v>5517</v>
      </c>
      <c r="B602" t="s">
        <v>6067</v>
      </c>
      <c r="C602" s="4">
        <f t="shared" si="9"/>
        <v>200600</v>
      </c>
    </row>
    <row r="603" spans="1:3" x14ac:dyDescent="0.3">
      <c r="A603" t="s">
        <v>5517</v>
      </c>
      <c r="B603" t="s">
        <v>6068</v>
      </c>
      <c r="C603" s="4">
        <f t="shared" si="9"/>
        <v>200601</v>
      </c>
    </row>
    <row r="604" spans="1:3" x14ac:dyDescent="0.3">
      <c r="A604" t="s">
        <v>5517</v>
      </c>
      <c r="B604" t="s">
        <v>6069</v>
      </c>
      <c r="C604" s="4">
        <f t="shared" si="9"/>
        <v>200602</v>
      </c>
    </row>
    <row r="605" spans="1:3" x14ac:dyDescent="0.3">
      <c r="A605" t="s">
        <v>5517</v>
      </c>
      <c r="B605" t="s">
        <v>6070</v>
      </c>
      <c r="C605" s="4">
        <f t="shared" si="9"/>
        <v>200603</v>
      </c>
    </row>
    <row r="606" spans="1:3" x14ac:dyDescent="0.3">
      <c r="A606" t="s">
        <v>5517</v>
      </c>
      <c r="B606" t="s">
        <v>6071</v>
      </c>
      <c r="C606" s="4">
        <f t="shared" si="9"/>
        <v>200604</v>
      </c>
    </row>
    <row r="607" spans="1:3" x14ac:dyDescent="0.3">
      <c r="A607" t="s">
        <v>5517</v>
      </c>
      <c r="B607" t="s">
        <v>6072</v>
      </c>
      <c r="C607" s="4">
        <f t="shared" si="9"/>
        <v>200605</v>
      </c>
    </row>
    <row r="608" spans="1:3" x14ac:dyDescent="0.3">
      <c r="A608" t="s">
        <v>5517</v>
      </c>
      <c r="B608" t="s">
        <v>6073</v>
      </c>
      <c r="C608" s="4">
        <f t="shared" si="9"/>
        <v>200606</v>
      </c>
    </row>
    <row r="609" spans="1:3" x14ac:dyDescent="0.3">
      <c r="A609" t="s">
        <v>5517</v>
      </c>
      <c r="B609" t="s">
        <v>6074</v>
      </c>
      <c r="C609" s="4">
        <f t="shared" si="9"/>
        <v>200607</v>
      </c>
    </row>
    <row r="610" spans="1:3" x14ac:dyDescent="0.3">
      <c r="A610" t="s">
        <v>5517</v>
      </c>
      <c r="B610" t="s">
        <v>6075</v>
      </c>
      <c r="C610" s="4">
        <f t="shared" si="9"/>
        <v>200608</v>
      </c>
    </row>
    <row r="611" spans="1:3" x14ac:dyDescent="0.3">
      <c r="A611" t="s">
        <v>5517</v>
      </c>
      <c r="B611" t="s">
        <v>6076</v>
      </c>
      <c r="C611" s="4">
        <f t="shared" si="9"/>
        <v>200609</v>
      </c>
    </row>
    <row r="612" spans="1:3" x14ac:dyDescent="0.3">
      <c r="A612" t="s">
        <v>5517</v>
      </c>
      <c r="B612" t="s">
        <v>6077</v>
      </c>
      <c r="C612" s="4">
        <f t="shared" si="9"/>
        <v>200610</v>
      </c>
    </row>
    <row r="613" spans="1:3" x14ac:dyDescent="0.3">
      <c r="A613" t="s">
        <v>5517</v>
      </c>
      <c r="B613" t="s">
        <v>6078</v>
      </c>
      <c r="C613" s="4">
        <f t="shared" si="9"/>
        <v>200611</v>
      </c>
    </row>
    <row r="614" spans="1:3" x14ac:dyDescent="0.3">
      <c r="A614" t="s">
        <v>5517</v>
      </c>
      <c r="B614" t="s">
        <v>6079</v>
      </c>
      <c r="C614" s="4">
        <f t="shared" si="9"/>
        <v>200612</v>
      </c>
    </row>
    <row r="615" spans="1:3" x14ac:dyDescent="0.3">
      <c r="A615" t="s">
        <v>5517</v>
      </c>
      <c r="B615" t="s">
        <v>6080</v>
      </c>
      <c r="C615" s="4">
        <f t="shared" si="9"/>
        <v>200613</v>
      </c>
    </row>
    <row r="616" spans="1:3" x14ac:dyDescent="0.3">
      <c r="A616" t="s">
        <v>5517</v>
      </c>
      <c r="B616" t="s">
        <v>6081</v>
      </c>
      <c r="C616" s="4">
        <f t="shared" si="9"/>
        <v>200614</v>
      </c>
    </row>
    <row r="617" spans="1:3" x14ac:dyDescent="0.3">
      <c r="A617" t="s">
        <v>5517</v>
      </c>
      <c r="B617" t="s">
        <v>6082</v>
      </c>
      <c r="C617" s="4">
        <f t="shared" si="9"/>
        <v>200615</v>
      </c>
    </row>
    <row r="618" spans="1:3" x14ac:dyDescent="0.3">
      <c r="A618" t="s">
        <v>5517</v>
      </c>
      <c r="B618" t="s">
        <v>27</v>
      </c>
      <c r="C618" s="4">
        <f t="shared" si="9"/>
        <v>200616</v>
      </c>
    </row>
    <row r="619" spans="1:3" x14ac:dyDescent="0.3">
      <c r="A619" t="s">
        <v>5517</v>
      </c>
      <c r="B619" t="s">
        <v>27</v>
      </c>
      <c r="C619" s="4">
        <f t="shared" si="9"/>
        <v>200617</v>
      </c>
    </row>
    <row r="620" spans="1:3" x14ac:dyDescent="0.3">
      <c r="A620" t="s">
        <v>5517</v>
      </c>
      <c r="B620" t="s">
        <v>57</v>
      </c>
      <c r="C620" s="4">
        <f t="shared" si="9"/>
        <v>200618</v>
      </c>
    </row>
    <row r="621" spans="1:3" x14ac:dyDescent="0.3">
      <c r="A621" t="s">
        <v>5517</v>
      </c>
      <c r="B621" t="s">
        <v>5259</v>
      </c>
      <c r="C621" s="4">
        <f t="shared" si="9"/>
        <v>200619</v>
      </c>
    </row>
    <row r="622" spans="1:3" x14ac:dyDescent="0.3">
      <c r="A622" t="s">
        <v>5517</v>
      </c>
      <c r="B622" t="s">
        <v>6083</v>
      </c>
      <c r="C622" s="4">
        <f t="shared" si="9"/>
        <v>200620</v>
      </c>
    </row>
    <row r="623" spans="1:3" x14ac:dyDescent="0.3">
      <c r="A623" t="s">
        <v>5517</v>
      </c>
      <c r="B623" t="s">
        <v>56</v>
      </c>
      <c r="C623" s="4">
        <f t="shared" si="9"/>
        <v>200621</v>
      </c>
    </row>
    <row r="624" spans="1:3" x14ac:dyDescent="0.3">
      <c r="A624" t="s">
        <v>5517</v>
      </c>
      <c r="B624" t="s">
        <v>6084</v>
      </c>
      <c r="C624" s="4">
        <f t="shared" si="9"/>
        <v>200622</v>
      </c>
    </row>
    <row r="625" spans="1:3" x14ac:dyDescent="0.3">
      <c r="A625" t="s">
        <v>5517</v>
      </c>
      <c r="B625" t="s">
        <v>2</v>
      </c>
      <c r="C625" s="4">
        <f t="shared" si="9"/>
        <v>200623</v>
      </c>
    </row>
    <row r="626" spans="1:3" x14ac:dyDescent="0.3">
      <c r="A626" t="s">
        <v>5517</v>
      </c>
      <c r="B626" t="s">
        <v>6085</v>
      </c>
      <c r="C626" s="4">
        <f t="shared" si="9"/>
        <v>200624</v>
      </c>
    </row>
    <row r="627" spans="1:3" x14ac:dyDescent="0.3">
      <c r="A627" t="s">
        <v>5517</v>
      </c>
      <c r="B627" t="s">
        <v>6086</v>
      </c>
      <c r="C627" s="4">
        <f t="shared" si="9"/>
        <v>200625</v>
      </c>
    </row>
    <row r="628" spans="1:3" x14ac:dyDescent="0.3">
      <c r="A628" t="s">
        <v>5517</v>
      </c>
      <c r="B628" t="s">
        <v>6087</v>
      </c>
      <c r="C628" s="4">
        <f t="shared" si="9"/>
        <v>200626</v>
      </c>
    </row>
    <row r="629" spans="1:3" x14ac:dyDescent="0.3">
      <c r="A629" t="s">
        <v>5517</v>
      </c>
      <c r="B629" t="s">
        <v>6088</v>
      </c>
      <c r="C629" s="4">
        <f t="shared" si="9"/>
        <v>200627</v>
      </c>
    </row>
    <row r="630" spans="1:3" x14ac:dyDescent="0.3">
      <c r="A630" t="s">
        <v>5517</v>
      </c>
      <c r="B630" t="s">
        <v>6089</v>
      </c>
      <c r="C630" s="4">
        <f t="shared" si="9"/>
        <v>200628</v>
      </c>
    </row>
    <row r="631" spans="1:3" x14ac:dyDescent="0.3">
      <c r="A631" t="s">
        <v>5517</v>
      </c>
      <c r="B631" t="s">
        <v>6090</v>
      </c>
      <c r="C631" s="4">
        <f t="shared" si="9"/>
        <v>200629</v>
      </c>
    </row>
    <row r="632" spans="1:3" x14ac:dyDescent="0.3">
      <c r="A632" t="s">
        <v>5517</v>
      </c>
      <c r="B632" t="s">
        <v>6091</v>
      </c>
      <c r="C632" s="4">
        <f t="shared" si="9"/>
        <v>200630</v>
      </c>
    </row>
    <row r="633" spans="1:3" x14ac:dyDescent="0.3">
      <c r="A633" t="s">
        <v>5517</v>
      </c>
      <c r="B633" t="s">
        <v>6092</v>
      </c>
      <c r="C633" s="4">
        <f t="shared" si="9"/>
        <v>200631</v>
      </c>
    </row>
    <row r="634" spans="1:3" x14ac:dyDescent="0.3">
      <c r="A634" t="s">
        <v>5517</v>
      </c>
      <c r="B634" t="s">
        <v>6093</v>
      </c>
      <c r="C634" s="4">
        <f t="shared" si="9"/>
        <v>200632</v>
      </c>
    </row>
    <row r="635" spans="1:3" x14ac:dyDescent="0.3">
      <c r="A635" t="s">
        <v>5517</v>
      </c>
      <c r="B635" t="s">
        <v>6094</v>
      </c>
      <c r="C635" s="4">
        <f t="shared" si="9"/>
        <v>200633</v>
      </c>
    </row>
    <row r="636" spans="1:3" x14ac:dyDescent="0.3">
      <c r="A636" t="s">
        <v>5517</v>
      </c>
      <c r="B636" t="s">
        <v>6095</v>
      </c>
      <c r="C636" s="4">
        <f t="shared" si="9"/>
        <v>200634</v>
      </c>
    </row>
    <row r="637" spans="1:3" x14ac:dyDescent="0.3">
      <c r="A637" t="s">
        <v>5517</v>
      </c>
      <c r="B637" t="s">
        <v>6096</v>
      </c>
      <c r="C637" s="4">
        <f t="shared" si="9"/>
        <v>200635</v>
      </c>
    </row>
    <row r="638" spans="1:3" x14ac:dyDescent="0.3">
      <c r="A638" t="s">
        <v>5517</v>
      </c>
      <c r="B638" t="s">
        <v>4657</v>
      </c>
      <c r="C638" s="4">
        <f t="shared" si="9"/>
        <v>200636</v>
      </c>
    </row>
    <row r="639" spans="1:3" x14ac:dyDescent="0.3">
      <c r="A639" t="s">
        <v>5517</v>
      </c>
      <c r="B639" t="s">
        <v>60</v>
      </c>
      <c r="C639" s="4">
        <f t="shared" si="9"/>
        <v>200637</v>
      </c>
    </row>
    <row r="640" spans="1:3" x14ac:dyDescent="0.3">
      <c r="A640" t="s">
        <v>5517</v>
      </c>
      <c r="B640" t="s">
        <v>6097</v>
      </c>
      <c r="C640" s="4">
        <f t="shared" si="9"/>
        <v>200638</v>
      </c>
    </row>
    <row r="641" spans="1:3" x14ac:dyDescent="0.3">
      <c r="A641" t="s">
        <v>5517</v>
      </c>
      <c r="B641" t="s">
        <v>6098</v>
      </c>
      <c r="C641" s="4">
        <f t="shared" si="9"/>
        <v>200639</v>
      </c>
    </row>
    <row r="642" spans="1:3" x14ac:dyDescent="0.3">
      <c r="A642" t="s">
        <v>5517</v>
      </c>
      <c r="B642" t="s">
        <v>6099</v>
      </c>
      <c r="C642" s="4">
        <f t="shared" si="9"/>
        <v>200640</v>
      </c>
    </row>
    <row r="643" spans="1:3" x14ac:dyDescent="0.3">
      <c r="A643" t="s">
        <v>5517</v>
      </c>
      <c r="B643" t="s">
        <v>3123</v>
      </c>
      <c r="C643" s="4">
        <f t="shared" ref="C643:C662" si="10">IF(ISNUMBER(C642),C642+1,1)</f>
        <v>200641</v>
      </c>
    </row>
    <row r="644" spans="1:3" x14ac:dyDescent="0.3">
      <c r="A644" t="s">
        <v>5517</v>
      </c>
      <c r="B644" t="s">
        <v>6100</v>
      </c>
      <c r="C644" s="4">
        <f t="shared" si="10"/>
        <v>200642</v>
      </c>
    </row>
    <row r="645" spans="1:3" x14ac:dyDescent="0.3">
      <c r="A645" t="s">
        <v>5517</v>
      </c>
      <c r="B645" t="s">
        <v>22</v>
      </c>
      <c r="C645" s="4">
        <f t="shared" si="10"/>
        <v>200643</v>
      </c>
    </row>
    <row r="646" spans="1:3" x14ac:dyDescent="0.3">
      <c r="A646" t="s">
        <v>5517</v>
      </c>
      <c r="B646" t="s">
        <v>6101</v>
      </c>
      <c r="C646" s="4">
        <f t="shared" si="10"/>
        <v>200644</v>
      </c>
    </row>
    <row r="647" spans="1:3" x14ac:dyDescent="0.3">
      <c r="A647" t="s">
        <v>5517</v>
      </c>
      <c r="B647" t="s">
        <v>6102</v>
      </c>
      <c r="C647" s="4">
        <f t="shared" si="10"/>
        <v>200645</v>
      </c>
    </row>
    <row r="648" spans="1:3" x14ac:dyDescent="0.3">
      <c r="A648" t="s">
        <v>5517</v>
      </c>
      <c r="B648" t="s">
        <v>6103</v>
      </c>
      <c r="C648" s="4">
        <f t="shared" si="10"/>
        <v>200646</v>
      </c>
    </row>
    <row r="649" spans="1:3" x14ac:dyDescent="0.3">
      <c r="A649" t="s">
        <v>5517</v>
      </c>
      <c r="B649" t="s">
        <v>6104</v>
      </c>
      <c r="C649" s="4">
        <f t="shared" si="10"/>
        <v>200647</v>
      </c>
    </row>
    <row r="650" spans="1:3" x14ac:dyDescent="0.3">
      <c r="A650" t="s">
        <v>5517</v>
      </c>
      <c r="B650" t="s">
        <v>6105</v>
      </c>
      <c r="C650" s="4">
        <f t="shared" si="10"/>
        <v>200648</v>
      </c>
    </row>
    <row r="651" spans="1:3" x14ac:dyDescent="0.3">
      <c r="A651" t="s">
        <v>5517</v>
      </c>
      <c r="B651" t="s">
        <v>6106</v>
      </c>
      <c r="C651" s="4">
        <f t="shared" si="10"/>
        <v>200649</v>
      </c>
    </row>
    <row r="652" spans="1:3" x14ac:dyDescent="0.3">
      <c r="A652" t="s">
        <v>5517</v>
      </c>
      <c r="B652" t="s">
        <v>6107</v>
      </c>
      <c r="C652" s="4">
        <f t="shared" si="10"/>
        <v>200650</v>
      </c>
    </row>
    <row r="653" spans="1:3" x14ac:dyDescent="0.3">
      <c r="A653" t="s">
        <v>5517</v>
      </c>
      <c r="B653" t="s">
        <v>6108</v>
      </c>
      <c r="C653" s="4">
        <f t="shared" si="10"/>
        <v>200651</v>
      </c>
    </row>
    <row r="654" spans="1:3" x14ac:dyDescent="0.3">
      <c r="A654" t="s">
        <v>5517</v>
      </c>
      <c r="B654" t="s">
        <v>6109</v>
      </c>
      <c r="C654" s="4">
        <f t="shared" si="10"/>
        <v>200652</v>
      </c>
    </row>
    <row r="655" spans="1:3" x14ac:dyDescent="0.3">
      <c r="A655" t="s">
        <v>5517</v>
      </c>
      <c r="B655" t="s">
        <v>6110</v>
      </c>
      <c r="C655" s="4">
        <f t="shared" si="10"/>
        <v>200653</v>
      </c>
    </row>
    <row r="656" spans="1:3" x14ac:dyDescent="0.3">
      <c r="A656" t="s">
        <v>5517</v>
      </c>
      <c r="B656" t="s">
        <v>6111</v>
      </c>
      <c r="C656" s="4">
        <f t="shared" si="10"/>
        <v>200654</v>
      </c>
    </row>
    <row r="657" spans="1:3" x14ac:dyDescent="0.3">
      <c r="A657" t="s">
        <v>5517</v>
      </c>
      <c r="B657" t="s">
        <v>6112</v>
      </c>
      <c r="C657" s="4">
        <f t="shared" si="10"/>
        <v>200655</v>
      </c>
    </row>
    <row r="658" spans="1:3" x14ac:dyDescent="0.3">
      <c r="A658" t="s">
        <v>5517</v>
      </c>
      <c r="B658" t="s">
        <v>6113</v>
      </c>
      <c r="C658" s="4">
        <f t="shared" si="10"/>
        <v>200656</v>
      </c>
    </row>
    <row r="659" spans="1:3" x14ac:dyDescent="0.3">
      <c r="A659" t="s">
        <v>5517</v>
      </c>
      <c r="B659" t="s">
        <v>5361</v>
      </c>
      <c r="C659" s="4">
        <f t="shared" si="10"/>
        <v>200657</v>
      </c>
    </row>
    <row r="660" spans="1:3" x14ac:dyDescent="0.3">
      <c r="A660" t="s">
        <v>5517</v>
      </c>
      <c r="B660" t="s">
        <v>6114</v>
      </c>
      <c r="C660" s="4">
        <f t="shared" si="10"/>
        <v>200658</v>
      </c>
    </row>
    <row r="661" spans="1:3" x14ac:dyDescent="0.3">
      <c r="A661" t="s">
        <v>5517</v>
      </c>
      <c r="B661" t="s">
        <v>3593</v>
      </c>
      <c r="C661" s="4">
        <f t="shared" si="10"/>
        <v>200659</v>
      </c>
    </row>
    <row r="662" spans="1:3" x14ac:dyDescent="0.3">
      <c r="A662" t="s">
        <v>5517</v>
      </c>
      <c r="B662" t="s">
        <v>6115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3056</v>
      </c>
      <c r="B1" t="s">
        <v>3057</v>
      </c>
      <c r="C1" t="s">
        <v>3058</v>
      </c>
      <c r="D1" t="s">
        <v>3059</v>
      </c>
      <c r="E1" t="s">
        <v>3060</v>
      </c>
      <c r="F1" t="s">
        <v>3061</v>
      </c>
      <c r="G1" t="s">
        <v>3062</v>
      </c>
      <c r="H1" t="s">
        <v>0</v>
      </c>
      <c r="I1" t="s">
        <v>3063</v>
      </c>
      <c r="J1" t="s">
        <v>3064</v>
      </c>
      <c r="K1" t="s">
        <v>3065</v>
      </c>
      <c r="L1" t="s">
        <v>3066</v>
      </c>
      <c r="M1" t="s">
        <v>3067</v>
      </c>
      <c r="N1" t="s">
        <v>3068</v>
      </c>
      <c r="O1" t="s">
        <v>3069</v>
      </c>
      <c r="P1" t="s">
        <v>3070</v>
      </c>
      <c r="Q1" t="s">
        <v>3071</v>
      </c>
      <c r="R1" t="s">
        <v>3072</v>
      </c>
      <c r="S1" t="s">
        <v>3073</v>
      </c>
      <c r="T1" t="s">
        <v>3074</v>
      </c>
      <c r="U1" t="s">
        <v>3075</v>
      </c>
      <c r="V1" t="s">
        <v>3076</v>
      </c>
      <c r="W1" t="s">
        <v>3077</v>
      </c>
      <c r="X1" t="s">
        <v>3078</v>
      </c>
      <c r="Y1" t="s">
        <v>3079</v>
      </c>
      <c r="Z1" t="s">
        <v>3080</v>
      </c>
      <c r="AA1" t="s">
        <v>3081</v>
      </c>
      <c r="AB1" t="s">
        <v>3082</v>
      </c>
      <c r="AC1" t="s">
        <v>3083</v>
      </c>
      <c r="AD1" t="s">
        <v>3084</v>
      </c>
      <c r="AE1" t="s">
        <v>3085</v>
      </c>
      <c r="AF1" t="s">
        <v>3086</v>
      </c>
      <c r="AG1" t="s">
        <v>3087</v>
      </c>
      <c r="AH1" t="s">
        <v>3088</v>
      </c>
      <c r="AI1" t="s">
        <v>3089</v>
      </c>
      <c r="AJ1" t="s">
        <v>3090</v>
      </c>
      <c r="AK1" t="s">
        <v>3091</v>
      </c>
    </row>
    <row r="2" spans="1:37" x14ac:dyDescent="0.3">
      <c r="A2">
        <v>9</v>
      </c>
      <c r="B2" t="s">
        <v>3092</v>
      </c>
      <c r="C2" t="s">
        <v>3093</v>
      </c>
      <c r="D2" t="s">
        <v>3094</v>
      </c>
      <c r="E2" t="s">
        <v>3095</v>
      </c>
      <c r="F2" t="s">
        <v>3096</v>
      </c>
      <c r="G2" t="s">
        <v>3097</v>
      </c>
      <c r="H2" t="s">
        <v>2</v>
      </c>
      <c r="I2" t="s">
        <v>3098</v>
      </c>
      <c r="J2" t="s">
        <v>3099</v>
      </c>
      <c r="K2" t="s">
        <v>3100</v>
      </c>
      <c r="L2" t="s">
        <v>3101</v>
      </c>
      <c r="M2" t="s">
        <v>3102</v>
      </c>
      <c r="N2" t="s">
        <v>3103</v>
      </c>
      <c r="O2" t="s">
        <v>3104</v>
      </c>
      <c r="P2" t="s">
        <v>3105</v>
      </c>
      <c r="Q2" t="s">
        <v>3106</v>
      </c>
      <c r="R2">
        <v>18148</v>
      </c>
      <c r="S2" t="s">
        <v>3107</v>
      </c>
      <c r="T2">
        <v>4556229803844510</v>
      </c>
      <c r="U2">
        <v>122</v>
      </c>
      <c r="V2">
        <v>42125</v>
      </c>
      <c r="W2" t="s">
        <v>3108</v>
      </c>
      <c r="X2" t="s">
        <v>3109</v>
      </c>
      <c r="Y2" t="s">
        <v>3110</v>
      </c>
      <c r="Z2" t="s">
        <v>3111</v>
      </c>
      <c r="AA2" t="s">
        <v>3112</v>
      </c>
      <c r="AB2" t="s">
        <v>3113</v>
      </c>
      <c r="AC2" t="s">
        <v>3114</v>
      </c>
      <c r="AD2" t="s">
        <v>3115</v>
      </c>
      <c r="AE2">
        <v>166.3</v>
      </c>
      <c r="AF2">
        <v>75.599999999999994</v>
      </c>
      <c r="AG2" t="s">
        <v>3116</v>
      </c>
      <c r="AH2">
        <v>185</v>
      </c>
      <c r="AI2" t="s">
        <v>3117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3118</v>
      </c>
      <c r="C3" t="s">
        <v>3119</v>
      </c>
      <c r="D3" t="s">
        <v>3120</v>
      </c>
      <c r="E3" t="s">
        <v>399</v>
      </c>
      <c r="F3" t="s">
        <v>3121</v>
      </c>
      <c r="G3" t="s">
        <v>3122</v>
      </c>
      <c r="H3" t="s">
        <v>3123</v>
      </c>
      <c r="I3" t="s">
        <v>3098</v>
      </c>
      <c r="J3" t="s">
        <v>3124</v>
      </c>
      <c r="K3" t="s">
        <v>3100</v>
      </c>
      <c r="L3" t="s">
        <v>3101</v>
      </c>
      <c r="M3" t="s">
        <v>3125</v>
      </c>
      <c r="N3" t="s">
        <v>3126</v>
      </c>
      <c r="O3" t="s">
        <v>3127</v>
      </c>
      <c r="P3" t="s">
        <v>3128</v>
      </c>
      <c r="Q3" t="s">
        <v>3129</v>
      </c>
      <c r="R3">
        <v>22068</v>
      </c>
      <c r="S3" t="s">
        <v>3130</v>
      </c>
      <c r="T3">
        <v>5272052098916060</v>
      </c>
      <c r="U3">
        <v>640</v>
      </c>
      <c r="V3">
        <v>42979</v>
      </c>
      <c r="W3" t="s">
        <v>3131</v>
      </c>
      <c r="X3" t="s">
        <v>3132</v>
      </c>
      <c r="Y3" t="s">
        <v>3133</v>
      </c>
      <c r="Z3" t="s">
        <v>3134</v>
      </c>
      <c r="AA3" t="s">
        <v>3135</v>
      </c>
      <c r="AB3" t="s">
        <v>3136</v>
      </c>
      <c r="AC3" t="s">
        <v>3137</v>
      </c>
      <c r="AD3" t="s">
        <v>3138</v>
      </c>
      <c r="AE3">
        <v>181.3</v>
      </c>
      <c r="AF3">
        <v>82.4</v>
      </c>
      <c r="AG3" t="s">
        <v>3139</v>
      </c>
      <c r="AH3">
        <v>155</v>
      </c>
      <c r="AI3" t="s">
        <v>3140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3092</v>
      </c>
      <c r="C4" t="s">
        <v>3093</v>
      </c>
      <c r="D4" t="s">
        <v>3141</v>
      </c>
      <c r="E4" t="s">
        <v>403</v>
      </c>
      <c r="F4" t="s">
        <v>3142</v>
      </c>
      <c r="G4" t="s">
        <v>3143</v>
      </c>
      <c r="H4" t="s">
        <v>3144</v>
      </c>
      <c r="I4" t="s">
        <v>3098</v>
      </c>
      <c r="J4" t="s">
        <v>3145</v>
      </c>
      <c r="K4" t="s">
        <v>3100</v>
      </c>
      <c r="L4" t="s">
        <v>3101</v>
      </c>
      <c r="M4" t="s">
        <v>3146</v>
      </c>
      <c r="N4" t="s">
        <v>3147</v>
      </c>
      <c r="O4" t="s">
        <v>3148</v>
      </c>
      <c r="P4" t="s">
        <v>3149</v>
      </c>
      <c r="Q4" t="s">
        <v>3150</v>
      </c>
      <c r="R4">
        <v>15391</v>
      </c>
      <c r="S4" t="s">
        <v>3107</v>
      </c>
      <c r="T4">
        <v>4485343687549940</v>
      </c>
      <c r="U4">
        <v>408</v>
      </c>
      <c r="V4">
        <v>42644</v>
      </c>
      <c r="W4" t="s">
        <v>3151</v>
      </c>
      <c r="X4" t="s">
        <v>3152</v>
      </c>
      <c r="Y4" t="s">
        <v>3110</v>
      </c>
      <c r="Z4" t="s">
        <v>3153</v>
      </c>
      <c r="AA4" t="s">
        <v>3154</v>
      </c>
      <c r="AB4" t="s">
        <v>3155</v>
      </c>
      <c r="AC4" t="s">
        <v>3156</v>
      </c>
      <c r="AD4" t="s">
        <v>3157</v>
      </c>
      <c r="AE4">
        <v>164.6</v>
      </c>
      <c r="AF4">
        <v>74.8</v>
      </c>
      <c r="AG4" t="s">
        <v>3158</v>
      </c>
      <c r="AH4">
        <v>176</v>
      </c>
      <c r="AI4" t="s">
        <v>3159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3118</v>
      </c>
      <c r="C5" t="s">
        <v>3160</v>
      </c>
      <c r="D5" t="s">
        <v>3161</v>
      </c>
      <c r="E5" t="s">
        <v>3095</v>
      </c>
      <c r="F5" t="s">
        <v>3162</v>
      </c>
      <c r="G5" t="s">
        <v>3163</v>
      </c>
      <c r="H5" t="s">
        <v>2</v>
      </c>
      <c r="I5" t="s">
        <v>3098</v>
      </c>
      <c r="J5" t="s">
        <v>3164</v>
      </c>
      <c r="K5" t="s">
        <v>3100</v>
      </c>
      <c r="L5" t="s">
        <v>3101</v>
      </c>
      <c r="M5" t="s">
        <v>3165</v>
      </c>
      <c r="N5" t="s">
        <v>3166</v>
      </c>
      <c r="O5" t="s">
        <v>3167</v>
      </c>
      <c r="P5" t="s">
        <v>3168</v>
      </c>
      <c r="Q5" t="s">
        <v>3169</v>
      </c>
      <c r="R5">
        <v>30584</v>
      </c>
      <c r="S5" t="s">
        <v>3107</v>
      </c>
      <c r="T5">
        <v>4929519050724580</v>
      </c>
      <c r="U5">
        <v>746</v>
      </c>
      <c r="V5">
        <v>43070</v>
      </c>
      <c r="W5" t="s">
        <v>3170</v>
      </c>
      <c r="X5" t="s">
        <v>3171</v>
      </c>
      <c r="Y5" t="s">
        <v>3172</v>
      </c>
      <c r="Z5" t="s">
        <v>3173</v>
      </c>
      <c r="AA5" t="s">
        <v>3174</v>
      </c>
      <c r="AB5" t="s">
        <v>3175</v>
      </c>
      <c r="AC5" t="s">
        <v>3176</v>
      </c>
      <c r="AD5" t="s">
        <v>3157</v>
      </c>
      <c r="AE5">
        <v>177.5</v>
      </c>
      <c r="AF5">
        <v>80.7</v>
      </c>
      <c r="AG5" t="s">
        <v>3177</v>
      </c>
      <c r="AH5">
        <v>157</v>
      </c>
      <c r="AI5" t="s">
        <v>3178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3118</v>
      </c>
      <c r="C6" t="s">
        <v>3119</v>
      </c>
      <c r="D6" t="s">
        <v>3179</v>
      </c>
      <c r="E6" t="s">
        <v>173</v>
      </c>
      <c r="F6" t="s">
        <v>3180</v>
      </c>
      <c r="G6" t="s">
        <v>3181</v>
      </c>
      <c r="H6" t="s">
        <v>3182</v>
      </c>
      <c r="I6" t="s">
        <v>3098</v>
      </c>
      <c r="J6" t="s">
        <v>3183</v>
      </c>
      <c r="K6" t="s">
        <v>3100</v>
      </c>
      <c r="L6" t="s">
        <v>3101</v>
      </c>
      <c r="M6" t="s">
        <v>3184</v>
      </c>
      <c r="N6" t="s">
        <v>3185</v>
      </c>
      <c r="O6" t="s">
        <v>3186</v>
      </c>
      <c r="P6" t="s">
        <v>3187</v>
      </c>
      <c r="Q6" t="s">
        <v>3188</v>
      </c>
      <c r="R6">
        <v>18924</v>
      </c>
      <c r="S6" t="s">
        <v>3107</v>
      </c>
      <c r="T6">
        <v>4929390470025680</v>
      </c>
      <c r="U6">
        <v>124</v>
      </c>
      <c r="V6">
        <v>43313</v>
      </c>
      <c r="W6" t="s">
        <v>3189</v>
      </c>
      <c r="X6" t="s">
        <v>3190</v>
      </c>
      <c r="Y6" t="s">
        <v>3172</v>
      </c>
      <c r="Z6" t="s">
        <v>3191</v>
      </c>
      <c r="AA6" t="s">
        <v>3192</v>
      </c>
      <c r="AB6" t="s">
        <v>3193</v>
      </c>
      <c r="AC6" t="s">
        <v>3194</v>
      </c>
      <c r="AD6" t="s">
        <v>3195</v>
      </c>
      <c r="AE6">
        <v>226.4</v>
      </c>
      <c r="AF6">
        <v>102.9</v>
      </c>
      <c r="AG6" t="s">
        <v>3196</v>
      </c>
      <c r="AH6">
        <v>168</v>
      </c>
      <c r="AI6" t="s">
        <v>3197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3092</v>
      </c>
      <c r="C7" t="s">
        <v>3093</v>
      </c>
      <c r="D7" t="s">
        <v>3198</v>
      </c>
      <c r="E7" t="s">
        <v>3199</v>
      </c>
      <c r="F7" t="s">
        <v>3200</v>
      </c>
      <c r="G7" t="s">
        <v>3201</v>
      </c>
      <c r="H7" t="s">
        <v>3202</v>
      </c>
      <c r="I7" t="s">
        <v>3098</v>
      </c>
      <c r="J7" t="s">
        <v>3203</v>
      </c>
      <c r="K7" t="s">
        <v>3100</v>
      </c>
      <c r="L7" t="s">
        <v>3101</v>
      </c>
      <c r="M7" t="s">
        <v>3204</v>
      </c>
      <c r="N7" t="s">
        <v>3205</v>
      </c>
      <c r="O7" t="s">
        <v>3206</v>
      </c>
      <c r="P7" t="s">
        <v>3207</v>
      </c>
      <c r="Q7" t="s">
        <v>3208</v>
      </c>
      <c r="R7">
        <v>21412</v>
      </c>
      <c r="S7" t="s">
        <v>3107</v>
      </c>
      <c r="T7">
        <v>4485044893729420</v>
      </c>
      <c r="U7">
        <v>687</v>
      </c>
      <c r="V7">
        <v>42856</v>
      </c>
      <c r="W7" t="s">
        <v>3209</v>
      </c>
      <c r="X7" t="s">
        <v>3210</v>
      </c>
      <c r="Y7" t="s">
        <v>3110</v>
      </c>
      <c r="Z7" t="s">
        <v>3211</v>
      </c>
      <c r="AA7" t="s">
        <v>3212</v>
      </c>
      <c r="AB7" t="s">
        <v>3213</v>
      </c>
      <c r="AC7" t="s">
        <v>3214</v>
      </c>
      <c r="AD7" t="s">
        <v>3157</v>
      </c>
      <c r="AE7">
        <v>150.5</v>
      </c>
      <c r="AF7">
        <v>68.400000000000006</v>
      </c>
      <c r="AG7" t="s">
        <v>3116</v>
      </c>
      <c r="AH7">
        <v>186</v>
      </c>
      <c r="AI7" t="s">
        <v>3215</v>
      </c>
      <c r="AJ7">
        <v>49.149808</v>
      </c>
      <c r="AK7">
        <v>-122.388766</v>
      </c>
    </row>
    <row r="8" spans="1:37" x14ac:dyDescent="0.3">
      <c r="A8">
        <v>50</v>
      </c>
      <c r="B8" t="s">
        <v>3118</v>
      </c>
      <c r="C8" t="s">
        <v>3160</v>
      </c>
      <c r="D8" t="s">
        <v>3216</v>
      </c>
      <c r="E8" t="s">
        <v>397</v>
      </c>
      <c r="F8" t="s">
        <v>3217</v>
      </c>
      <c r="G8" t="s">
        <v>3218</v>
      </c>
      <c r="H8" t="s">
        <v>27</v>
      </c>
      <c r="I8" t="s">
        <v>3098</v>
      </c>
      <c r="J8" t="s">
        <v>3219</v>
      </c>
      <c r="K8" t="s">
        <v>3100</v>
      </c>
      <c r="L8" t="s">
        <v>3101</v>
      </c>
      <c r="M8" t="s">
        <v>3220</v>
      </c>
      <c r="N8" t="s">
        <v>3221</v>
      </c>
      <c r="O8" t="s">
        <v>3222</v>
      </c>
      <c r="P8" t="s">
        <v>3223</v>
      </c>
      <c r="Q8" t="s">
        <v>3224</v>
      </c>
      <c r="R8">
        <v>29287</v>
      </c>
      <c r="S8" t="s">
        <v>3130</v>
      </c>
      <c r="T8">
        <v>5455154127820680</v>
      </c>
      <c r="U8">
        <v>706</v>
      </c>
      <c r="V8">
        <v>43160</v>
      </c>
      <c r="W8" t="s">
        <v>3225</v>
      </c>
      <c r="X8" t="s">
        <v>3226</v>
      </c>
      <c r="Y8" t="s">
        <v>3110</v>
      </c>
      <c r="Z8" t="s">
        <v>3227</v>
      </c>
      <c r="AA8" t="s">
        <v>3228</v>
      </c>
      <c r="AB8" t="s">
        <v>3229</v>
      </c>
      <c r="AC8" t="s">
        <v>3230</v>
      </c>
      <c r="AD8" t="s">
        <v>3231</v>
      </c>
      <c r="AE8">
        <v>172.9</v>
      </c>
      <c r="AF8">
        <v>78.599999999999994</v>
      </c>
      <c r="AG8" t="s">
        <v>3232</v>
      </c>
      <c r="AH8">
        <v>165</v>
      </c>
      <c r="AI8" t="s">
        <v>3233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3092</v>
      </c>
      <c r="C9" t="s">
        <v>3093</v>
      </c>
      <c r="D9" t="s">
        <v>3234</v>
      </c>
      <c r="E9" t="s">
        <v>3235</v>
      </c>
      <c r="F9" t="s">
        <v>3236</v>
      </c>
      <c r="G9" t="s">
        <v>3237</v>
      </c>
      <c r="H9" t="s">
        <v>3238</v>
      </c>
      <c r="I9" t="s">
        <v>3098</v>
      </c>
      <c r="J9" t="s">
        <v>3239</v>
      </c>
      <c r="K9" t="s">
        <v>3100</v>
      </c>
      <c r="L9" t="s">
        <v>3101</v>
      </c>
      <c r="M9" t="s">
        <v>3240</v>
      </c>
      <c r="N9" t="s">
        <v>3241</v>
      </c>
      <c r="O9" t="s">
        <v>3242</v>
      </c>
      <c r="P9" t="s">
        <v>3243</v>
      </c>
      <c r="Q9" t="s">
        <v>3244</v>
      </c>
      <c r="R9">
        <v>21706</v>
      </c>
      <c r="S9" t="s">
        <v>3107</v>
      </c>
      <c r="T9">
        <v>4916042802020680</v>
      </c>
      <c r="U9">
        <v>824</v>
      </c>
      <c r="V9">
        <v>43191</v>
      </c>
      <c r="W9" t="s">
        <v>3245</v>
      </c>
      <c r="X9" t="s">
        <v>3246</v>
      </c>
      <c r="Y9" t="s">
        <v>3110</v>
      </c>
      <c r="Z9" t="s">
        <v>3247</v>
      </c>
      <c r="AA9" t="s">
        <v>3248</v>
      </c>
      <c r="AB9" t="s">
        <v>3249</v>
      </c>
      <c r="AC9" t="s">
        <v>3250</v>
      </c>
      <c r="AD9" t="s">
        <v>3251</v>
      </c>
      <c r="AE9">
        <v>208.6</v>
      </c>
      <c r="AF9">
        <v>94.8</v>
      </c>
      <c r="AG9" t="s">
        <v>3196</v>
      </c>
      <c r="AH9">
        <v>168</v>
      </c>
      <c r="AI9" t="s">
        <v>3252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3118</v>
      </c>
      <c r="C10" t="s">
        <v>3160</v>
      </c>
      <c r="D10" t="s">
        <v>3253</v>
      </c>
      <c r="E10" t="s">
        <v>3254</v>
      </c>
      <c r="F10" t="s">
        <v>3255</v>
      </c>
      <c r="G10" t="s">
        <v>3256</v>
      </c>
      <c r="H10" t="s">
        <v>27</v>
      </c>
      <c r="I10" t="s">
        <v>3098</v>
      </c>
      <c r="J10" t="s">
        <v>49</v>
      </c>
      <c r="K10" t="s">
        <v>3100</v>
      </c>
      <c r="L10" t="s">
        <v>3101</v>
      </c>
      <c r="M10" t="s">
        <v>3257</v>
      </c>
      <c r="N10" t="s">
        <v>3258</v>
      </c>
      <c r="O10" t="s">
        <v>3259</v>
      </c>
      <c r="P10" t="s">
        <v>3260</v>
      </c>
      <c r="Q10" t="s">
        <v>3261</v>
      </c>
      <c r="R10">
        <v>26934</v>
      </c>
      <c r="S10" t="s">
        <v>3130</v>
      </c>
      <c r="T10">
        <v>5501171180516120</v>
      </c>
      <c r="U10">
        <v>426</v>
      </c>
      <c r="V10">
        <v>43070</v>
      </c>
      <c r="W10" t="s">
        <v>3262</v>
      </c>
      <c r="X10" t="s">
        <v>3263</v>
      </c>
      <c r="Y10" t="s">
        <v>3264</v>
      </c>
      <c r="Z10" t="s">
        <v>3265</v>
      </c>
      <c r="AA10" t="s">
        <v>3266</v>
      </c>
      <c r="AB10" t="s">
        <v>3267</v>
      </c>
      <c r="AC10" t="s">
        <v>3268</v>
      </c>
      <c r="AD10" t="s">
        <v>3157</v>
      </c>
      <c r="AE10">
        <v>225.1</v>
      </c>
      <c r="AF10">
        <v>102.3</v>
      </c>
      <c r="AG10" t="s">
        <v>3269</v>
      </c>
      <c r="AH10">
        <v>173</v>
      </c>
      <c r="AI10" t="s">
        <v>3270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3092</v>
      </c>
      <c r="C11" t="s">
        <v>3093</v>
      </c>
      <c r="D11" t="s">
        <v>3271</v>
      </c>
      <c r="E11" t="s">
        <v>397</v>
      </c>
      <c r="F11" t="s">
        <v>3272</v>
      </c>
      <c r="G11" t="s">
        <v>3273</v>
      </c>
      <c r="H11" t="s">
        <v>3274</v>
      </c>
      <c r="I11" t="s">
        <v>3098</v>
      </c>
      <c r="J11" t="s">
        <v>3275</v>
      </c>
      <c r="K11" t="s">
        <v>3100</v>
      </c>
      <c r="L11" t="s">
        <v>3101</v>
      </c>
      <c r="M11" t="s">
        <v>3276</v>
      </c>
      <c r="N11" t="s">
        <v>3277</v>
      </c>
      <c r="O11" t="s">
        <v>3278</v>
      </c>
      <c r="P11" t="s">
        <v>3279</v>
      </c>
      <c r="Q11" t="s">
        <v>3280</v>
      </c>
      <c r="R11">
        <v>21621</v>
      </c>
      <c r="S11" t="s">
        <v>3130</v>
      </c>
      <c r="T11">
        <v>5176627530133580</v>
      </c>
      <c r="U11">
        <v>969</v>
      </c>
      <c r="V11">
        <v>43770</v>
      </c>
      <c r="W11" t="s">
        <v>3281</v>
      </c>
      <c r="X11" t="s">
        <v>3282</v>
      </c>
      <c r="Y11" t="s">
        <v>3110</v>
      </c>
      <c r="Z11" t="s">
        <v>3283</v>
      </c>
      <c r="AA11" t="s">
        <v>3284</v>
      </c>
      <c r="AB11" t="s">
        <v>3285</v>
      </c>
      <c r="AC11" t="s">
        <v>3286</v>
      </c>
      <c r="AD11" t="s">
        <v>3251</v>
      </c>
      <c r="AE11">
        <v>250.4</v>
      </c>
      <c r="AF11">
        <v>113.8</v>
      </c>
      <c r="AG11" t="s">
        <v>3287</v>
      </c>
      <c r="AH11">
        <v>184</v>
      </c>
      <c r="AI11" t="s">
        <v>3288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3118</v>
      </c>
      <c r="C12" t="s">
        <v>3119</v>
      </c>
      <c r="D12" t="s">
        <v>3289</v>
      </c>
      <c r="E12" t="s">
        <v>3254</v>
      </c>
      <c r="F12" t="s">
        <v>3290</v>
      </c>
      <c r="G12" t="s">
        <v>3291</v>
      </c>
      <c r="H12" t="s">
        <v>3292</v>
      </c>
      <c r="I12" t="s">
        <v>3098</v>
      </c>
      <c r="J12" t="s">
        <v>3293</v>
      </c>
      <c r="K12" t="s">
        <v>3100</v>
      </c>
      <c r="L12" t="s">
        <v>3101</v>
      </c>
      <c r="M12" t="s">
        <v>3294</v>
      </c>
      <c r="N12" t="s">
        <v>3295</v>
      </c>
      <c r="O12" t="s">
        <v>3296</v>
      </c>
      <c r="P12" t="s">
        <v>3297</v>
      </c>
      <c r="Q12" t="s">
        <v>3298</v>
      </c>
      <c r="R12">
        <v>14587</v>
      </c>
      <c r="S12" t="s">
        <v>3130</v>
      </c>
      <c r="T12">
        <v>5500353859563750</v>
      </c>
      <c r="U12">
        <v>575</v>
      </c>
      <c r="V12">
        <v>43282</v>
      </c>
      <c r="W12" t="s">
        <v>3299</v>
      </c>
      <c r="X12" t="s">
        <v>3300</v>
      </c>
      <c r="Y12" t="s">
        <v>3172</v>
      </c>
      <c r="Z12" t="s">
        <v>3301</v>
      </c>
      <c r="AA12" t="s">
        <v>3302</v>
      </c>
      <c r="AB12" t="s">
        <v>3303</v>
      </c>
      <c r="AC12" t="s">
        <v>3304</v>
      </c>
      <c r="AD12" t="s">
        <v>3195</v>
      </c>
      <c r="AE12">
        <v>214.5</v>
      </c>
      <c r="AF12">
        <v>97.5</v>
      </c>
      <c r="AG12" t="s">
        <v>3305</v>
      </c>
      <c r="AH12">
        <v>170</v>
      </c>
      <c r="AI12" t="s">
        <v>3306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3092</v>
      </c>
      <c r="C13" t="s">
        <v>3093</v>
      </c>
      <c r="D13" t="s">
        <v>3307</v>
      </c>
      <c r="E13" t="s">
        <v>397</v>
      </c>
      <c r="F13" t="s">
        <v>3308</v>
      </c>
      <c r="G13" t="s">
        <v>3309</v>
      </c>
      <c r="H13" t="s">
        <v>3310</v>
      </c>
      <c r="I13" t="s">
        <v>3098</v>
      </c>
      <c r="J13" t="s">
        <v>3311</v>
      </c>
      <c r="K13" t="s">
        <v>3100</v>
      </c>
      <c r="L13" t="s">
        <v>3101</v>
      </c>
      <c r="M13" t="s">
        <v>3312</v>
      </c>
      <c r="N13" t="s">
        <v>3313</v>
      </c>
      <c r="O13" t="s">
        <v>3314</v>
      </c>
      <c r="P13" t="s">
        <v>3315</v>
      </c>
      <c r="Q13" t="s">
        <v>3316</v>
      </c>
      <c r="R13">
        <v>34450</v>
      </c>
      <c r="S13" t="s">
        <v>3107</v>
      </c>
      <c r="T13">
        <v>4556389088802860</v>
      </c>
      <c r="U13">
        <v>478</v>
      </c>
      <c r="V13">
        <v>43800</v>
      </c>
      <c r="W13" t="s">
        <v>3317</v>
      </c>
      <c r="X13" t="s">
        <v>3318</v>
      </c>
      <c r="Y13" t="s">
        <v>3319</v>
      </c>
      <c r="Z13" t="s">
        <v>3320</v>
      </c>
      <c r="AA13" t="s">
        <v>3321</v>
      </c>
      <c r="AB13" t="s">
        <v>3322</v>
      </c>
      <c r="AC13" t="s">
        <v>3323</v>
      </c>
      <c r="AD13" t="s">
        <v>3195</v>
      </c>
      <c r="AE13">
        <v>151.6</v>
      </c>
      <c r="AF13">
        <v>68.900000000000006</v>
      </c>
      <c r="AG13" t="s">
        <v>3305</v>
      </c>
      <c r="AH13">
        <v>171</v>
      </c>
      <c r="AI13" t="s">
        <v>3324</v>
      </c>
      <c r="AJ13">
        <v>50.251697</v>
      </c>
      <c r="AK13">
        <v>-125.976403</v>
      </c>
    </row>
    <row r="14" spans="1:37" x14ac:dyDescent="0.3">
      <c r="A14">
        <v>77</v>
      </c>
      <c r="B14" t="s">
        <v>3118</v>
      </c>
      <c r="C14" t="s">
        <v>3119</v>
      </c>
      <c r="D14" t="s">
        <v>3325</v>
      </c>
      <c r="E14" t="s">
        <v>398</v>
      </c>
      <c r="F14" t="s">
        <v>3236</v>
      </c>
      <c r="G14" t="s">
        <v>3326</v>
      </c>
      <c r="H14" t="s">
        <v>3327</v>
      </c>
      <c r="I14" t="s">
        <v>3098</v>
      </c>
      <c r="J14" t="s">
        <v>3328</v>
      </c>
      <c r="K14" t="s">
        <v>3100</v>
      </c>
      <c r="L14" t="s">
        <v>3101</v>
      </c>
      <c r="M14" t="s">
        <v>3329</v>
      </c>
      <c r="N14" t="s">
        <v>3330</v>
      </c>
      <c r="O14" t="s">
        <v>3331</v>
      </c>
      <c r="P14" t="s">
        <v>3332</v>
      </c>
      <c r="Q14" t="s">
        <v>3333</v>
      </c>
      <c r="R14">
        <v>28007</v>
      </c>
      <c r="S14" t="s">
        <v>3130</v>
      </c>
      <c r="T14">
        <v>5170234964930250</v>
      </c>
      <c r="U14">
        <v>183</v>
      </c>
      <c r="V14">
        <v>42767</v>
      </c>
      <c r="W14" t="s">
        <v>3334</v>
      </c>
      <c r="X14" t="s">
        <v>3335</v>
      </c>
      <c r="Y14" t="s">
        <v>3172</v>
      </c>
      <c r="Z14" t="s">
        <v>3336</v>
      </c>
      <c r="AA14" t="s">
        <v>3337</v>
      </c>
      <c r="AB14" t="s">
        <v>3338</v>
      </c>
      <c r="AC14" t="s">
        <v>3339</v>
      </c>
      <c r="AD14" t="s">
        <v>3195</v>
      </c>
      <c r="AE14">
        <v>147.19999999999999</v>
      </c>
      <c r="AF14">
        <v>66.900000000000006</v>
      </c>
      <c r="AG14" t="s">
        <v>3139</v>
      </c>
      <c r="AH14">
        <v>156</v>
      </c>
      <c r="AI14" t="s">
        <v>3340</v>
      </c>
      <c r="AJ14">
        <v>49.165132</v>
      </c>
      <c r="AK14">
        <v>-122.902407</v>
      </c>
    </row>
    <row r="15" spans="1:37" x14ac:dyDescent="0.3">
      <c r="A15">
        <v>84</v>
      </c>
      <c r="B15" t="s">
        <v>3092</v>
      </c>
      <c r="C15" t="s">
        <v>3093</v>
      </c>
      <c r="D15" t="s">
        <v>3271</v>
      </c>
      <c r="E15" t="s">
        <v>398</v>
      </c>
      <c r="F15" t="s">
        <v>3341</v>
      </c>
      <c r="G15" t="s">
        <v>3342</v>
      </c>
      <c r="H15" t="s">
        <v>3343</v>
      </c>
      <c r="I15" t="s">
        <v>3098</v>
      </c>
      <c r="J15" t="s">
        <v>3344</v>
      </c>
      <c r="K15" t="s">
        <v>3100</v>
      </c>
      <c r="L15" t="s">
        <v>3101</v>
      </c>
      <c r="M15" t="s">
        <v>3345</v>
      </c>
      <c r="N15" t="s">
        <v>3346</v>
      </c>
      <c r="O15" t="s">
        <v>3347</v>
      </c>
      <c r="P15" t="s">
        <v>3348</v>
      </c>
      <c r="Q15" t="s">
        <v>3349</v>
      </c>
      <c r="R15">
        <v>29059</v>
      </c>
      <c r="S15" t="s">
        <v>3130</v>
      </c>
      <c r="T15">
        <v>5594954541519580</v>
      </c>
      <c r="U15">
        <v>375</v>
      </c>
      <c r="V15">
        <v>43252</v>
      </c>
      <c r="W15" t="s">
        <v>3350</v>
      </c>
      <c r="X15" t="s">
        <v>3351</v>
      </c>
      <c r="Y15" t="s">
        <v>3110</v>
      </c>
      <c r="Z15" t="s">
        <v>3352</v>
      </c>
      <c r="AA15" t="s">
        <v>3353</v>
      </c>
      <c r="AB15" t="s">
        <v>3354</v>
      </c>
      <c r="AC15" t="s">
        <v>3355</v>
      </c>
      <c r="AD15" t="s">
        <v>3157</v>
      </c>
      <c r="AE15">
        <v>242</v>
      </c>
      <c r="AF15">
        <v>110</v>
      </c>
      <c r="AG15" t="s">
        <v>3356</v>
      </c>
      <c r="AH15">
        <v>179</v>
      </c>
      <c r="AI15" t="s">
        <v>3357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3118</v>
      </c>
      <c r="C16" t="s">
        <v>3119</v>
      </c>
      <c r="D16" t="s">
        <v>3358</v>
      </c>
      <c r="E16" t="s">
        <v>405</v>
      </c>
      <c r="F16" t="s">
        <v>3359</v>
      </c>
      <c r="G16" t="s">
        <v>3360</v>
      </c>
      <c r="H16" t="s">
        <v>3361</v>
      </c>
      <c r="I16" t="s">
        <v>3098</v>
      </c>
      <c r="J16" t="s">
        <v>3362</v>
      </c>
      <c r="K16" t="s">
        <v>3100</v>
      </c>
      <c r="L16" t="s">
        <v>3101</v>
      </c>
      <c r="M16" t="s">
        <v>3363</v>
      </c>
      <c r="N16" t="s">
        <v>3364</v>
      </c>
      <c r="O16" t="s">
        <v>3365</v>
      </c>
      <c r="P16" t="s">
        <v>3366</v>
      </c>
      <c r="Q16" t="s">
        <v>3367</v>
      </c>
      <c r="R16">
        <v>32609</v>
      </c>
      <c r="S16" t="s">
        <v>3130</v>
      </c>
      <c r="T16">
        <v>5459277770054430</v>
      </c>
      <c r="U16">
        <v>818</v>
      </c>
      <c r="V16">
        <v>43497</v>
      </c>
      <c r="W16" t="s">
        <v>3368</v>
      </c>
      <c r="X16" t="s">
        <v>3369</v>
      </c>
      <c r="Y16" t="s">
        <v>3110</v>
      </c>
      <c r="Z16" t="s">
        <v>3370</v>
      </c>
      <c r="AA16" t="s">
        <v>3371</v>
      </c>
      <c r="AB16" t="s">
        <v>3372</v>
      </c>
      <c r="AC16" t="s">
        <v>3373</v>
      </c>
      <c r="AD16" t="s">
        <v>3195</v>
      </c>
      <c r="AE16">
        <v>159.1</v>
      </c>
      <c r="AF16">
        <v>72.3</v>
      </c>
      <c r="AG16" t="s">
        <v>3177</v>
      </c>
      <c r="AH16">
        <v>157</v>
      </c>
      <c r="AI16" t="s">
        <v>3374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3118</v>
      </c>
      <c r="C17" t="s">
        <v>3119</v>
      </c>
      <c r="D17" t="s">
        <v>3375</v>
      </c>
      <c r="E17" t="s">
        <v>3095</v>
      </c>
      <c r="F17" t="s">
        <v>3376</v>
      </c>
      <c r="G17" t="s">
        <v>3377</v>
      </c>
      <c r="H17" t="s">
        <v>26</v>
      </c>
      <c r="I17" t="s">
        <v>3098</v>
      </c>
      <c r="J17" t="s">
        <v>3378</v>
      </c>
      <c r="K17" t="s">
        <v>3100</v>
      </c>
      <c r="L17" t="s">
        <v>3101</v>
      </c>
      <c r="M17" t="s">
        <v>3379</v>
      </c>
      <c r="N17" t="s">
        <v>3380</v>
      </c>
      <c r="O17" t="s">
        <v>3381</v>
      </c>
      <c r="P17" t="s">
        <v>3382</v>
      </c>
      <c r="Q17" t="s">
        <v>3383</v>
      </c>
      <c r="R17">
        <v>14694</v>
      </c>
      <c r="S17" t="s">
        <v>3130</v>
      </c>
      <c r="T17">
        <v>5148820730421280</v>
      </c>
      <c r="U17">
        <v>682</v>
      </c>
      <c r="V17">
        <v>43556</v>
      </c>
      <c r="W17" t="s">
        <v>3384</v>
      </c>
      <c r="X17" t="s">
        <v>3385</v>
      </c>
      <c r="Y17" t="s">
        <v>3386</v>
      </c>
      <c r="Z17" t="s">
        <v>3387</v>
      </c>
      <c r="AA17" t="s">
        <v>3388</v>
      </c>
      <c r="AB17" t="s">
        <v>3389</v>
      </c>
      <c r="AC17" t="s">
        <v>3390</v>
      </c>
      <c r="AD17" t="s">
        <v>3231</v>
      </c>
      <c r="AE17">
        <v>165.9</v>
      </c>
      <c r="AF17">
        <v>75.400000000000006</v>
      </c>
      <c r="AG17" t="s">
        <v>3305</v>
      </c>
      <c r="AH17">
        <v>169</v>
      </c>
      <c r="AI17" t="s">
        <v>3391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3118</v>
      </c>
      <c r="C18" t="s">
        <v>3119</v>
      </c>
      <c r="D18" t="s">
        <v>3392</v>
      </c>
      <c r="E18" t="s">
        <v>3199</v>
      </c>
      <c r="F18" t="s">
        <v>3393</v>
      </c>
      <c r="G18" t="s">
        <v>3394</v>
      </c>
      <c r="H18" t="s">
        <v>3395</v>
      </c>
      <c r="I18" t="s">
        <v>3098</v>
      </c>
      <c r="J18" t="s">
        <v>3396</v>
      </c>
      <c r="K18" t="s">
        <v>3100</v>
      </c>
      <c r="L18" t="s">
        <v>3101</v>
      </c>
      <c r="M18" t="s">
        <v>3397</v>
      </c>
      <c r="N18" t="s">
        <v>3398</v>
      </c>
      <c r="O18" t="s">
        <v>3399</v>
      </c>
      <c r="P18" t="s">
        <v>3400</v>
      </c>
      <c r="Q18" t="s">
        <v>3401</v>
      </c>
      <c r="R18">
        <v>24451</v>
      </c>
      <c r="S18" t="s">
        <v>3107</v>
      </c>
      <c r="T18">
        <v>4716519111244180</v>
      </c>
      <c r="U18">
        <v>241</v>
      </c>
      <c r="V18">
        <v>42217</v>
      </c>
      <c r="W18" t="s">
        <v>3402</v>
      </c>
      <c r="X18" t="s">
        <v>3403</v>
      </c>
      <c r="Y18" t="s">
        <v>3110</v>
      </c>
      <c r="Z18" t="s">
        <v>3404</v>
      </c>
      <c r="AA18" t="s">
        <v>3405</v>
      </c>
      <c r="AB18" t="s">
        <v>3406</v>
      </c>
      <c r="AC18" t="s">
        <v>3407</v>
      </c>
      <c r="AD18" t="s">
        <v>3231</v>
      </c>
      <c r="AE18">
        <v>230.6</v>
      </c>
      <c r="AF18">
        <v>104.8</v>
      </c>
      <c r="AG18" t="s">
        <v>3139</v>
      </c>
      <c r="AH18">
        <v>156</v>
      </c>
      <c r="AI18" t="s">
        <v>3408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3092</v>
      </c>
      <c r="C19" t="s">
        <v>3093</v>
      </c>
      <c r="D19" t="s">
        <v>3409</v>
      </c>
      <c r="E19" t="s">
        <v>3254</v>
      </c>
      <c r="F19" t="s">
        <v>3410</v>
      </c>
      <c r="G19" t="s">
        <v>3411</v>
      </c>
      <c r="H19" t="s">
        <v>3412</v>
      </c>
      <c r="I19" t="s">
        <v>3098</v>
      </c>
      <c r="J19" t="s">
        <v>3413</v>
      </c>
      <c r="K19" t="s">
        <v>3100</v>
      </c>
      <c r="L19" t="s">
        <v>3101</v>
      </c>
      <c r="M19" t="s">
        <v>3414</v>
      </c>
      <c r="N19" t="s">
        <v>3415</v>
      </c>
      <c r="O19" t="s">
        <v>3416</v>
      </c>
      <c r="P19" t="s">
        <v>3417</v>
      </c>
      <c r="Q19" t="s">
        <v>3418</v>
      </c>
      <c r="R19">
        <v>13878</v>
      </c>
      <c r="S19" t="s">
        <v>3130</v>
      </c>
      <c r="T19">
        <v>5595899012560200</v>
      </c>
      <c r="U19">
        <v>522</v>
      </c>
      <c r="V19">
        <v>42583</v>
      </c>
      <c r="W19" t="s">
        <v>3419</v>
      </c>
      <c r="X19" t="s">
        <v>3420</v>
      </c>
      <c r="Y19" t="s">
        <v>3421</v>
      </c>
      <c r="Z19" t="s">
        <v>3422</v>
      </c>
      <c r="AA19" t="s">
        <v>3423</v>
      </c>
      <c r="AB19" t="s">
        <v>3424</v>
      </c>
      <c r="AC19" t="s">
        <v>3425</v>
      </c>
      <c r="AD19" t="s">
        <v>3157</v>
      </c>
      <c r="AE19">
        <v>143.4</v>
      </c>
      <c r="AF19">
        <v>65.2</v>
      </c>
      <c r="AG19" t="s">
        <v>3287</v>
      </c>
      <c r="AH19">
        <v>184</v>
      </c>
      <c r="AI19" t="s">
        <v>3426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3118</v>
      </c>
      <c r="C20" t="s">
        <v>3119</v>
      </c>
      <c r="D20" t="s">
        <v>3427</v>
      </c>
      <c r="E20" t="s">
        <v>3095</v>
      </c>
      <c r="F20" t="s">
        <v>3428</v>
      </c>
      <c r="G20" t="s">
        <v>3429</v>
      </c>
      <c r="H20" t="s">
        <v>3430</v>
      </c>
      <c r="I20" t="s">
        <v>3098</v>
      </c>
      <c r="J20" t="s">
        <v>3431</v>
      </c>
      <c r="K20" t="s">
        <v>3100</v>
      </c>
      <c r="L20" t="s">
        <v>3101</v>
      </c>
      <c r="M20" t="s">
        <v>3432</v>
      </c>
      <c r="N20" t="s">
        <v>3433</v>
      </c>
      <c r="O20" t="s">
        <v>3434</v>
      </c>
      <c r="P20" t="s">
        <v>3435</v>
      </c>
      <c r="Q20" t="s">
        <v>3436</v>
      </c>
      <c r="R20">
        <v>28866</v>
      </c>
      <c r="S20" t="s">
        <v>3130</v>
      </c>
      <c r="T20">
        <v>5348280404769720</v>
      </c>
      <c r="U20">
        <v>185</v>
      </c>
      <c r="V20">
        <v>42736</v>
      </c>
      <c r="W20" t="s">
        <v>3437</v>
      </c>
      <c r="X20" t="s">
        <v>3438</v>
      </c>
      <c r="Y20" t="s">
        <v>3172</v>
      </c>
      <c r="Z20" t="s">
        <v>3439</v>
      </c>
      <c r="AA20" t="s">
        <v>3440</v>
      </c>
      <c r="AB20" t="s">
        <v>3441</v>
      </c>
      <c r="AC20" t="s">
        <v>3442</v>
      </c>
      <c r="AD20" t="s">
        <v>3195</v>
      </c>
      <c r="AE20">
        <v>119.2</v>
      </c>
      <c r="AF20">
        <v>54.2</v>
      </c>
      <c r="AG20" t="s">
        <v>3196</v>
      </c>
      <c r="AH20">
        <v>168</v>
      </c>
      <c r="AI20" t="s">
        <v>3443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3118</v>
      </c>
      <c r="C21" t="s">
        <v>3160</v>
      </c>
      <c r="D21" t="s">
        <v>3444</v>
      </c>
      <c r="E21" t="s">
        <v>405</v>
      </c>
      <c r="F21" t="s">
        <v>3445</v>
      </c>
      <c r="G21" t="s">
        <v>3446</v>
      </c>
      <c r="H21" t="s">
        <v>3447</v>
      </c>
      <c r="I21" t="s">
        <v>3098</v>
      </c>
      <c r="J21" t="s">
        <v>3448</v>
      </c>
      <c r="K21" t="s">
        <v>3100</v>
      </c>
      <c r="L21" t="s">
        <v>3101</v>
      </c>
      <c r="M21" t="s">
        <v>3449</v>
      </c>
      <c r="N21" t="s">
        <v>3450</v>
      </c>
      <c r="O21" t="s">
        <v>3451</v>
      </c>
      <c r="P21" t="s">
        <v>3452</v>
      </c>
      <c r="Q21" t="s">
        <v>3453</v>
      </c>
      <c r="R21">
        <v>15636</v>
      </c>
      <c r="S21" t="s">
        <v>3107</v>
      </c>
      <c r="T21">
        <v>4916000920276210</v>
      </c>
      <c r="U21">
        <v>954</v>
      </c>
      <c r="V21">
        <v>42186</v>
      </c>
      <c r="W21" t="s">
        <v>3454</v>
      </c>
      <c r="X21" t="s">
        <v>3455</v>
      </c>
      <c r="Y21" t="s">
        <v>3169</v>
      </c>
      <c r="Z21" t="s">
        <v>3456</v>
      </c>
      <c r="AA21" t="s">
        <v>3457</v>
      </c>
      <c r="AB21" t="s">
        <v>3458</v>
      </c>
      <c r="AC21" t="s">
        <v>3459</v>
      </c>
      <c r="AD21" t="s">
        <v>3251</v>
      </c>
      <c r="AE21">
        <v>218.7</v>
      </c>
      <c r="AF21">
        <v>99.4</v>
      </c>
      <c r="AG21" t="s">
        <v>3232</v>
      </c>
      <c r="AH21">
        <v>166</v>
      </c>
      <c r="AI21" t="s">
        <v>3460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3092</v>
      </c>
      <c r="C22" t="s">
        <v>3093</v>
      </c>
      <c r="D22" t="s">
        <v>3461</v>
      </c>
      <c r="E22" t="s">
        <v>3462</v>
      </c>
      <c r="F22" t="s">
        <v>3463</v>
      </c>
      <c r="G22" t="s">
        <v>3464</v>
      </c>
      <c r="H22" t="s">
        <v>2</v>
      </c>
      <c r="I22" t="s">
        <v>3098</v>
      </c>
      <c r="J22" t="s">
        <v>3465</v>
      </c>
      <c r="K22" t="s">
        <v>3100</v>
      </c>
      <c r="L22" t="s">
        <v>3101</v>
      </c>
      <c r="M22" t="s">
        <v>3466</v>
      </c>
      <c r="N22" t="s">
        <v>3467</v>
      </c>
      <c r="O22" t="s">
        <v>3468</v>
      </c>
      <c r="P22" t="s">
        <v>3469</v>
      </c>
      <c r="Q22" t="s">
        <v>3470</v>
      </c>
      <c r="R22">
        <v>27939</v>
      </c>
      <c r="S22" t="s">
        <v>3107</v>
      </c>
      <c r="T22">
        <v>4485383240077990</v>
      </c>
      <c r="U22">
        <v>469</v>
      </c>
      <c r="V22">
        <v>43252</v>
      </c>
      <c r="W22" t="s">
        <v>3471</v>
      </c>
      <c r="X22" t="s">
        <v>3472</v>
      </c>
      <c r="Y22" t="s">
        <v>3110</v>
      </c>
      <c r="Z22" t="s">
        <v>3473</v>
      </c>
      <c r="AA22" t="s">
        <v>3474</v>
      </c>
      <c r="AB22" t="s">
        <v>3475</v>
      </c>
      <c r="AC22" t="s">
        <v>3476</v>
      </c>
      <c r="AD22" t="s">
        <v>3195</v>
      </c>
      <c r="AE22">
        <v>172.7</v>
      </c>
      <c r="AF22">
        <v>78.5</v>
      </c>
      <c r="AG22" t="s">
        <v>3287</v>
      </c>
      <c r="AH22">
        <v>183</v>
      </c>
      <c r="AI22" t="s">
        <v>3477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3092</v>
      </c>
      <c r="C23" t="s">
        <v>3093</v>
      </c>
      <c r="D23" t="s">
        <v>3478</v>
      </c>
      <c r="E23" t="s">
        <v>3095</v>
      </c>
      <c r="F23" t="s">
        <v>3479</v>
      </c>
      <c r="G23" t="s">
        <v>3480</v>
      </c>
      <c r="H23" t="s">
        <v>26</v>
      </c>
      <c r="I23" t="s">
        <v>3098</v>
      </c>
      <c r="J23" t="s">
        <v>3481</v>
      </c>
      <c r="K23" t="s">
        <v>3100</v>
      </c>
      <c r="L23" t="s">
        <v>3101</v>
      </c>
      <c r="M23" t="s">
        <v>3482</v>
      </c>
      <c r="N23" t="s">
        <v>3483</v>
      </c>
      <c r="O23" t="s">
        <v>3484</v>
      </c>
      <c r="P23" t="s">
        <v>3485</v>
      </c>
      <c r="Q23" t="s">
        <v>3486</v>
      </c>
      <c r="R23">
        <v>25504</v>
      </c>
      <c r="S23" t="s">
        <v>3107</v>
      </c>
      <c r="T23">
        <v>4556480944029910</v>
      </c>
      <c r="U23">
        <v>823</v>
      </c>
      <c r="V23">
        <v>43282</v>
      </c>
      <c r="W23" t="s">
        <v>3487</v>
      </c>
      <c r="X23" t="s">
        <v>3488</v>
      </c>
      <c r="Y23" t="s">
        <v>3319</v>
      </c>
      <c r="Z23" t="s">
        <v>3489</v>
      </c>
      <c r="AA23" t="s">
        <v>3490</v>
      </c>
      <c r="AB23" t="s">
        <v>3491</v>
      </c>
      <c r="AC23" t="s">
        <v>3492</v>
      </c>
      <c r="AD23" t="s">
        <v>3157</v>
      </c>
      <c r="AE23">
        <v>218.2</v>
      </c>
      <c r="AF23">
        <v>99.2</v>
      </c>
      <c r="AG23" t="s">
        <v>3158</v>
      </c>
      <c r="AH23">
        <v>174</v>
      </c>
      <c r="AI23" t="s">
        <v>3493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3092</v>
      </c>
      <c r="C24" t="s">
        <v>3093</v>
      </c>
      <c r="D24" t="s">
        <v>3494</v>
      </c>
      <c r="E24" t="s">
        <v>398</v>
      </c>
      <c r="F24" t="s">
        <v>3495</v>
      </c>
      <c r="G24" t="s">
        <v>3496</v>
      </c>
      <c r="H24" t="s">
        <v>3497</v>
      </c>
      <c r="I24" t="s">
        <v>3098</v>
      </c>
      <c r="J24" t="s">
        <v>3498</v>
      </c>
      <c r="K24" t="s">
        <v>3100</v>
      </c>
      <c r="L24" t="s">
        <v>3101</v>
      </c>
      <c r="M24" t="s">
        <v>3499</v>
      </c>
      <c r="N24" t="s">
        <v>3500</v>
      </c>
      <c r="O24" t="s">
        <v>3501</v>
      </c>
      <c r="P24" t="s">
        <v>3502</v>
      </c>
      <c r="Q24" t="s">
        <v>3503</v>
      </c>
      <c r="R24">
        <v>16369</v>
      </c>
      <c r="S24" t="s">
        <v>3107</v>
      </c>
      <c r="T24">
        <v>4556750362977860</v>
      </c>
      <c r="U24">
        <v>541</v>
      </c>
      <c r="V24">
        <v>43132</v>
      </c>
      <c r="W24" t="s">
        <v>3504</v>
      </c>
      <c r="X24" t="s">
        <v>3505</v>
      </c>
      <c r="Y24" t="s">
        <v>3110</v>
      </c>
      <c r="Z24" t="s">
        <v>3506</v>
      </c>
      <c r="AA24" t="s">
        <v>3507</v>
      </c>
      <c r="AB24" t="s">
        <v>3508</v>
      </c>
      <c r="AC24" t="s">
        <v>3509</v>
      </c>
      <c r="AD24" t="s">
        <v>3195</v>
      </c>
      <c r="AE24">
        <v>165.2</v>
      </c>
      <c r="AF24">
        <v>75.099999999999994</v>
      </c>
      <c r="AG24" t="s">
        <v>3305</v>
      </c>
      <c r="AH24">
        <v>171</v>
      </c>
      <c r="AI24" t="s">
        <v>3510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3092</v>
      </c>
      <c r="C25" t="s">
        <v>3093</v>
      </c>
      <c r="D25" t="s">
        <v>3511</v>
      </c>
      <c r="E25" t="s">
        <v>3199</v>
      </c>
      <c r="F25" t="s">
        <v>3512</v>
      </c>
      <c r="G25" t="s">
        <v>3513</v>
      </c>
      <c r="H25" t="s">
        <v>3343</v>
      </c>
      <c r="I25" t="s">
        <v>3098</v>
      </c>
      <c r="J25" t="s">
        <v>3344</v>
      </c>
      <c r="K25" t="s">
        <v>3100</v>
      </c>
      <c r="L25" t="s">
        <v>3101</v>
      </c>
      <c r="M25" t="s">
        <v>3514</v>
      </c>
      <c r="N25" t="s">
        <v>3515</v>
      </c>
      <c r="O25" t="s">
        <v>3516</v>
      </c>
      <c r="P25" t="s">
        <v>3517</v>
      </c>
      <c r="Q25" t="s">
        <v>3518</v>
      </c>
      <c r="R25">
        <v>18976</v>
      </c>
      <c r="S25" t="s">
        <v>3107</v>
      </c>
      <c r="T25">
        <v>4716000272431220</v>
      </c>
      <c r="U25">
        <v>40</v>
      </c>
      <c r="V25">
        <v>43009</v>
      </c>
      <c r="W25" t="s">
        <v>3519</v>
      </c>
      <c r="X25" t="s">
        <v>3520</v>
      </c>
      <c r="Y25" t="s">
        <v>3110</v>
      </c>
      <c r="Z25" t="s">
        <v>3521</v>
      </c>
      <c r="AA25" t="s">
        <v>3522</v>
      </c>
      <c r="AB25" t="s">
        <v>3523</v>
      </c>
      <c r="AC25" t="s">
        <v>3524</v>
      </c>
      <c r="AD25" t="s">
        <v>3157</v>
      </c>
      <c r="AE25">
        <v>193.6</v>
      </c>
      <c r="AF25">
        <v>88</v>
      </c>
      <c r="AG25" t="s">
        <v>3116</v>
      </c>
      <c r="AH25">
        <v>185</v>
      </c>
      <c r="AI25" t="s">
        <v>3525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3092</v>
      </c>
      <c r="C26" t="s">
        <v>3093</v>
      </c>
      <c r="D26" t="s">
        <v>3526</v>
      </c>
      <c r="E26" t="s">
        <v>173</v>
      </c>
      <c r="F26" t="s">
        <v>3527</v>
      </c>
      <c r="G26" t="s">
        <v>3528</v>
      </c>
      <c r="H26" t="s">
        <v>3529</v>
      </c>
      <c r="I26" t="s">
        <v>3098</v>
      </c>
      <c r="J26" t="s">
        <v>3530</v>
      </c>
      <c r="K26" t="s">
        <v>3100</v>
      </c>
      <c r="L26" t="s">
        <v>3101</v>
      </c>
      <c r="M26" t="s">
        <v>3531</v>
      </c>
      <c r="N26" t="s">
        <v>3532</v>
      </c>
      <c r="O26" t="s">
        <v>3533</v>
      </c>
      <c r="P26" t="s">
        <v>3534</v>
      </c>
      <c r="Q26" t="s">
        <v>3418</v>
      </c>
      <c r="R26">
        <v>30596</v>
      </c>
      <c r="S26" t="s">
        <v>3107</v>
      </c>
      <c r="T26">
        <v>4716004125537570</v>
      </c>
      <c r="U26">
        <v>172</v>
      </c>
      <c r="V26">
        <v>43191</v>
      </c>
      <c r="W26" t="s">
        <v>3535</v>
      </c>
      <c r="X26" t="s">
        <v>3536</v>
      </c>
      <c r="Y26" t="s">
        <v>3110</v>
      </c>
      <c r="Z26" t="s">
        <v>3537</v>
      </c>
      <c r="AA26" t="s">
        <v>3538</v>
      </c>
      <c r="AB26" t="s">
        <v>3539</v>
      </c>
      <c r="AC26" t="s">
        <v>3540</v>
      </c>
      <c r="AD26" t="s">
        <v>3251</v>
      </c>
      <c r="AE26">
        <v>228.1</v>
      </c>
      <c r="AF26">
        <v>103.7</v>
      </c>
      <c r="AG26" t="s">
        <v>3541</v>
      </c>
      <c r="AH26">
        <v>180</v>
      </c>
      <c r="AI26" t="s">
        <v>3542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3092</v>
      </c>
      <c r="C27" t="s">
        <v>3093</v>
      </c>
      <c r="D27" t="s">
        <v>3543</v>
      </c>
      <c r="E27" t="s">
        <v>204</v>
      </c>
      <c r="F27" t="s">
        <v>3544</v>
      </c>
      <c r="G27" t="s">
        <v>3545</v>
      </c>
      <c r="H27" t="s">
        <v>2</v>
      </c>
      <c r="I27" t="s">
        <v>3098</v>
      </c>
      <c r="J27" t="s">
        <v>3164</v>
      </c>
      <c r="K27" t="s">
        <v>3100</v>
      </c>
      <c r="L27" t="s">
        <v>3101</v>
      </c>
      <c r="M27" t="s">
        <v>3546</v>
      </c>
      <c r="N27" t="s">
        <v>3547</v>
      </c>
      <c r="O27" t="s">
        <v>3548</v>
      </c>
      <c r="P27" t="s">
        <v>3549</v>
      </c>
      <c r="Q27" t="s">
        <v>3550</v>
      </c>
      <c r="R27">
        <v>23632</v>
      </c>
      <c r="S27" t="s">
        <v>3130</v>
      </c>
      <c r="T27">
        <v>5577577944947570</v>
      </c>
      <c r="U27">
        <v>364</v>
      </c>
      <c r="V27">
        <v>42614</v>
      </c>
      <c r="W27" t="s">
        <v>3551</v>
      </c>
      <c r="X27" t="s">
        <v>3552</v>
      </c>
      <c r="Y27" t="s">
        <v>3110</v>
      </c>
      <c r="Z27" t="s">
        <v>3553</v>
      </c>
      <c r="AA27" t="s">
        <v>3554</v>
      </c>
      <c r="AB27" t="s">
        <v>3555</v>
      </c>
      <c r="AC27" t="s">
        <v>3556</v>
      </c>
      <c r="AD27" t="s">
        <v>3251</v>
      </c>
      <c r="AE27">
        <v>150.9</v>
      </c>
      <c r="AF27">
        <v>68.599999999999994</v>
      </c>
      <c r="AG27" t="s">
        <v>3116</v>
      </c>
      <c r="AH27">
        <v>185</v>
      </c>
      <c r="AI27" t="s">
        <v>3557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3092</v>
      </c>
      <c r="C28" t="s">
        <v>3093</v>
      </c>
      <c r="D28" t="s">
        <v>3558</v>
      </c>
      <c r="E28" t="s">
        <v>397</v>
      </c>
      <c r="F28" t="s">
        <v>3559</v>
      </c>
      <c r="G28" t="s">
        <v>3560</v>
      </c>
      <c r="H28" t="s">
        <v>27</v>
      </c>
      <c r="I28" t="s">
        <v>3098</v>
      </c>
      <c r="J28" t="s">
        <v>3219</v>
      </c>
      <c r="K28" t="s">
        <v>3100</v>
      </c>
      <c r="L28" t="s">
        <v>3101</v>
      </c>
      <c r="M28" t="s">
        <v>3561</v>
      </c>
      <c r="N28" t="s">
        <v>3562</v>
      </c>
      <c r="O28" t="s">
        <v>3563</v>
      </c>
      <c r="P28" t="s">
        <v>3564</v>
      </c>
      <c r="Q28" t="s">
        <v>3565</v>
      </c>
      <c r="R28">
        <v>33071</v>
      </c>
      <c r="S28" t="s">
        <v>3130</v>
      </c>
      <c r="T28">
        <v>5291426038920880</v>
      </c>
      <c r="U28">
        <v>479</v>
      </c>
      <c r="V28">
        <v>42186</v>
      </c>
      <c r="W28" t="s">
        <v>3566</v>
      </c>
      <c r="X28" t="s">
        <v>3567</v>
      </c>
      <c r="Y28" t="s">
        <v>3133</v>
      </c>
      <c r="Z28" t="s">
        <v>3568</v>
      </c>
      <c r="AA28" t="s">
        <v>3569</v>
      </c>
      <c r="AB28" t="s">
        <v>3570</v>
      </c>
      <c r="AC28" t="s">
        <v>3571</v>
      </c>
      <c r="AD28" t="s">
        <v>3251</v>
      </c>
      <c r="AE28">
        <v>125.8</v>
      </c>
      <c r="AF28">
        <v>57.2</v>
      </c>
      <c r="AG28" t="s">
        <v>3572</v>
      </c>
      <c r="AH28">
        <v>189</v>
      </c>
      <c r="AI28" t="s">
        <v>3573</v>
      </c>
      <c r="AJ28">
        <v>49.203986</v>
      </c>
      <c r="AK28">
        <v>-123.160493</v>
      </c>
    </row>
    <row r="29" spans="1:37" x14ac:dyDescent="0.3">
      <c r="A29">
        <v>165</v>
      </c>
      <c r="B29" t="s">
        <v>3118</v>
      </c>
      <c r="C29" t="s">
        <v>3119</v>
      </c>
      <c r="D29" t="s">
        <v>3574</v>
      </c>
      <c r="E29" t="s">
        <v>3575</v>
      </c>
      <c r="F29" t="s">
        <v>3576</v>
      </c>
      <c r="G29" t="s">
        <v>3577</v>
      </c>
      <c r="H29" t="s">
        <v>3497</v>
      </c>
      <c r="I29" t="s">
        <v>3098</v>
      </c>
      <c r="J29" t="s">
        <v>3498</v>
      </c>
      <c r="K29" t="s">
        <v>3100</v>
      </c>
      <c r="L29" t="s">
        <v>3101</v>
      </c>
      <c r="M29" t="s">
        <v>3578</v>
      </c>
      <c r="N29" t="s">
        <v>3579</v>
      </c>
      <c r="O29" t="s">
        <v>3580</v>
      </c>
      <c r="P29" t="s">
        <v>3581</v>
      </c>
      <c r="Q29" t="s">
        <v>3582</v>
      </c>
      <c r="R29">
        <v>14021</v>
      </c>
      <c r="S29" t="s">
        <v>3130</v>
      </c>
      <c r="T29">
        <v>5397871196298130</v>
      </c>
      <c r="U29">
        <v>804</v>
      </c>
      <c r="V29">
        <v>43313</v>
      </c>
      <c r="W29" t="s">
        <v>3583</v>
      </c>
      <c r="X29" t="s">
        <v>3584</v>
      </c>
      <c r="Y29" t="s">
        <v>3172</v>
      </c>
      <c r="Z29" t="s">
        <v>3585</v>
      </c>
      <c r="AA29" t="s">
        <v>3586</v>
      </c>
      <c r="AB29" t="s">
        <v>3587</v>
      </c>
      <c r="AC29" t="s">
        <v>3588</v>
      </c>
      <c r="AD29" t="s">
        <v>3157</v>
      </c>
      <c r="AE29">
        <v>167</v>
      </c>
      <c r="AF29">
        <v>75.900000000000006</v>
      </c>
      <c r="AG29" t="s">
        <v>3196</v>
      </c>
      <c r="AH29">
        <v>167</v>
      </c>
      <c r="AI29" t="s">
        <v>3589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3118</v>
      </c>
      <c r="C30" t="s">
        <v>3160</v>
      </c>
      <c r="D30" t="s">
        <v>3590</v>
      </c>
      <c r="E30" t="s">
        <v>397</v>
      </c>
      <c r="F30" t="s">
        <v>3591</v>
      </c>
      <c r="G30" t="s">
        <v>3592</v>
      </c>
      <c r="H30" t="s">
        <v>3593</v>
      </c>
      <c r="I30" t="s">
        <v>3098</v>
      </c>
      <c r="J30" t="s">
        <v>3594</v>
      </c>
      <c r="K30" t="s">
        <v>3100</v>
      </c>
      <c r="L30" t="s">
        <v>3101</v>
      </c>
      <c r="M30" t="s">
        <v>3595</v>
      </c>
      <c r="N30" t="s">
        <v>3596</v>
      </c>
      <c r="O30" t="s">
        <v>3597</v>
      </c>
      <c r="P30" t="s">
        <v>3598</v>
      </c>
      <c r="Q30" t="s">
        <v>3599</v>
      </c>
      <c r="R30">
        <v>23921</v>
      </c>
      <c r="S30" t="s">
        <v>3107</v>
      </c>
      <c r="T30">
        <v>4485146035894200</v>
      </c>
      <c r="U30">
        <v>915</v>
      </c>
      <c r="V30">
        <v>43739</v>
      </c>
      <c r="W30" t="s">
        <v>3600</v>
      </c>
      <c r="X30" t="s">
        <v>3601</v>
      </c>
      <c r="Y30" t="s">
        <v>3172</v>
      </c>
      <c r="Z30" t="s">
        <v>3602</v>
      </c>
      <c r="AA30" t="s">
        <v>3603</v>
      </c>
      <c r="AB30" t="s">
        <v>3604</v>
      </c>
      <c r="AC30" t="s">
        <v>3605</v>
      </c>
      <c r="AD30" t="s">
        <v>3251</v>
      </c>
      <c r="AE30">
        <v>226.6</v>
      </c>
      <c r="AF30">
        <v>103</v>
      </c>
      <c r="AG30" t="s">
        <v>3606</v>
      </c>
      <c r="AH30">
        <v>161</v>
      </c>
      <c r="AI30" t="s">
        <v>3607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3092</v>
      </c>
      <c r="C31" t="s">
        <v>3093</v>
      </c>
      <c r="D31" t="s">
        <v>3608</v>
      </c>
      <c r="E31" t="s">
        <v>3575</v>
      </c>
      <c r="F31" t="s">
        <v>3609</v>
      </c>
      <c r="G31" t="s">
        <v>3610</v>
      </c>
      <c r="H31" t="s">
        <v>27</v>
      </c>
      <c r="I31" t="s">
        <v>3098</v>
      </c>
      <c r="J31" t="s">
        <v>3611</v>
      </c>
      <c r="K31" t="s">
        <v>3100</v>
      </c>
      <c r="L31" t="s">
        <v>3101</v>
      </c>
      <c r="M31" t="s">
        <v>3612</v>
      </c>
      <c r="N31" t="s">
        <v>3613</v>
      </c>
      <c r="O31" t="s">
        <v>3614</v>
      </c>
      <c r="P31" t="s">
        <v>3615</v>
      </c>
      <c r="Q31" t="s">
        <v>3616</v>
      </c>
      <c r="R31">
        <v>22229</v>
      </c>
      <c r="S31" t="s">
        <v>3107</v>
      </c>
      <c r="T31">
        <v>4485957322304030</v>
      </c>
      <c r="U31">
        <v>848</v>
      </c>
      <c r="V31">
        <v>42156</v>
      </c>
      <c r="W31" t="s">
        <v>3617</v>
      </c>
      <c r="X31" t="s">
        <v>3618</v>
      </c>
      <c r="Y31" t="s">
        <v>3110</v>
      </c>
      <c r="Z31" t="s">
        <v>3619</v>
      </c>
      <c r="AA31" t="s">
        <v>3620</v>
      </c>
      <c r="AB31" t="s">
        <v>3621</v>
      </c>
      <c r="AC31" t="s">
        <v>3622</v>
      </c>
      <c r="AD31" t="s">
        <v>3195</v>
      </c>
      <c r="AE31">
        <v>141.5</v>
      </c>
      <c r="AF31">
        <v>64.3</v>
      </c>
      <c r="AG31" t="s">
        <v>3287</v>
      </c>
      <c r="AH31">
        <v>184</v>
      </c>
      <c r="AI31" t="s">
        <v>3623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3118</v>
      </c>
      <c r="C32" t="s">
        <v>3160</v>
      </c>
      <c r="D32" t="s">
        <v>3624</v>
      </c>
      <c r="E32" t="s">
        <v>3095</v>
      </c>
      <c r="F32" t="s">
        <v>3625</v>
      </c>
      <c r="G32" t="s">
        <v>3626</v>
      </c>
      <c r="H32" t="s">
        <v>27</v>
      </c>
      <c r="I32" t="s">
        <v>3098</v>
      </c>
      <c r="J32" t="s">
        <v>3611</v>
      </c>
      <c r="K32" t="s">
        <v>3100</v>
      </c>
      <c r="L32" t="s">
        <v>3101</v>
      </c>
      <c r="M32" t="s">
        <v>3627</v>
      </c>
      <c r="N32" t="s">
        <v>3628</v>
      </c>
      <c r="O32" t="s">
        <v>3629</v>
      </c>
      <c r="P32" t="s">
        <v>3630</v>
      </c>
      <c r="Q32" t="s">
        <v>3631</v>
      </c>
      <c r="R32">
        <v>32061</v>
      </c>
      <c r="S32" t="s">
        <v>3130</v>
      </c>
      <c r="T32">
        <v>5481997479252670</v>
      </c>
      <c r="U32">
        <v>22</v>
      </c>
      <c r="V32">
        <v>43647</v>
      </c>
      <c r="W32" t="s">
        <v>3632</v>
      </c>
      <c r="X32" t="s">
        <v>3633</v>
      </c>
      <c r="Y32" t="s">
        <v>3172</v>
      </c>
      <c r="Z32" t="s">
        <v>3634</v>
      </c>
      <c r="AA32" t="s">
        <v>3635</v>
      </c>
      <c r="AB32" t="s">
        <v>3636</v>
      </c>
      <c r="AC32" t="s">
        <v>3637</v>
      </c>
      <c r="AD32" t="s">
        <v>3195</v>
      </c>
      <c r="AE32">
        <v>206.6</v>
      </c>
      <c r="AF32">
        <v>93.9</v>
      </c>
      <c r="AG32" t="s">
        <v>3196</v>
      </c>
      <c r="AH32">
        <v>167</v>
      </c>
      <c r="AI32" t="s">
        <v>3638</v>
      </c>
      <c r="AJ32">
        <v>49.232858</v>
      </c>
      <c r="AK32">
        <v>-123.104597</v>
      </c>
    </row>
    <row r="33" spans="1:37" x14ac:dyDescent="0.3">
      <c r="A33">
        <v>189</v>
      </c>
      <c r="B33" t="s">
        <v>3092</v>
      </c>
      <c r="C33" t="s">
        <v>3093</v>
      </c>
      <c r="D33" t="s">
        <v>3639</v>
      </c>
      <c r="E33" t="s">
        <v>3640</v>
      </c>
      <c r="F33" t="s">
        <v>3641</v>
      </c>
      <c r="G33" t="s">
        <v>3642</v>
      </c>
      <c r="H33" t="s">
        <v>23</v>
      </c>
      <c r="I33" t="s">
        <v>3098</v>
      </c>
      <c r="J33" t="s">
        <v>3643</v>
      </c>
      <c r="K33" t="s">
        <v>3100</v>
      </c>
      <c r="L33" t="s">
        <v>3101</v>
      </c>
      <c r="M33" t="s">
        <v>3644</v>
      </c>
      <c r="N33" t="s">
        <v>3645</v>
      </c>
      <c r="O33" t="s">
        <v>3646</v>
      </c>
      <c r="P33" t="s">
        <v>3647</v>
      </c>
      <c r="Q33" t="s">
        <v>3648</v>
      </c>
      <c r="R33">
        <v>22315</v>
      </c>
      <c r="S33" t="s">
        <v>3130</v>
      </c>
      <c r="T33">
        <v>5473336963531560</v>
      </c>
      <c r="U33">
        <v>284</v>
      </c>
      <c r="V33">
        <v>43709</v>
      </c>
      <c r="W33" t="s">
        <v>3649</v>
      </c>
      <c r="X33" t="s">
        <v>3650</v>
      </c>
      <c r="Y33" t="s">
        <v>3110</v>
      </c>
      <c r="Z33" t="s">
        <v>3651</v>
      </c>
      <c r="AA33" t="s">
        <v>3652</v>
      </c>
      <c r="AB33" t="s">
        <v>3653</v>
      </c>
      <c r="AC33" t="s">
        <v>3654</v>
      </c>
      <c r="AD33" t="s">
        <v>3195</v>
      </c>
      <c r="AE33">
        <v>203.1</v>
      </c>
      <c r="AF33">
        <v>92.3</v>
      </c>
      <c r="AG33" t="s">
        <v>3196</v>
      </c>
      <c r="AH33">
        <v>168</v>
      </c>
      <c r="AI33" t="s">
        <v>3655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3118</v>
      </c>
      <c r="C34" t="s">
        <v>3119</v>
      </c>
      <c r="D34" t="s">
        <v>3656</v>
      </c>
      <c r="E34" t="s">
        <v>3657</v>
      </c>
      <c r="F34" t="s">
        <v>3658</v>
      </c>
      <c r="G34" t="s">
        <v>3659</v>
      </c>
      <c r="H34" t="s">
        <v>3660</v>
      </c>
      <c r="I34" t="s">
        <v>3098</v>
      </c>
      <c r="J34" t="s">
        <v>3661</v>
      </c>
      <c r="K34" t="s">
        <v>3100</v>
      </c>
      <c r="L34" t="s">
        <v>3101</v>
      </c>
      <c r="M34" t="s">
        <v>3662</v>
      </c>
      <c r="N34" t="s">
        <v>3663</v>
      </c>
      <c r="O34" t="s">
        <v>3664</v>
      </c>
      <c r="P34" t="s">
        <v>3665</v>
      </c>
      <c r="Q34" t="s">
        <v>3666</v>
      </c>
      <c r="R34">
        <v>27238</v>
      </c>
      <c r="S34" t="s">
        <v>3130</v>
      </c>
      <c r="T34">
        <v>5404402877243230</v>
      </c>
      <c r="U34">
        <v>725</v>
      </c>
      <c r="V34">
        <v>43191</v>
      </c>
      <c r="W34" t="s">
        <v>3667</v>
      </c>
      <c r="X34" t="s">
        <v>3668</v>
      </c>
      <c r="Y34" t="s">
        <v>3133</v>
      </c>
      <c r="Z34" t="s">
        <v>3669</v>
      </c>
      <c r="AA34" t="s">
        <v>3670</v>
      </c>
      <c r="AB34" t="s">
        <v>3671</v>
      </c>
      <c r="AC34" t="s">
        <v>3672</v>
      </c>
      <c r="AD34" t="s">
        <v>3157</v>
      </c>
      <c r="AE34">
        <v>190.1</v>
      </c>
      <c r="AF34">
        <v>86.4</v>
      </c>
      <c r="AG34" t="s">
        <v>3196</v>
      </c>
      <c r="AH34">
        <v>168</v>
      </c>
      <c r="AI34" t="s">
        <v>3673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3092</v>
      </c>
      <c r="C35" t="s">
        <v>3093</v>
      </c>
      <c r="D35" t="s">
        <v>3494</v>
      </c>
      <c r="E35" t="s">
        <v>400</v>
      </c>
      <c r="F35" t="s">
        <v>3674</v>
      </c>
      <c r="G35" t="s">
        <v>3675</v>
      </c>
      <c r="H35" t="s">
        <v>3676</v>
      </c>
      <c r="I35" t="s">
        <v>3098</v>
      </c>
      <c r="J35" t="s">
        <v>3677</v>
      </c>
      <c r="K35" t="s">
        <v>3100</v>
      </c>
      <c r="L35" t="s">
        <v>3101</v>
      </c>
      <c r="M35" t="s">
        <v>3678</v>
      </c>
      <c r="N35" t="s">
        <v>3679</v>
      </c>
      <c r="O35" t="s">
        <v>3680</v>
      </c>
      <c r="P35" t="s">
        <v>3681</v>
      </c>
      <c r="Q35" t="s">
        <v>3682</v>
      </c>
      <c r="R35">
        <v>33681</v>
      </c>
      <c r="S35" t="s">
        <v>3107</v>
      </c>
      <c r="T35">
        <v>4916099250176820</v>
      </c>
      <c r="U35">
        <v>336</v>
      </c>
      <c r="V35">
        <v>42036</v>
      </c>
      <c r="W35" t="s">
        <v>3683</v>
      </c>
      <c r="X35" t="s">
        <v>3684</v>
      </c>
      <c r="Y35" t="s">
        <v>3110</v>
      </c>
      <c r="Z35" t="s">
        <v>3685</v>
      </c>
      <c r="AA35" t="s">
        <v>3686</v>
      </c>
      <c r="AB35" t="s">
        <v>3687</v>
      </c>
      <c r="AC35" t="s">
        <v>3688</v>
      </c>
      <c r="AD35" t="s">
        <v>3157</v>
      </c>
      <c r="AE35">
        <v>174.2</v>
      </c>
      <c r="AF35">
        <v>79.2</v>
      </c>
      <c r="AG35" t="s">
        <v>3116</v>
      </c>
      <c r="AH35">
        <v>186</v>
      </c>
      <c r="AI35" t="s">
        <v>3689</v>
      </c>
      <c r="AJ35">
        <v>49.550196</v>
      </c>
      <c r="AK35">
        <v>-115.725538</v>
      </c>
    </row>
    <row r="36" spans="1:37" x14ac:dyDescent="0.3">
      <c r="A36">
        <v>202</v>
      </c>
      <c r="B36" t="s">
        <v>3118</v>
      </c>
      <c r="C36" t="s">
        <v>3160</v>
      </c>
      <c r="D36" t="s">
        <v>3690</v>
      </c>
      <c r="E36" t="s">
        <v>3095</v>
      </c>
      <c r="F36" t="s">
        <v>3691</v>
      </c>
      <c r="G36" t="s">
        <v>3692</v>
      </c>
      <c r="H36" t="s">
        <v>3693</v>
      </c>
      <c r="I36" t="s">
        <v>3098</v>
      </c>
      <c r="J36" t="s">
        <v>3694</v>
      </c>
      <c r="K36" t="s">
        <v>3100</v>
      </c>
      <c r="L36" t="s">
        <v>3101</v>
      </c>
      <c r="M36" t="s">
        <v>3695</v>
      </c>
      <c r="N36" t="s">
        <v>3696</v>
      </c>
      <c r="O36" t="s">
        <v>3697</v>
      </c>
      <c r="P36" t="s">
        <v>3698</v>
      </c>
      <c r="Q36" t="s">
        <v>3030</v>
      </c>
      <c r="R36">
        <v>21636</v>
      </c>
      <c r="S36" t="s">
        <v>3107</v>
      </c>
      <c r="T36">
        <v>4539384666188390</v>
      </c>
      <c r="U36">
        <v>727</v>
      </c>
      <c r="V36">
        <v>43040</v>
      </c>
      <c r="W36" t="s">
        <v>3699</v>
      </c>
      <c r="X36" t="s">
        <v>3700</v>
      </c>
      <c r="Y36" t="s">
        <v>3110</v>
      </c>
      <c r="Z36" t="s">
        <v>3701</v>
      </c>
      <c r="AA36" t="s">
        <v>3702</v>
      </c>
      <c r="AB36" t="s">
        <v>3703</v>
      </c>
      <c r="AC36" t="s">
        <v>3704</v>
      </c>
      <c r="AD36" t="s">
        <v>3251</v>
      </c>
      <c r="AE36">
        <v>225.7</v>
      </c>
      <c r="AF36">
        <v>102.6</v>
      </c>
      <c r="AG36" t="s">
        <v>3232</v>
      </c>
      <c r="AH36">
        <v>166</v>
      </c>
      <c r="AI36" t="s">
        <v>3705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3118</v>
      </c>
      <c r="C37" t="s">
        <v>3160</v>
      </c>
      <c r="D37" t="s">
        <v>3706</v>
      </c>
      <c r="E37" t="s">
        <v>173</v>
      </c>
      <c r="F37" t="s">
        <v>3707</v>
      </c>
      <c r="G37" t="s">
        <v>3708</v>
      </c>
      <c r="H37" t="s">
        <v>2</v>
      </c>
      <c r="I37" t="s">
        <v>3098</v>
      </c>
      <c r="J37" t="s">
        <v>3465</v>
      </c>
      <c r="K37" t="s">
        <v>3100</v>
      </c>
      <c r="L37" t="s">
        <v>3101</v>
      </c>
      <c r="M37" t="s">
        <v>3709</v>
      </c>
      <c r="N37" t="s">
        <v>3710</v>
      </c>
      <c r="O37" t="s">
        <v>3711</v>
      </c>
      <c r="P37" t="s">
        <v>3712</v>
      </c>
      <c r="Q37" t="s">
        <v>3713</v>
      </c>
      <c r="R37">
        <v>30398</v>
      </c>
      <c r="S37" t="s">
        <v>3130</v>
      </c>
      <c r="T37">
        <v>5471455017359370</v>
      </c>
      <c r="U37">
        <v>235</v>
      </c>
      <c r="V37">
        <v>43556</v>
      </c>
      <c r="W37" t="s">
        <v>3714</v>
      </c>
      <c r="X37" t="s">
        <v>3715</v>
      </c>
      <c r="Y37" t="s">
        <v>3169</v>
      </c>
      <c r="Z37" t="s">
        <v>3716</v>
      </c>
      <c r="AA37" t="s">
        <v>3717</v>
      </c>
      <c r="AB37" t="s">
        <v>3718</v>
      </c>
      <c r="AC37" t="s">
        <v>3719</v>
      </c>
      <c r="AD37" t="s">
        <v>3251</v>
      </c>
      <c r="AE37">
        <v>123</v>
      </c>
      <c r="AF37">
        <v>55.9</v>
      </c>
      <c r="AG37" t="s">
        <v>3269</v>
      </c>
      <c r="AH37">
        <v>173</v>
      </c>
      <c r="AI37" t="s">
        <v>3720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3118</v>
      </c>
      <c r="C38" t="s">
        <v>3160</v>
      </c>
      <c r="D38" t="s">
        <v>3721</v>
      </c>
      <c r="E38" t="s">
        <v>399</v>
      </c>
      <c r="F38" t="s">
        <v>3722</v>
      </c>
      <c r="G38" t="s">
        <v>3723</v>
      </c>
      <c r="H38" t="s">
        <v>27</v>
      </c>
      <c r="I38" t="s">
        <v>3098</v>
      </c>
      <c r="J38" t="s">
        <v>49</v>
      </c>
      <c r="K38" t="s">
        <v>3100</v>
      </c>
      <c r="L38" t="s">
        <v>3101</v>
      </c>
      <c r="M38" t="s">
        <v>3724</v>
      </c>
      <c r="N38" t="s">
        <v>3725</v>
      </c>
      <c r="O38" t="s">
        <v>3726</v>
      </c>
      <c r="P38" t="s">
        <v>3727</v>
      </c>
      <c r="Q38" t="s">
        <v>3728</v>
      </c>
      <c r="R38">
        <v>30670</v>
      </c>
      <c r="S38" t="s">
        <v>3107</v>
      </c>
      <c r="T38">
        <v>4929959369895440</v>
      </c>
      <c r="U38">
        <v>44</v>
      </c>
      <c r="V38">
        <v>42309</v>
      </c>
      <c r="W38" t="s">
        <v>3729</v>
      </c>
      <c r="X38" t="s">
        <v>3730</v>
      </c>
      <c r="Y38" t="s">
        <v>3133</v>
      </c>
      <c r="Z38" t="s">
        <v>3731</v>
      </c>
      <c r="AA38" t="s">
        <v>3135</v>
      </c>
      <c r="AB38" t="s">
        <v>3732</v>
      </c>
      <c r="AC38" t="s">
        <v>3733</v>
      </c>
      <c r="AD38" t="s">
        <v>3195</v>
      </c>
      <c r="AE38">
        <v>146.69999999999999</v>
      </c>
      <c r="AF38">
        <v>66.7</v>
      </c>
      <c r="AG38" t="s">
        <v>3269</v>
      </c>
      <c r="AH38">
        <v>173</v>
      </c>
      <c r="AI38" t="s">
        <v>3734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3092</v>
      </c>
      <c r="C39" t="s">
        <v>3093</v>
      </c>
      <c r="D39" t="s">
        <v>3735</v>
      </c>
      <c r="E39" t="s">
        <v>3254</v>
      </c>
      <c r="F39" t="s">
        <v>3736</v>
      </c>
      <c r="G39" t="s">
        <v>3737</v>
      </c>
      <c r="H39" t="s">
        <v>3738</v>
      </c>
      <c r="I39" t="s">
        <v>3098</v>
      </c>
      <c r="J39" t="s">
        <v>3739</v>
      </c>
      <c r="K39" t="s">
        <v>3100</v>
      </c>
      <c r="L39" t="s">
        <v>3101</v>
      </c>
      <c r="M39" t="s">
        <v>3740</v>
      </c>
      <c r="N39" t="s">
        <v>3741</v>
      </c>
      <c r="O39" t="s">
        <v>3742</v>
      </c>
      <c r="P39" t="s">
        <v>3743</v>
      </c>
      <c r="Q39" t="s">
        <v>3744</v>
      </c>
      <c r="R39">
        <v>14909</v>
      </c>
      <c r="S39" t="s">
        <v>3107</v>
      </c>
      <c r="T39">
        <v>4539726755144060</v>
      </c>
      <c r="U39">
        <v>508</v>
      </c>
      <c r="V39">
        <v>43435</v>
      </c>
      <c r="W39" t="s">
        <v>3745</v>
      </c>
      <c r="X39" t="s">
        <v>3746</v>
      </c>
      <c r="Y39" t="s">
        <v>3110</v>
      </c>
      <c r="Z39" t="s">
        <v>3747</v>
      </c>
      <c r="AA39" t="s">
        <v>3748</v>
      </c>
      <c r="AB39" t="s">
        <v>3749</v>
      </c>
      <c r="AC39" t="s">
        <v>3750</v>
      </c>
      <c r="AD39" t="s">
        <v>3195</v>
      </c>
      <c r="AE39">
        <v>143.4</v>
      </c>
      <c r="AF39">
        <v>65.2</v>
      </c>
      <c r="AG39" t="s">
        <v>3287</v>
      </c>
      <c r="AH39">
        <v>183</v>
      </c>
      <c r="AI39" t="s">
        <v>3751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3118</v>
      </c>
      <c r="C40" t="s">
        <v>3160</v>
      </c>
      <c r="D40" t="s">
        <v>3752</v>
      </c>
      <c r="E40" t="s">
        <v>3753</v>
      </c>
      <c r="F40" t="s">
        <v>3754</v>
      </c>
      <c r="G40" t="s">
        <v>3755</v>
      </c>
      <c r="H40" t="s">
        <v>2</v>
      </c>
      <c r="I40" t="s">
        <v>3098</v>
      </c>
      <c r="J40" t="s">
        <v>3756</v>
      </c>
      <c r="K40" t="s">
        <v>3100</v>
      </c>
      <c r="L40" t="s">
        <v>3101</v>
      </c>
      <c r="M40" t="s">
        <v>3757</v>
      </c>
      <c r="N40" t="s">
        <v>3758</v>
      </c>
      <c r="O40" t="s">
        <v>3759</v>
      </c>
      <c r="P40" t="s">
        <v>3760</v>
      </c>
      <c r="Q40" t="s">
        <v>3761</v>
      </c>
      <c r="R40">
        <v>24336</v>
      </c>
      <c r="S40" t="s">
        <v>3107</v>
      </c>
      <c r="T40">
        <v>4539709392003340</v>
      </c>
      <c r="U40">
        <v>813</v>
      </c>
      <c r="V40">
        <v>42491</v>
      </c>
      <c r="W40" t="s">
        <v>3762</v>
      </c>
      <c r="X40" t="s">
        <v>3763</v>
      </c>
      <c r="Y40" t="s">
        <v>3264</v>
      </c>
      <c r="Z40" t="s">
        <v>3764</v>
      </c>
      <c r="AA40" t="s">
        <v>3765</v>
      </c>
      <c r="AB40" t="s">
        <v>3766</v>
      </c>
      <c r="AC40" t="s">
        <v>3767</v>
      </c>
      <c r="AD40" t="s">
        <v>3195</v>
      </c>
      <c r="AE40">
        <v>155.30000000000001</v>
      </c>
      <c r="AF40">
        <v>70.599999999999994</v>
      </c>
      <c r="AG40" t="s">
        <v>3232</v>
      </c>
      <c r="AH40">
        <v>166</v>
      </c>
      <c r="AI40" t="s">
        <v>3768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3118</v>
      </c>
      <c r="C41" t="s">
        <v>3119</v>
      </c>
      <c r="D41" t="s">
        <v>3769</v>
      </c>
      <c r="E41" t="s">
        <v>3095</v>
      </c>
      <c r="F41" t="s">
        <v>3770</v>
      </c>
      <c r="G41" t="s">
        <v>3771</v>
      </c>
      <c r="H41" t="s">
        <v>27</v>
      </c>
      <c r="I41" t="s">
        <v>3098</v>
      </c>
      <c r="J41" t="s">
        <v>3772</v>
      </c>
      <c r="K41" t="s">
        <v>3100</v>
      </c>
      <c r="L41" t="s">
        <v>3101</v>
      </c>
      <c r="M41" t="s">
        <v>3773</v>
      </c>
      <c r="N41" t="s">
        <v>3774</v>
      </c>
      <c r="O41" t="s">
        <v>3775</v>
      </c>
      <c r="P41" t="s">
        <v>3776</v>
      </c>
      <c r="Q41" t="s">
        <v>3777</v>
      </c>
      <c r="R41">
        <v>18331</v>
      </c>
      <c r="S41" t="s">
        <v>3130</v>
      </c>
      <c r="T41">
        <v>5352392465776140</v>
      </c>
      <c r="U41">
        <v>130</v>
      </c>
      <c r="V41">
        <v>42767</v>
      </c>
      <c r="W41" t="s">
        <v>3778</v>
      </c>
      <c r="X41" t="s">
        <v>3779</v>
      </c>
      <c r="Y41" t="s">
        <v>3110</v>
      </c>
      <c r="Z41" t="s">
        <v>3780</v>
      </c>
      <c r="AA41" t="s">
        <v>3781</v>
      </c>
      <c r="AB41" t="s">
        <v>3782</v>
      </c>
      <c r="AC41" t="s">
        <v>3783</v>
      </c>
      <c r="AD41" t="s">
        <v>3251</v>
      </c>
      <c r="AE41">
        <v>216.5</v>
      </c>
      <c r="AF41">
        <v>98.4</v>
      </c>
      <c r="AG41" t="s">
        <v>3305</v>
      </c>
      <c r="AH41">
        <v>169</v>
      </c>
      <c r="AI41" t="s">
        <v>3784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3118</v>
      </c>
      <c r="C42" t="s">
        <v>3119</v>
      </c>
      <c r="D42" t="s">
        <v>3512</v>
      </c>
      <c r="E42" t="s">
        <v>3753</v>
      </c>
      <c r="F42" t="s">
        <v>3785</v>
      </c>
      <c r="G42" t="s">
        <v>3786</v>
      </c>
      <c r="H42" t="s">
        <v>3787</v>
      </c>
      <c r="I42" t="s">
        <v>3098</v>
      </c>
      <c r="J42" t="s">
        <v>3788</v>
      </c>
      <c r="K42" t="s">
        <v>3100</v>
      </c>
      <c r="L42" t="s">
        <v>3101</v>
      </c>
      <c r="M42" t="s">
        <v>3789</v>
      </c>
      <c r="N42" t="s">
        <v>3790</v>
      </c>
      <c r="O42" t="s">
        <v>3791</v>
      </c>
      <c r="P42" t="s">
        <v>3792</v>
      </c>
      <c r="Q42" t="s">
        <v>3793</v>
      </c>
      <c r="R42">
        <v>30819</v>
      </c>
      <c r="S42" t="s">
        <v>3107</v>
      </c>
      <c r="T42">
        <v>4556820375737440</v>
      </c>
      <c r="U42">
        <v>382</v>
      </c>
      <c r="V42">
        <v>42948</v>
      </c>
      <c r="W42" t="s">
        <v>3794</v>
      </c>
      <c r="X42" t="s">
        <v>3795</v>
      </c>
      <c r="Y42" t="s">
        <v>3319</v>
      </c>
      <c r="Z42" t="s">
        <v>3796</v>
      </c>
      <c r="AA42" t="s">
        <v>3797</v>
      </c>
      <c r="AB42" t="s">
        <v>3798</v>
      </c>
      <c r="AC42" t="s">
        <v>3799</v>
      </c>
      <c r="AD42" t="s">
        <v>3251</v>
      </c>
      <c r="AE42">
        <v>205.5</v>
      </c>
      <c r="AF42">
        <v>93.4</v>
      </c>
      <c r="AG42" t="s">
        <v>3196</v>
      </c>
      <c r="AH42">
        <v>168</v>
      </c>
      <c r="AI42" t="s">
        <v>3800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3092</v>
      </c>
      <c r="C43" t="s">
        <v>3093</v>
      </c>
      <c r="D43" t="s">
        <v>3801</v>
      </c>
      <c r="E43" t="s">
        <v>204</v>
      </c>
      <c r="F43" t="s">
        <v>3591</v>
      </c>
      <c r="G43" t="s">
        <v>3802</v>
      </c>
      <c r="H43" t="s">
        <v>3803</v>
      </c>
      <c r="I43" t="s">
        <v>3098</v>
      </c>
      <c r="J43" t="s">
        <v>3804</v>
      </c>
      <c r="K43" t="s">
        <v>3100</v>
      </c>
      <c r="L43" t="s">
        <v>3101</v>
      </c>
      <c r="M43" t="s">
        <v>3805</v>
      </c>
      <c r="N43" t="s">
        <v>3806</v>
      </c>
      <c r="O43" t="s">
        <v>3807</v>
      </c>
      <c r="P43" t="s">
        <v>3808</v>
      </c>
      <c r="Q43" t="s">
        <v>3809</v>
      </c>
      <c r="R43">
        <v>23701</v>
      </c>
      <c r="S43" t="s">
        <v>3107</v>
      </c>
      <c r="T43">
        <v>4916378851120780</v>
      </c>
      <c r="U43">
        <v>767</v>
      </c>
      <c r="V43">
        <v>42767</v>
      </c>
      <c r="W43" t="s">
        <v>3810</v>
      </c>
      <c r="X43" t="s">
        <v>3811</v>
      </c>
      <c r="Y43" t="s">
        <v>3319</v>
      </c>
      <c r="Z43" t="s">
        <v>3812</v>
      </c>
      <c r="AA43" t="s">
        <v>3813</v>
      </c>
      <c r="AB43" t="s">
        <v>3814</v>
      </c>
      <c r="AC43" t="s">
        <v>3815</v>
      </c>
      <c r="AD43" t="s">
        <v>3231</v>
      </c>
      <c r="AE43">
        <v>232.1</v>
      </c>
      <c r="AF43">
        <v>105.5</v>
      </c>
      <c r="AG43" t="s">
        <v>3541</v>
      </c>
      <c r="AH43">
        <v>180</v>
      </c>
      <c r="AI43" t="s">
        <v>3816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3092</v>
      </c>
      <c r="C44" t="s">
        <v>3093</v>
      </c>
      <c r="D44" t="s">
        <v>3817</v>
      </c>
      <c r="E44" t="s">
        <v>403</v>
      </c>
      <c r="F44" t="s">
        <v>3818</v>
      </c>
      <c r="G44" t="s">
        <v>3819</v>
      </c>
      <c r="H44" t="s">
        <v>3820</v>
      </c>
      <c r="I44" t="s">
        <v>3098</v>
      </c>
      <c r="J44" t="s">
        <v>3821</v>
      </c>
      <c r="K44" t="s">
        <v>3100</v>
      </c>
      <c r="L44" t="s">
        <v>3101</v>
      </c>
      <c r="M44" t="s">
        <v>3822</v>
      </c>
      <c r="N44" t="s">
        <v>3823</v>
      </c>
      <c r="O44" t="s">
        <v>3824</v>
      </c>
      <c r="P44" t="s">
        <v>3825</v>
      </c>
      <c r="Q44" t="s">
        <v>3428</v>
      </c>
      <c r="R44">
        <v>33962</v>
      </c>
      <c r="S44" t="s">
        <v>3130</v>
      </c>
      <c r="T44">
        <v>5350430634550290</v>
      </c>
      <c r="U44">
        <v>399</v>
      </c>
      <c r="V44">
        <v>42795</v>
      </c>
      <c r="W44" t="s">
        <v>3826</v>
      </c>
      <c r="X44" t="s">
        <v>3827</v>
      </c>
      <c r="Y44" t="s">
        <v>3110</v>
      </c>
      <c r="Z44" t="s">
        <v>3828</v>
      </c>
      <c r="AA44" t="s">
        <v>3829</v>
      </c>
      <c r="AB44" t="s">
        <v>3830</v>
      </c>
      <c r="AC44" t="s">
        <v>3831</v>
      </c>
      <c r="AD44" t="s">
        <v>3195</v>
      </c>
      <c r="AE44">
        <v>171.6</v>
      </c>
      <c r="AF44">
        <v>78</v>
      </c>
      <c r="AG44" t="s">
        <v>3287</v>
      </c>
      <c r="AH44">
        <v>182</v>
      </c>
      <c r="AI44" t="s">
        <v>3832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3118</v>
      </c>
      <c r="C45" t="s">
        <v>3160</v>
      </c>
      <c r="D45" t="s">
        <v>3833</v>
      </c>
      <c r="E45" t="s">
        <v>3753</v>
      </c>
      <c r="F45" t="s">
        <v>3834</v>
      </c>
      <c r="G45" t="s">
        <v>3835</v>
      </c>
      <c r="H45" t="s">
        <v>3836</v>
      </c>
      <c r="I45" t="s">
        <v>3098</v>
      </c>
      <c r="J45" t="s">
        <v>3837</v>
      </c>
      <c r="K45" t="s">
        <v>3100</v>
      </c>
      <c r="L45" t="s">
        <v>3101</v>
      </c>
      <c r="M45" t="s">
        <v>3838</v>
      </c>
      <c r="N45" t="s">
        <v>3839</v>
      </c>
      <c r="O45" t="s">
        <v>3840</v>
      </c>
      <c r="P45" t="s">
        <v>3841</v>
      </c>
      <c r="Q45" t="s">
        <v>3842</v>
      </c>
      <c r="R45">
        <v>22985</v>
      </c>
      <c r="S45" t="s">
        <v>3107</v>
      </c>
      <c r="T45">
        <v>4539916065181950</v>
      </c>
      <c r="U45">
        <v>717</v>
      </c>
      <c r="V45">
        <v>43101</v>
      </c>
      <c r="W45" t="s">
        <v>3843</v>
      </c>
      <c r="X45" t="s">
        <v>3844</v>
      </c>
      <c r="Y45" t="s">
        <v>3421</v>
      </c>
      <c r="Z45" t="s">
        <v>3845</v>
      </c>
      <c r="AA45" t="s">
        <v>3846</v>
      </c>
      <c r="AB45" t="s">
        <v>3847</v>
      </c>
      <c r="AC45" t="s">
        <v>3848</v>
      </c>
      <c r="AD45" t="s">
        <v>3195</v>
      </c>
      <c r="AE45">
        <v>171.8</v>
      </c>
      <c r="AF45">
        <v>78.099999999999994</v>
      </c>
      <c r="AG45" t="s">
        <v>3177</v>
      </c>
      <c r="AH45">
        <v>158</v>
      </c>
      <c r="AI45" t="s">
        <v>3849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3092</v>
      </c>
      <c r="C46" t="s">
        <v>3093</v>
      </c>
      <c r="D46" t="s">
        <v>3850</v>
      </c>
      <c r="E46" t="s">
        <v>3753</v>
      </c>
      <c r="F46" t="s">
        <v>3851</v>
      </c>
      <c r="G46" t="s">
        <v>3852</v>
      </c>
      <c r="H46" t="s">
        <v>2</v>
      </c>
      <c r="I46" t="s">
        <v>3098</v>
      </c>
      <c r="J46" t="s">
        <v>3853</v>
      </c>
      <c r="K46" t="s">
        <v>3100</v>
      </c>
      <c r="L46" t="s">
        <v>3101</v>
      </c>
      <c r="M46" t="s">
        <v>3854</v>
      </c>
      <c r="N46" t="s">
        <v>3855</v>
      </c>
      <c r="O46" t="s">
        <v>3856</v>
      </c>
      <c r="P46" t="s">
        <v>3857</v>
      </c>
      <c r="Q46" t="s">
        <v>3858</v>
      </c>
      <c r="R46">
        <v>31714</v>
      </c>
      <c r="S46" t="s">
        <v>3130</v>
      </c>
      <c r="T46">
        <v>5455463670396130</v>
      </c>
      <c r="U46">
        <v>263</v>
      </c>
      <c r="V46">
        <v>43374</v>
      </c>
      <c r="W46" t="s">
        <v>3859</v>
      </c>
      <c r="X46" t="s">
        <v>3860</v>
      </c>
      <c r="Y46" t="s">
        <v>3110</v>
      </c>
      <c r="Z46" t="s">
        <v>3861</v>
      </c>
      <c r="AA46" t="s">
        <v>3321</v>
      </c>
      <c r="AB46" t="s">
        <v>3862</v>
      </c>
      <c r="AC46" t="s">
        <v>3863</v>
      </c>
      <c r="AD46" t="s">
        <v>3251</v>
      </c>
      <c r="AE46">
        <v>134.19999999999999</v>
      </c>
      <c r="AF46">
        <v>61</v>
      </c>
      <c r="AG46" t="s">
        <v>3158</v>
      </c>
      <c r="AH46">
        <v>175</v>
      </c>
      <c r="AI46" t="s">
        <v>3864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3092</v>
      </c>
      <c r="C47" t="s">
        <v>3093</v>
      </c>
      <c r="D47" t="s">
        <v>3639</v>
      </c>
      <c r="E47" t="s">
        <v>173</v>
      </c>
      <c r="F47" t="s">
        <v>3865</v>
      </c>
      <c r="G47" t="s">
        <v>3866</v>
      </c>
      <c r="H47" t="s">
        <v>3867</v>
      </c>
      <c r="I47" t="s">
        <v>3098</v>
      </c>
      <c r="J47" t="s">
        <v>3868</v>
      </c>
      <c r="K47" t="s">
        <v>3100</v>
      </c>
      <c r="L47" t="s">
        <v>3101</v>
      </c>
      <c r="M47" t="s">
        <v>3869</v>
      </c>
      <c r="N47" t="s">
        <v>3870</v>
      </c>
      <c r="O47" t="s">
        <v>3871</v>
      </c>
      <c r="P47" t="s">
        <v>3872</v>
      </c>
      <c r="Q47" t="s">
        <v>3873</v>
      </c>
      <c r="R47">
        <v>33486</v>
      </c>
      <c r="S47" t="s">
        <v>3107</v>
      </c>
      <c r="T47">
        <v>4929162087842670</v>
      </c>
      <c r="U47">
        <v>507</v>
      </c>
      <c r="V47">
        <v>42583</v>
      </c>
      <c r="W47" t="s">
        <v>3874</v>
      </c>
      <c r="X47" t="s">
        <v>3875</v>
      </c>
      <c r="Y47" t="s">
        <v>3319</v>
      </c>
      <c r="Z47" t="s">
        <v>3876</v>
      </c>
      <c r="AA47" t="s">
        <v>3877</v>
      </c>
      <c r="AB47" t="s">
        <v>3878</v>
      </c>
      <c r="AC47" t="s">
        <v>3879</v>
      </c>
      <c r="AD47" t="s">
        <v>3251</v>
      </c>
      <c r="AE47">
        <v>216.7</v>
      </c>
      <c r="AF47">
        <v>98.5</v>
      </c>
      <c r="AG47" t="s">
        <v>3116</v>
      </c>
      <c r="AH47">
        <v>185</v>
      </c>
      <c r="AI47" t="s">
        <v>3880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3092</v>
      </c>
      <c r="C48" t="s">
        <v>3093</v>
      </c>
      <c r="D48" t="s">
        <v>3881</v>
      </c>
      <c r="E48" t="s">
        <v>400</v>
      </c>
      <c r="F48" t="s">
        <v>3882</v>
      </c>
      <c r="G48" t="s">
        <v>3883</v>
      </c>
      <c r="H48" t="s">
        <v>56</v>
      </c>
      <c r="I48" t="s">
        <v>3098</v>
      </c>
      <c r="J48" t="s">
        <v>3884</v>
      </c>
      <c r="K48" t="s">
        <v>3100</v>
      </c>
      <c r="L48" t="s">
        <v>3101</v>
      </c>
      <c r="M48" t="s">
        <v>3885</v>
      </c>
      <c r="N48" t="s">
        <v>3886</v>
      </c>
      <c r="O48" t="s">
        <v>3887</v>
      </c>
      <c r="P48" t="s">
        <v>3888</v>
      </c>
      <c r="Q48" t="s">
        <v>3889</v>
      </c>
      <c r="R48">
        <v>31731</v>
      </c>
      <c r="S48" t="s">
        <v>3107</v>
      </c>
      <c r="T48">
        <v>4539032742642340</v>
      </c>
      <c r="U48">
        <v>437</v>
      </c>
      <c r="V48">
        <v>42948</v>
      </c>
      <c r="W48" t="s">
        <v>3890</v>
      </c>
      <c r="X48" t="s">
        <v>3891</v>
      </c>
      <c r="Y48" t="s">
        <v>3110</v>
      </c>
      <c r="Z48" t="s">
        <v>3892</v>
      </c>
      <c r="AA48" t="s">
        <v>3893</v>
      </c>
      <c r="AB48" t="s">
        <v>3894</v>
      </c>
      <c r="AC48" t="s">
        <v>3895</v>
      </c>
      <c r="AD48" t="s">
        <v>3157</v>
      </c>
      <c r="AE48">
        <v>222.2</v>
      </c>
      <c r="AF48">
        <v>101</v>
      </c>
      <c r="AG48" t="s">
        <v>3305</v>
      </c>
      <c r="AH48">
        <v>169</v>
      </c>
      <c r="AI48" t="s">
        <v>3896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3118</v>
      </c>
      <c r="C49" t="s">
        <v>3119</v>
      </c>
      <c r="D49" t="s">
        <v>3897</v>
      </c>
      <c r="E49" t="s">
        <v>3095</v>
      </c>
      <c r="F49" t="s">
        <v>3298</v>
      </c>
      <c r="G49" t="s">
        <v>3898</v>
      </c>
      <c r="H49" t="s">
        <v>3343</v>
      </c>
      <c r="I49" t="s">
        <v>3098</v>
      </c>
      <c r="J49" t="s">
        <v>3899</v>
      </c>
      <c r="K49" t="s">
        <v>3100</v>
      </c>
      <c r="L49" t="s">
        <v>3101</v>
      </c>
      <c r="M49" t="s">
        <v>3900</v>
      </c>
      <c r="N49" t="s">
        <v>3901</v>
      </c>
      <c r="O49" t="s">
        <v>3902</v>
      </c>
      <c r="P49" t="s">
        <v>3903</v>
      </c>
      <c r="Q49" t="s">
        <v>3544</v>
      </c>
      <c r="R49">
        <v>34046</v>
      </c>
      <c r="S49" t="s">
        <v>3107</v>
      </c>
      <c r="T49">
        <v>4556109265568130</v>
      </c>
      <c r="U49">
        <v>804</v>
      </c>
      <c r="V49">
        <v>42917</v>
      </c>
      <c r="W49" t="s">
        <v>3904</v>
      </c>
      <c r="X49" t="s">
        <v>3905</v>
      </c>
      <c r="Y49" t="s">
        <v>3110</v>
      </c>
      <c r="Z49" t="s">
        <v>3906</v>
      </c>
      <c r="AA49" t="s">
        <v>3907</v>
      </c>
      <c r="AB49" t="s">
        <v>3908</v>
      </c>
      <c r="AC49" t="s">
        <v>3909</v>
      </c>
      <c r="AD49" t="s">
        <v>3251</v>
      </c>
      <c r="AE49">
        <v>196.2</v>
      </c>
      <c r="AF49">
        <v>89.2</v>
      </c>
      <c r="AG49" t="s">
        <v>3606</v>
      </c>
      <c r="AH49">
        <v>161</v>
      </c>
      <c r="AI49" t="s">
        <v>3910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3118</v>
      </c>
      <c r="C50" t="s">
        <v>3160</v>
      </c>
      <c r="D50" t="s">
        <v>3911</v>
      </c>
      <c r="E50" t="s">
        <v>3462</v>
      </c>
      <c r="F50" t="s">
        <v>3912</v>
      </c>
      <c r="G50" t="s">
        <v>3913</v>
      </c>
      <c r="H50" t="s">
        <v>3274</v>
      </c>
      <c r="I50" t="s">
        <v>3098</v>
      </c>
      <c r="J50" t="s">
        <v>3275</v>
      </c>
      <c r="K50" t="s">
        <v>3100</v>
      </c>
      <c r="L50" t="s">
        <v>3101</v>
      </c>
      <c r="M50" t="s">
        <v>3914</v>
      </c>
      <c r="N50" t="s">
        <v>3915</v>
      </c>
      <c r="O50" t="s">
        <v>3916</v>
      </c>
      <c r="P50" t="s">
        <v>3917</v>
      </c>
      <c r="Q50" t="s">
        <v>3918</v>
      </c>
      <c r="R50">
        <v>29448</v>
      </c>
      <c r="S50" t="s">
        <v>3130</v>
      </c>
      <c r="T50">
        <v>5137509452272370</v>
      </c>
      <c r="U50">
        <v>558</v>
      </c>
      <c r="V50">
        <v>42583</v>
      </c>
      <c r="W50" t="s">
        <v>3919</v>
      </c>
      <c r="X50" t="s">
        <v>3920</v>
      </c>
      <c r="Y50" t="s">
        <v>3172</v>
      </c>
      <c r="Z50" t="s">
        <v>3921</v>
      </c>
      <c r="AA50" t="s">
        <v>3922</v>
      </c>
      <c r="AB50" t="s">
        <v>3923</v>
      </c>
      <c r="AC50" t="s">
        <v>3924</v>
      </c>
      <c r="AD50" t="s">
        <v>3157</v>
      </c>
      <c r="AE50">
        <v>192.1</v>
      </c>
      <c r="AF50">
        <v>87.3</v>
      </c>
      <c r="AG50" t="s">
        <v>3158</v>
      </c>
      <c r="AH50">
        <v>174</v>
      </c>
      <c r="AI50" t="s">
        <v>3925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3092</v>
      </c>
      <c r="C51" t="s">
        <v>3093</v>
      </c>
      <c r="D51" t="s">
        <v>3926</v>
      </c>
      <c r="E51" t="s">
        <v>3462</v>
      </c>
      <c r="F51" t="s">
        <v>3142</v>
      </c>
      <c r="G51" t="s">
        <v>3927</v>
      </c>
      <c r="H51" t="s">
        <v>3238</v>
      </c>
      <c r="I51" t="s">
        <v>3098</v>
      </c>
      <c r="J51" t="s">
        <v>3239</v>
      </c>
      <c r="K51" t="s">
        <v>3100</v>
      </c>
      <c r="L51" t="s">
        <v>3101</v>
      </c>
      <c r="M51" t="s">
        <v>3928</v>
      </c>
      <c r="N51" t="s">
        <v>3929</v>
      </c>
      <c r="O51" t="s">
        <v>3930</v>
      </c>
      <c r="P51" t="s">
        <v>3931</v>
      </c>
      <c r="Q51" t="s">
        <v>3932</v>
      </c>
      <c r="R51">
        <v>19736</v>
      </c>
      <c r="S51" t="s">
        <v>3107</v>
      </c>
      <c r="T51">
        <v>4929168028258690</v>
      </c>
      <c r="U51">
        <v>347</v>
      </c>
      <c r="V51">
        <v>43800</v>
      </c>
      <c r="W51" t="s">
        <v>3933</v>
      </c>
      <c r="X51" t="s">
        <v>3934</v>
      </c>
      <c r="Y51" t="s">
        <v>3110</v>
      </c>
      <c r="Z51" t="s">
        <v>3935</v>
      </c>
      <c r="AA51" t="s">
        <v>3936</v>
      </c>
      <c r="AB51" t="s">
        <v>3937</v>
      </c>
      <c r="AC51" t="s">
        <v>3938</v>
      </c>
      <c r="AD51" t="s">
        <v>3195</v>
      </c>
      <c r="AE51">
        <v>165</v>
      </c>
      <c r="AF51">
        <v>75</v>
      </c>
      <c r="AG51" t="s">
        <v>3305</v>
      </c>
      <c r="AH51">
        <v>170</v>
      </c>
      <c r="AI51" t="s">
        <v>3939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3118</v>
      </c>
      <c r="C52" t="s">
        <v>3160</v>
      </c>
      <c r="D52" t="s">
        <v>3940</v>
      </c>
      <c r="E52" t="s">
        <v>3235</v>
      </c>
      <c r="F52" t="s">
        <v>3941</v>
      </c>
      <c r="G52" t="s">
        <v>3942</v>
      </c>
      <c r="H52" t="s">
        <v>27</v>
      </c>
      <c r="I52" t="s">
        <v>3098</v>
      </c>
      <c r="J52" t="s">
        <v>3943</v>
      </c>
      <c r="K52" t="s">
        <v>3100</v>
      </c>
      <c r="L52" t="s">
        <v>3101</v>
      </c>
      <c r="M52" t="s">
        <v>3944</v>
      </c>
      <c r="N52" t="s">
        <v>3945</v>
      </c>
      <c r="O52" t="s">
        <v>3946</v>
      </c>
      <c r="P52" t="s">
        <v>3947</v>
      </c>
      <c r="Q52" t="s">
        <v>3948</v>
      </c>
      <c r="R52">
        <v>21833</v>
      </c>
      <c r="S52" t="s">
        <v>3130</v>
      </c>
      <c r="T52">
        <v>5166193014292080</v>
      </c>
      <c r="U52">
        <v>506</v>
      </c>
      <c r="V52">
        <v>42856</v>
      </c>
      <c r="W52" t="s">
        <v>3949</v>
      </c>
      <c r="X52" t="s">
        <v>3950</v>
      </c>
      <c r="Y52" t="s">
        <v>3172</v>
      </c>
      <c r="Z52" t="s">
        <v>3951</v>
      </c>
      <c r="AA52" t="s">
        <v>3952</v>
      </c>
      <c r="AB52" t="s">
        <v>3953</v>
      </c>
      <c r="AC52" t="s">
        <v>3954</v>
      </c>
      <c r="AD52" t="s">
        <v>3138</v>
      </c>
      <c r="AE52">
        <v>193.2</v>
      </c>
      <c r="AF52">
        <v>87.8</v>
      </c>
      <c r="AG52" t="s">
        <v>3139</v>
      </c>
      <c r="AH52">
        <v>155</v>
      </c>
      <c r="AI52" t="s">
        <v>3955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3118</v>
      </c>
      <c r="C53" t="s">
        <v>3119</v>
      </c>
      <c r="D53" t="s">
        <v>3956</v>
      </c>
      <c r="E53" t="s">
        <v>397</v>
      </c>
      <c r="F53" t="s">
        <v>3957</v>
      </c>
      <c r="G53" t="s">
        <v>3958</v>
      </c>
      <c r="H53" t="s">
        <v>3959</v>
      </c>
      <c r="I53" t="s">
        <v>3098</v>
      </c>
      <c r="J53" t="s">
        <v>3960</v>
      </c>
      <c r="K53" t="s">
        <v>3100</v>
      </c>
      <c r="L53" t="s">
        <v>3101</v>
      </c>
      <c r="M53" t="s">
        <v>3961</v>
      </c>
      <c r="N53" t="s">
        <v>3962</v>
      </c>
      <c r="O53" t="s">
        <v>3963</v>
      </c>
      <c r="P53" t="s">
        <v>3964</v>
      </c>
      <c r="Q53" t="s">
        <v>3965</v>
      </c>
      <c r="R53">
        <v>33446</v>
      </c>
      <c r="S53" t="s">
        <v>3107</v>
      </c>
      <c r="T53">
        <v>4539015127402320</v>
      </c>
      <c r="U53">
        <v>907</v>
      </c>
      <c r="V53">
        <v>42705</v>
      </c>
      <c r="W53" t="s">
        <v>3966</v>
      </c>
      <c r="X53" t="s">
        <v>3967</v>
      </c>
      <c r="Y53" t="s">
        <v>3133</v>
      </c>
      <c r="Z53" t="s">
        <v>3968</v>
      </c>
      <c r="AA53" t="s">
        <v>3969</v>
      </c>
      <c r="AB53" t="s">
        <v>3970</v>
      </c>
      <c r="AC53" t="s">
        <v>3971</v>
      </c>
      <c r="AD53" t="s">
        <v>3157</v>
      </c>
      <c r="AE53">
        <v>149.19999999999999</v>
      </c>
      <c r="AF53">
        <v>67.8</v>
      </c>
      <c r="AG53" t="s">
        <v>3606</v>
      </c>
      <c r="AH53">
        <v>159</v>
      </c>
      <c r="AI53" t="s">
        <v>3972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3118</v>
      </c>
      <c r="C54" t="s">
        <v>3119</v>
      </c>
      <c r="D54" t="s">
        <v>3973</v>
      </c>
      <c r="E54" t="s">
        <v>3199</v>
      </c>
      <c r="F54" t="s">
        <v>3096</v>
      </c>
      <c r="G54" t="s">
        <v>3974</v>
      </c>
      <c r="H54" t="s">
        <v>27</v>
      </c>
      <c r="I54" t="s">
        <v>3098</v>
      </c>
      <c r="J54" t="s">
        <v>3943</v>
      </c>
      <c r="K54" t="s">
        <v>3100</v>
      </c>
      <c r="L54" t="s">
        <v>3101</v>
      </c>
      <c r="M54" t="s">
        <v>3975</v>
      </c>
      <c r="N54" t="s">
        <v>3976</v>
      </c>
      <c r="O54" t="s">
        <v>3977</v>
      </c>
      <c r="P54" t="s">
        <v>3978</v>
      </c>
      <c r="Q54" t="s">
        <v>3386</v>
      </c>
      <c r="R54">
        <v>27528</v>
      </c>
      <c r="S54" t="s">
        <v>3107</v>
      </c>
      <c r="T54">
        <v>4929480487490910</v>
      </c>
      <c r="U54">
        <v>970</v>
      </c>
      <c r="V54">
        <v>42675</v>
      </c>
      <c r="W54" t="s">
        <v>3979</v>
      </c>
      <c r="X54" t="s">
        <v>3980</v>
      </c>
      <c r="Y54" t="s">
        <v>3110</v>
      </c>
      <c r="Z54" t="s">
        <v>3981</v>
      </c>
      <c r="AA54" t="s">
        <v>3982</v>
      </c>
      <c r="AB54" t="s">
        <v>3983</v>
      </c>
      <c r="AC54" t="s">
        <v>3984</v>
      </c>
      <c r="AD54" t="s">
        <v>3251</v>
      </c>
      <c r="AE54">
        <v>112.6</v>
      </c>
      <c r="AF54">
        <v>51.2</v>
      </c>
      <c r="AG54" t="s">
        <v>3232</v>
      </c>
      <c r="AH54">
        <v>166</v>
      </c>
      <c r="AI54" t="s">
        <v>3985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3092</v>
      </c>
      <c r="C55" t="s">
        <v>3093</v>
      </c>
      <c r="D55" t="s">
        <v>3986</v>
      </c>
      <c r="E55" t="s">
        <v>400</v>
      </c>
      <c r="F55" t="s">
        <v>3987</v>
      </c>
      <c r="G55" t="s">
        <v>3988</v>
      </c>
      <c r="H55" t="s">
        <v>3989</v>
      </c>
      <c r="I55" t="s">
        <v>3098</v>
      </c>
      <c r="J55" t="s">
        <v>3990</v>
      </c>
      <c r="K55" t="s">
        <v>3100</v>
      </c>
      <c r="L55" t="s">
        <v>3101</v>
      </c>
      <c r="M55" t="s">
        <v>3991</v>
      </c>
      <c r="N55" t="s">
        <v>3992</v>
      </c>
      <c r="O55" t="s">
        <v>3993</v>
      </c>
      <c r="P55" t="s">
        <v>3994</v>
      </c>
      <c r="Q55" t="s">
        <v>3995</v>
      </c>
      <c r="R55">
        <v>14070</v>
      </c>
      <c r="S55" t="s">
        <v>3130</v>
      </c>
      <c r="T55">
        <v>5132220569111510</v>
      </c>
      <c r="U55">
        <v>240</v>
      </c>
      <c r="V55">
        <v>43282</v>
      </c>
      <c r="W55" t="s">
        <v>3996</v>
      </c>
      <c r="X55" t="s">
        <v>3997</v>
      </c>
      <c r="Y55" t="s">
        <v>3110</v>
      </c>
      <c r="Z55" t="s">
        <v>3998</v>
      </c>
      <c r="AA55" t="s">
        <v>3999</v>
      </c>
      <c r="AB55" t="s">
        <v>4000</v>
      </c>
      <c r="AC55" t="s">
        <v>4001</v>
      </c>
      <c r="AD55" t="s">
        <v>3157</v>
      </c>
      <c r="AE55">
        <v>217.6</v>
      </c>
      <c r="AF55">
        <v>98.9</v>
      </c>
      <c r="AG55" t="s">
        <v>3287</v>
      </c>
      <c r="AH55">
        <v>182</v>
      </c>
      <c r="AI55" t="s">
        <v>4002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3118</v>
      </c>
      <c r="C56" t="s">
        <v>3160</v>
      </c>
      <c r="D56" t="s">
        <v>4003</v>
      </c>
      <c r="E56" t="s">
        <v>3753</v>
      </c>
      <c r="F56" t="s">
        <v>4004</v>
      </c>
      <c r="G56" t="s">
        <v>4005</v>
      </c>
      <c r="H56" t="s">
        <v>2</v>
      </c>
      <c r="I56" t="s">
        <v>3098</v>
      </c>
      <c r="J56" t="s">
        <v>4006</v>
      </c>
      <c r="K56" t="s">
        <v>3100</v>
      </c>
      <c r="L56" t="s">
        <v>3101</v>
      </c>
      <c r="M56" t="s">
        <v>4007</v>
      </c>
      <c r="N56" t="s">
        <v>4008</v>
      </c>
      <c r="O56" t="s">
        <v>4009</v>
      </c>
      <c r="P56" t="s">
        <v>4010</v>
      </c>
      <c r="Q56" t="s">
        <v>4011</v>
      </c>
      <c r="R56">
        <v>21321</v>
      </c>
      <c r="S56" t="s">
        <v>3130</v>
      </c>
      <c r="T56">
        <v>5538777231771170</v>
      </c>
      <c r="U56">
        <v>257</v>
      </c>
      <c r="V56">
        <v>42917</v>
      </c>
      <c r="W56" t="s">
        <v>4012</v>
      </c>
      <c r="X56" t="s">
        <v>4013</v>
      </c>
      <c r="Y56" t="s">
        <v>3172</v>
      </c>
      <c r="Z56" t="s">
        <v>4014</v>
      </c>
      <c r="AA56" t="s">
        <v>4015</v>
      </c>
      <c r="AB56" t="s">
        <v>4016</v>
      </c>
      <c r="AC56" t="s">
        <v>4017</v>
      </c>
      <c r="AD56" t="s">
        <v>3251</v>
      </c>
      <c r="AE56">
        <v>207.9</v>
      </c>
      <c r="AF56">
        <v>94.5</v>
      </c>
      <c r="AG56" t="s">
        <v>3232</v>
      </c>
      <c r="AH56">
        <v>165</v>
      </c>
      <c r="AI56" t="s">
        <v>4018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3118</v>
      </c>
      <c r="C57" t="s">
        <v>3119</v>
      </c>
      <c r="D57" t="s">
        <v>3624</v>
      </c>
      <c r="E57" t="s">
        <v>3095</v>
      </c>
      <c r="F57" t="s">
        <v>4019</v>
      </c>
      <c r="G57" t="s">
        <v>4020</v>
      </c>
      <c r="H57" t="s">
        <v>4021</v>
      </c>
      <c r="I57" t="s">
        <v>3098</v>
      </c>
      <c r="J57" t="s">
        <v>4022</v>
      </c>
      <c r="K57" t="s">
        <v>3100</v>
      </c>
      <c r="L57" t="s">
        <v>3101</v>
      </c>
      <c r="M57" t="s">
        <v>4023</v>
      </c>
      <c r="N57" t="s">
        <v>4024</v>
      </c>
      <c r="O57" t="s">
        <v>4025</v>
      </c>
      <c r="P57" t="s">
        <v>4026</v>
      </c>
      <c r="Q57" t="s">
        <v>4027</v>
      </c>
      <c r="R57">
        <v>19089</v>
      </c>
      <c r="S57" t="s">
        <v>3130</v>
      </c>
      <c r="T57">
        <v>5431451069127230</v>
      </c>
      <c r="U57">
        <v>692</v>
      </c>
      <c r="V57">
        <v>43132</v>
      </c>
      <c r="W57" t="s">
        <v>4028</v>
      </c>
      <c r="X57" t="s">
        <v>4029</v>
      </c>
      <c r="Y57" t="s">
        <v>3110</v>
      </c>
      <c r="Z57" t="s">
        <v>4030</v>
      </c>
      <c r="AA57" t="s">
        <v>4031</v>
      </c>
      <c r="AB57" t="s">
        <v>4032</v>
      </c>
      <c r="AC57" t="s">
        <v>4033</v>
      </c>
      <c r="AD57" t="s">
        <v>3138</v>
      </c>
      <c r="AE57">
        <v>119.5</v>
      </c>
      <c r="AF57">
        <v>54.3</v>
      </c>
      <c r="AG57" t="s">
        <v>3305</v>
      </c>
      <c r="AH57">
        <v>169</v>
      </c>
      <c r="AI57" t="s">
        <v>4034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3092</v>
      </c>
      <c r="C58" t="s">
        <v>3093</v>
      </c>
      <c r="D58" t="s">
        <v>4035</v>
      </c>
      <c r="E58" t="s">
        <v>3753</v>
      </c>
      <c r="F58" t="s">
        <v>4036</v>
      </c>
      <c r="G58" t="s">
        <v>4037</v>
      </c>
      <c r="H58" t="s">
        <v>2</v>
      </c>
      <c r="I58" t="s">
        <v>3098</v>
      </c>
      <c r="J58" t="s">
        <v>4038</v>
      </c>
      <c r="K58" t="s">
        <v>3100</v>
      </c>
      <c r="L58" t="s">
        <v>3101</v>
      </c>
      <c r="M58" t="s">
        <v>4039</v>
      </c>
      <c r="N58" t="s">
        <v>4040</v>
      </c>
      <c r="O58" t="s">
        <v>4041</v>
      </c>
      <c r="P58" t="s">
        <v>4042</v>
      </c>
      <c r="Q58" t="s">
        <v>4043</v>
      </c>
      <c r="R58">
        <v>13657</v>
      </c>
      <c r="S58" t="s">
        <v>3107</v>
      </c>
      <c r="T58">
        <v>4485001996379110</v>
      </c>
      <c r="U58">
        <v>891</v>
      </c>
      <c r="V58">
        <v>43709</v>
      </c>
      <c r="W58" t="s">
        <v>4044</v>
      </c>
      <c r="X58" t="s">
        <v>4045</v>
      </c>
      <c r="Y58" t="s">
        <v>3319</v>
      </c>
      <c r="Z58" t="s">
        <v>4046</v>
      </c>
      <c r="AA58" t="s">
        <v>4047</v>
      </c>
      <c r="AB58" t="s">
        <v>4048</v>
      </c>
      <c r="AC58" t="s">
        <v>4049</v>
      </c>
      <c r="AD58" t="s">
        <v>3157</v>
      </c>
      <c r="AE58">
        <v>180.6</v>
      </c>
      <c r="AF58">
        <v>82.1</v>
      </c>
      <c r="AG58" t="s">
        <v>3196</v>
      </c>
      <c r="AH58">
        <v>167</v>
      </c>
      <c r="AI58" t="s">
        <v>4050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3118</v>
      </c>
      <c r="C59" t="s">
        <v>3160</v>
      </c>
      <c r="D59" t="s">
        <v>4051</v>
      </c>
      <c r="E59" t="s">
        <v>3575</v>
      </c>
      <c r="F59" t="s">
        <v>3461</v>
      </c>
      <c r="G59" t="s">
        <v>4052</v>
      </c>
      <c r="H59" t="s">
        <v>3361</v>
      </c>
      <c r="I59" t="s">
        <v>3098</v>
      </c>
      <c r="J59" t="s">
        <v>3362</v>
      </c>
      <c r="K59" t="s">
        <v>3100</v>
      </c>
      <c r="L59" t="s">
        <v>3101</v>
      </c>
      <c r="M59" t="s">
        <v>4053</v>
      </c>
      <c r="N59" t="s">
        <v>4054</v>
      </c>
      <c r="O59" t="s">
        <v>4055</v>
      </c>
      <c r="P59" t="s">
        <v>4056</v>
      </c>
      <c r="Q59" t="s">
        <v>4057</v>
      </c>
      <c r="R59">
        <v>33166</v>
      </c>
      <c r="S59" t="s">
        <v>3107</v>
      </c>
      <c r="T59">
        <v>4916462064084390</v>
      </c>
      <c r="U59">
        <v>6</v>
      </c>
      <c r="V59">
        <v>43344</v>
      </c>
      <c r="W59" t="s">
        <v>4058</v>
      </c>
      <c r="X59" t="s">
        <v>4059</v>
      </c>
      <c r="Y59" t="s">
        <v>3421</v>
      </c>
      <c r="Z59" t="s">
        <v>4060</v>
      </c>
      <c r="AA59" t="s">
        <v>4061</v>
      </c>
      <c r="AB59" t="s">
        <v>4062</v>
      </c>
      <c r="AC59" t="s">
        <v>4063</v>
      </c>
      <c r="AD59" t="s">
        <v>3195</v>
      </c>
      <c r="AE59">
        <v>214.1</v>
      </c>
      <c r="AF59">
        <v>97.3</v>
      </c>
      <c r="AG59" t="s">
        <v>3269</v>
      </c>
      <c r="AH59">
        <v>173</v>
      </c>
      <c r="AI59" t="s">
        <v>4064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3092</v>
      </c>
      <c r="C60" t="s">
        <v>3093</v>
      </c>
      <c r="D60" t="s">
        <v>4065</v>
      </c>
      <c r="E60" t="s">
        <v>401</v>
      </c>
      <c r="F60" t="s">
        <v>4066</v>
      </c>
      <c r="G60" t="s">
        <v>4067</v>
      </c>
      <c r="H60" t="s">
        <v>27</v>
      </c>
      <c r="I60" t="s">
        <v>3098</v>
      </c>
      <c r="J60" t="s">
        <v>4068</v>
      </c>
      <c r="K60" t="s">
        <v>3100</v>
      </c>
      <c r="L60" t="s">
        <v>3101</v>
      </c>
      <c r="M60" t="s">
        <v>4069</v>
      </c>
      <c r="N60" t="s">
        <v>4070</v>
      </c>
      <c r="O60" t="s">
        <v>4071</v>
      </c>
      <c r="P60" t="s">
        <v>4072</v>
      </c>
      <c r="Q60" t="s">
        <v>4073</v>
      </c>
      <c r="R60">
        <v>24039</v>
      </c>
      <c r="S60" t="s">
        <v>3130</v>
      </c>
      <c r="T60">
        <v>5375761645820650</v>
      </c>
      <c r="U60">
        <v>259</v>
      </c>
      <c r="V60">
        <v>42795</v>
      </c>
      <c r="W60" t="s">
        <v>4074</v>
      </c>
      <c r="X60" t="s">
        <v>4075</v>
      </c>
      <c r="Y60" t="s">
        <v>3110</v>
      </c>
      <c r="Z60" t="s">
        <v>4076</v>
      </c>
      <c r="AA60" t="s">
        <v>4077</v>
      </c>
      <c r="AB60" t="s">
        <v>4078</v>
      </c>
      <c r="AC60" t="s">
        <v>4079</v>
      </c>
      <c r="AD60" t="s">
        <v>3157</v>
      </c>
      <c r="AE60">
        <v>179.1</v>
      </c>
      <c r="AF60">
        <v>81.400000000000006</v>
      </c>
      <c r="AG60" t="s">
        <v>3269</v>
      </c>
      <c r="AH60">
        <v>173</v>
      </c>
      <c r="AI60" t="s">
        <v>4080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3092</v>
      </c>
      <c r="C61" t="s">
        <v>3093</v>
      </c>
      <c r="D61" t="s">
        <v>4081</v>
      </c>
      <c r="E61" t="s">
        <v>397</v>
      </c>
      <c r="F61" t="s">
        <v>4082</v>
      </c>
      <c r="G61" t="s">
        <v>4083</v>
      </c>
      <c r="H61" t="s">
        <v>3447</v>
      </c>
      <c r="I61" t="s">
        <v>3098</v>
      </c>
      <c r="J61" t="s">
        <v>4084</v>
      </c>
      <c r="K61" t="s">
        <v>3100</v>
      </c>
      <c r="L61" t="s">
        <v>3101</v>
      </c>
      <c r="M61" t="s">
        <v>4085</v>
      </c>
      <c r="N61" t="s">
        <v>4086</v>
      </c>
      <c r="O61" t="s">
        <v>4087</v>
      </c>
      <c r="P61" t="s">
        <v>4088</v>
      </c>
      <c r="Q61" t="s">
        <v>4089</v>
      </c>
      <c r="R61">
        <v>34014</v>
      </c>
      <c r="S61" t="s">
        <v>3107</v>
      </c>
      <c r="T61">
        <v>4556603574493390</v>
      </c>
      <c r="U61">
        <v>441</v>
      </c>
      <c r="V61">
        <v>42278</v>
      </c>
      <c r="W61" t="s">
        <v>4090</v>
      </c>
      <c r="X61" t="s">
        <v>4091</v>
      </c>
      <c r="Y61" t="s">
        <v>3386</v>
      </c>
      <c r="Z61" t="s">
        <v>4092</v>
      </c>
      <c r="AA61" t="s">
        <v>4093</v>
      </c>
      <c r="AB61" t="s">
        <v>4094</v>
      </c>
      <c r="AC61" t="s">
        <v>4095</v>
      </c>
      <c r="AD61" t="s">
        <v>3157</v>
      </c>
      <c r="AE61">
        <v>216.9</v>
      </c>
      <c r="AF61">
        <v>98.6</v>
      </c>
      <c r="AG61" t="s">
        <v>3572</v>
      </c>
      <c r="AH61">
        <v>189</v>
      </c>
      <c r="AI61" t="s">
        <v>4096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3118</v>
      </c>
      <c r="C62" t="s">
        <v>3119</v>
      </c>
      <c r="D62" t="s">
        <v>3752</v>
      </c>
      <c r="E62" t="s">
        <v>173</v>
      </c>
      <c r="F62" t="s">
        <v>4097</v>
      </c>
      <c r="G62" t="s">
        <v>4098</v>
      </c>
      <c r="H62" t="s">
        <v>3327</v>
      </c>
      <c r="I62" t="s">
        <v>3098</v>
      </c>
      <c r="J62" t="s">
        <v>3328</v>
      </c>
      <c r="K62" t="s">
        <v>3100</v>
      </c>
      <c r="L62" t="s">
        <v>3101</v>
      </c>
      <c r="M62" t="s">
        <v>4099</v>
      </c>
      <c r="N62" t="s">
        <v>4100</v>
      </c>
      <c r="O62" t="s">
        <v>4101</v>
      </c>
      <c r="P62" t="s">
        <v>4102</v>
      </c>
      <c r="Q62" t="s">
        <v>4103</v>
      </c>
      <c r="R62">
        <v>19119</v>
      </c>
      <c r="S62" t="s">
        <v>3107</v>
      </c>
      <c r="T62">
        <v>4485857286767500</v>
      </c>
      <c r="U62">
        <v>632</v>
      </c>
      <c r="V62">
        <v>42491</v>
      </c>
      <c r="W62" t="s">
        <v>4104</v>
      </c>
      <c r="X62" t="s">
        <v>4105</v>
      </c>
      <c r="Y62" t="s">
        <v>3110</v>
      </c>
      <c r="Z62" t="s">
        <v>4106</v>
      </c>
      <c r="AA62" t="s">
        <v>4107</v>
      </c>
      <c r="AB62" t="s">
        <v>4108</v>
      </c>
      <c r="AC62" t="s">
        <v>4109</v>
      </c>
      <c r="AD62" t="s">
        <v>3157</v>
      </c>
      <c r="AE62">
        <v>164.8</v>
      </c>
      <c r="AF62">
        <v>74.900000000000006</v>
      </c>
      <c r="AG62" t="s">
        <v>3606</v>
      </c>
      <c r="AH62">
        <v>160</v>
      </c>
      <c r="AI62" t="s">
        <v>4110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3118</v>
      </c>
      <c r="C63" t="s">
        <v>3160</v>
      </c>
      <c r="D63" t="s">
        <v>4111</v>
      </c>
      <c r="E63" t="s">
        <v>173</v>
      </c>
      <c r="F63" t="s">
        <v>3316</v>
      </c>
      <c r="G63" t="s">
        <v>4112</v>
      </c>
      <c r="H63" t="s">
        <v>4021</v>
      </c>
      <c r="I63" t="s">
        <v>3098</v>
      </c>
      <c r="J63" t="s">
        <v>4022</v>
      </c>
      <c r="K63" t="s">
        <v>3100</v>
      </c>
      <c r="L63" t="s">
        <v>3101</v>
      </c>
      <c r="M63" t="s">
        <v>4113</v>
      </c>
      <c r="N63" t="s">
        <v>4114</v>
      </c>
      <c r="O63" t="s">
        <v>4115</v>
      </c>
      <c r="P63" t="s">
        <v>4116</v>
      </c>
      <c r="Q63" t="s">
        <v>4117</v>
      </c>
      <c r="R63">
        <v>24730</v>
      </c>
      <c r="S63" t="s">
        <v>3130</v>
      </c>
      <c r="T63">
        <v>5505304700031810</v>
      </c>
      <c r="U63">
        <v>860</v>
      </c>
      <c r="V63">
        <v>43009</v>
      </c>
      <c r="W63" t="s">
        <v>4118</v>
      </c>
      <c r="X63" t="s">
        <v>4119</v>
      </c>
      <c r="Y63" t="s">
        <v>3172</v>
      </c>
      <c r="Z63" t="s">
        <v>4120</v>
      </c>
      <c r="AA63" t="s">
        <v>4121</v>
      </c>
      <c r="AB63" t="s">
        <v>4122</v>
      </c>
      <c r="AC63" t="s">
        <v>4123</v>
      </c>
      <c r="AD63" t="s">
        <v>3195</v>
      </c>
      <c r="AE63">
        <v>224.2</v>
      </c>
      <c r="AF63">
        <v>101.9</v>
      </c>
      <c r="AG63" t="s">
        <v>3139</v>
      </c>
      <c r="AH63">
        <v>155</v>
      </c>
      <c r="AI63" t="s">
        <v>4124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3092</v>
      </c>
      <c r="C64" t="s">
        <v>3093</v>
      </c>
      <c r="D64" t="s">
        <v>4125</v>
      </c>
      <c r="E64" t="s">
        <v>3657</v>
      </c>
      <c r="F64" t="s">
        <v>4126</v>
      </c>
      <c r="G64" t="s">
        <v>4127</v>
      </c>
      <c r="H64" t="s">
        <v>4128</v>
      </c>
      <c r="I64" t="s">
        <v>3098</v>
      </c>
      <c r="J64" t="s">
        <v>3448</v>
      </c>
      <c r="K64" t="s">
        <v>3100</v>
      </c>
      <c r="L64" t="s">
        <v>3101</v>
      </c>
      <c r="M64" t="s">
        <v>4129</v>
      </c>
      <c r="N64" t="s">
        <v>4130</v>
      </c>
      <c r="O64" t="s">
        <v>4131</v>
      </c>
      <c r="P64" t="s">
        <v>4132</v>
      </c>
      <c r="Q64" t="s">
        <v>4133</v>
      </c>
      <c r="R64">
        <v>16218</v>
      </c>
      <c r="S64" t="s">
        <v>3107</v>
      </c>
      <c r="T64">
        <v>4485360984845760</v>
      </c>
      <c r="U64">
        <v>677</v>
      </c>
      <c r="V64">
        <v>42979</v>
      </c>
      <c r="W64" t="s">
        <v>4134</v>
      </c>
      <c r="X64" t="s">
        <v>4135</v>
      </c>
      <c r="Y64" t="s">
        <v>3421</v>
      </c>
      <c r="Z64" t="s">
        <v>4136</v>
      </c>
      <c r="AA64" t="s">
        <v>4137</v>
      </c>
      <c r="AB64" t="s">
        <v>4138</v>
      </c>
      <c r="AC64" t="s">
        <v>4139</v>
      </c>
      <c r="AD64" t="s">
        <v>3251</v>
      </c>
      <c r="AE64">
        <v>229.2</v>
      </c>
      <c r="AF64">
        <v>104.2</v>
      </c>
      <c r="AG64" t="s">
        <v>3269</v>
      </c>
      <c r="AH64">
        <v>173</v>
      </c>
      <c r="AI64" t="s">
        <v>4140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3118</v>
      </c>
      <c r="C65" t="s">
        <v>4141</v>
      </c>
      <c r="D65" t="s">
        <v>4142</v>
      </c>
      <c r="E65" t="s">
        <v>173</v>
      </c>
      <c r="F65" t="s">
        <v>4143</v>
      </c>
      <c r="G65" t="s">
        <v>4144</v>
      </c>
      <c r="H65" t="s">
        <v>26</v>
      </c>
      <c r="I65" t="s">
        <v>3098</v>
      </c>
      <c r="J65" t="s">
        <v>3481</v>
      </c>
      <c r="K65" t="s">
        <v>3100</v>
      </c>
      <c r="L65" t="s">
        <v>3101</v>
      </c>
      <c r="M65" t="s">
        <v>4145</v>
      </c>
      <c r="N65" t="s">
        <v>4146</v>
      </c>
      <c r="O65" t="s">
        <v>4147</v>
      </c>
      <c r="P65" t="s">
        <v>4148</v>
      </c>
      <c r="Q65" t="s">
        <v>3096</v>
      </c>
      <c r="R65">
        <v>26871</v>
      </c>
      <c r="S65" t="s">
        <v>3107</v>
      </c>
      <c r="T65">
        <v>4929477174794870</v>
      </c>
      <c r="U65">
        <v>396</v>
      </c>
      <c r="V65">
        <v>42522</v>
      </c>
      <c r="W65" t="s">
        <v>4149</v>
      </c>
      <c r="X65" t="s">
        <v>4150</v>
      </c>
      <c r="Y65" t="s">
        <v>3319</v>
      </c>
      <c r="Z65" t="s">
        <v>4151</v>
      </c>
      <c r="AA65" t="s">
        <v>4152</v>
      </c>
      <c r="AB65" t="s">
        <v>4153</v>
      </c>
      <c r="AC65" t="s">
        <v>4154</v>
      </c>
      <c r="AD65" t="s">
        <v>3138</v>
      </c>
      <c r="AE65">
        <v>211.9</v>
      </c>
      <c r="AF65">
        <v>96.3</v>
      </c>
      <c r="AG65" t="s">
        <v>4155</v>
      </c>
      <c r="AH65">
        <v>163</v>
      </c>
      <c r="AI65" t="s">
        <v>4156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3092</v>
      </c>
      <c r="C66" t="s">
        <v>3093</v>
      </c>
      <c r="D66" t="s">
        <v>4157</v>
      </c>
      <c r="E66" t="s">
        <v>3254</v>
      </c>
      <c r="F66" t="s">
        <v>4158</v>
      </c>
      <c r="G66" t="s">
        <v>4159</v>
      </c>
      <c r="H66" t="s">
        <v>2</v>
      </c>
      <c r="I66" t="s">
        <v>3098</v>
      </c>
      <c r="J66" t="s">
        <v>4006</v>
      </c>
      <c r="K66" t="s">
        <v>3100</v>
      </c>
      <c r="L66" t="s">
        <v>3101</v>
      </c>
      <c r="M66" t="s">
        <v>4160</v>
      </c>
      <c r="N66" t="s">
        <v>4161</v>
      </c>
      <c r="O66" t="s">
        <v>4162</v>
      </c>
      <c r="P66" t="s">
        <v>4163</v>
      </c>
      <c r="Q66" t="s">
        <v>3316</v>
      </c>
      <c r="R66">
        <v>23681</v>
      </c>
      <c r="S66" t="s">
        <v>3130</v>
      </c>
      <c r="T66">
        <v>5374996813203890</v>
      </c>
      <c r="U66">
        <v>385</v>
      </c>
      <c r="V66">
        <v>43374</v>
      </c>
      <c r="W66" t="s">
        <v>4164</v>
      </c>
      <c r="X66" t="s">
        <v>4165</v>
      </c>
      <c r="Y66" t="s">
        <v>3110</v>
      </c>
      <c r="Z66" t="s">
        <v>4166</v>
      </c>
      <c r="AA66" t="s">
        <v>4167</v>
      </c>
      <c r="AB66" t="s">
        <v>4168</v>
      </c>
      <c r="AC66" t="s">
        <v>4169</v>
      </c>
      <c r="AD66" t="s">
        <v>3115</v>
      </c>
      <c r="AE66">
        <v>193.6</v>
      </c>
      <c r="AF66">
        <v>88</v>
      </c>
      <c r="AG66" t="s">
        <v>3305</v>
      </c>
      <c r="AH66">
        <v>169</v>
      </c>
      <c r="AI66" t="s">
        <v>4170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3092</v>
      </c>
      <c r="C67" t="s">
        <v>3093</v>
      </c>
      <c r="D67" t="s">
        <v>3271</v>
      </c>
      <c r="E67" t="s">
        <v>3462</v>
      </c>
      <c r="F67" t="s">
        <v>4171</v>
      </c>
      <c r="G67" t="s">
        <v>4172</v>
      </c>
      <c r="H67" t="s">
        <v>4173</v>
      </c>
      <c r="I67" t="s">
        <v>3098</v>
      </c>
      <c r="J67" t="s">
        <v>4174</v>
      </c>
      <c r="K67" t="s">
        <v>3100</v>
      </c>
      <c r="L67" t="s">
        <v>3101</v>
      </c>
      <c r="M67" t="s">
        <v>4175</v>
      </c>
      <c r="N67" t="s">
        <v>4176</v>
      </c>
      <c r="O67" t="s">
        <v>4177</v>
      </c>
      <c r="P67" t="s">
        <v>4178</v>
      </c>
      <c r="Q67" t="s">
        <v>4179</v>
      </c>
      <c r="R67">
        <v>23837</v>
      </c>
      <c r="S67" t="s">
        <v>3130</v>
      </c>
      <c r="T67">
        <v>5101024619669940</v>
      </c>
      <c r="U67">
        <v>434</v>
      </c>
      <c r="V67">
        <v>42095</v>
      </c>
      <c r="W67" t="s">
        <v>4180</v>
      </c>
      <c r="X67" t="s">
        <v>4181</v>
      </c>
      <c r="Y67" t="s">
        <v>3110</v>
      </c>
      <c r="Z67" t="s">
        <v>4182</v>
      </c>
      <c r="AA67" t="s">
        <v>4183</v>
      </c>
      <c r="AB67" t="s">
        <v>4184</v>
      </c>
      <c r="AC67" t="s">
        <v>4185</v>
      </c>
      <c r="AD67" t="s">
        <v>3138</v>
      </c>
      <c r="AE67">
        <v>214.3</v>
      </c>
      <c r="AF67">
        <v>97.4</v>
      </c>
      <c r="AG67" t="s">
        <v>3356</v>
      </c>
      <c r="AH67">
        <v>177</v>
      </c>
      <c r="AI67" t="s">
        <v>4186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3092</v>
      </c>
      <c r="C68" t="s">
        <v>3093</v>
      </c>
      <c r="D68" t="s">
        <v>4179</v>
      </c>
      <c r="E68" t="s">
        <v>3095</v>
      </c>
      <c r="F68" t="s">
        <v>4187</v>
      </c>
      <c r="G68" t="s">
        <v>4188</v>
      </c>
      <c r="H68" t="s">
        <v>4189</v>
      </c>
      <c r="I68" t="s">
        <v>3098</v>
      </c>
      <c r="J68" t="s">
        <v>4190</v>
      </c>
      <c r="K68" t="s">
        <v>3100</v>
      </c>
      <c r="L68" t="s">
        <v>3101</v>
      </c>
      <c r="M68" t="s">
        <v>4191</v>
      </c>
      <c r="N68" t="s">
        <v>4192</v>
      </c>
      <c r="O68" t="s">
        <v>4193</v>
      </c>
      <c r="P68" t="s">
        <v>4194</v>
      </c>
      <c r="Q68" t="s">
        <v>4195</v>
      </c>
      <c r="R68">
        <v>33750</v>
      </c>
      <c r="S68" t="s">
        <v>3107</v>
      </c>
      <c r="T68">
        <v>4556143766109160</v>
      </c>
      <c r="U68">
        <v>53</v>
      </c>
      <c r="V68">
        <v>42705</v>
      </c>
      <c r="W68" t="s">
        <v>4196</v>
      </c>
      <c r="X68" t="s">
        <v>4197</v>
      </c>
      <c r="Y68" t="s">
        <v>3421</v>
      </c>
      <c r="Z68" t="s">
        <v>4198</v>
      </c>
      <c r="AA68" t="s">
        <v>4199</v>
      </c>
      <c r="AB68" t="s">
        <v>4200</v>
      </c>
      <c r="AC68" t="s">
        <v>4201</v>
      </c>
      <c r="AD68" t="s">
        <v>3157</v>
      </c>
      <c r="AE68">
        <v>185.2</v>
      </c>
      <c r="AF68">
        <v>84.2</v>
      </c>
      <c r="AG68" t="s">
        <v>3269</v>
      </c>
      <c r="AH68">
        <v>172</v>
      </c>
      <c r="AI68" t="s">
        <v>4202</v>
      </c>
      <c r="AJ68">
        <v>49.067867</v>
      </c>
      <c r="AK68">
        <v>-122.504447</v>
      </c>
    </row>
    <row r="69" spans="1:37" x14ac:dyDescent="0.3">
      <c r="A69">
        <v>374</v>
      </c>
      <c r="B69" t="s">
        <v>3118</v>
      </c>
      <c r="C69" t="s">
        <v>3119</v>
      </c>
      <c r="D69" t="s">
        <v>4203</v>
      </c>
      <c r="E69" t="s">
        <v>403</v>
      </c>
      <c r="F69" t="s">
        <v>4204</v>
      </c>
      <c r="G69" t="s">
        <v>4205</v>
      </c>
      <c r="H69" t="s">
        <v>27</v>
      </c>
      <c r="I69" t="s">
        <v>3098</v>
      </c>
      <c r="J69" t="s">
        <v>4068</v>
      </c>
      <c r="K69" t="s">
        <v>3100</v>
      </c>
      <c r="L69" t="s">
        <v>3101</v>
      </c>
      <c r="M69" t="s">
        <v>4206</v>
      </c>
      <c r="N69" t="s">
        <v>4207</v>
      </c>
      <c r="O69" t="s">
        <v>4208</v>
      </c>
      <c r="P69" t="s">
        <v>4209</v>
      </c>
      <c r="Q69" t="s">
        <v>3518</v>
      </c>
      <c r="R69">
        <v>15507</v>
      </c>
      <c r="S69" t="s">
        <v>3107</v>
      </c>
      <c r="T69">
        <v>4556477214286650</v>
      </c>
      <c r="U69">
        <v>959</v>
      </c>
      <c r="V69">
        <v>43678</v>
      </c>
      <c r="W69" t="s">
        <v>4210</v>
      </c>
      <c r="X69" t="s">
        <v>4211</v>
      </c>
      <c r="Y69" t="s">
        <v>3386</v>
      </c>
      <c r="Z69" t="s">
        <v>4212</v>
      </c>
      <c r="AA69" t="s">
        <v>4213</v>
      </c>
      <c r="AB69" t="s">
        <v>4214</v>
      </c>
      <c r="AC69" t="s">
        <v>4215</v>
      </c>
      <c r="AD69" t="s">
        <v>3251</v>
      </c>
      <c r="AE69">
        <v>182.8</v>
      </c>
      <c r="AF69">
        <v>83.1</v>
      </c>
      <c r="AG69" t="s">
        <v>3232</v>
      </c>
      <c r="AH69">
        <v>164</v>
      </c>
      <c r="AI69" t="s">
        <v>4216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3118</v>
      </c>
      <c r="C70" t="s">
        <v>3119</v>
      </c>
      <c r="D70" t="s">
        <v>4217</v>
      </c>
      <c r="E70" t="s">
        <v>3753</v>
      </c>
      <c r="F70" t="s">
        <v>3169</v>
      </c>
      <c r="G70" t="s">
        <v>4218</v>
      </c>
      <c r="H70" t="s">
        <v>2</v>
      </c>
      <c r="I70" t="s">
        <v>3098</v>
      </c>
      <c r="J70" t="s">
        <v>3465</v>
      </c>
      <c r="K70" t="s">
        <v>3100</v>
      </c>
      <c r="L70" t="s">
        <v>3101</v>
      </c>
      <c r="M70" t="s">
        <v>4219</v>
      </c>
      <c r="N70" t="s">
        <v>4220</v>
      </c>
      <c r="O70" t="s">
        <v>4221</v>
      </c>
      <c r="P70" t="s">
        <v>4222</v>
      </c>
      <c r="Q70" t="s">
        <v>3298</v>
      </c>
      <c r="R70">
        <v>18273</v>
      </c>
      <c r="S70" t="s">
        <v>3107</v>
      </c>
      <c r="T70">
        <v>4916039951166660</v>
      </c>
      <c r="U70">
        <v>836</v>
      </c>
      <c r="V70">
        <v>42767</v>
      </c>
      <c r="W70" t="s">
        <v>4223</v>
      </c>
      <c r="X70" t="s">
        <v>4224</v>
      </c>
      <c r="Y70" t="s">
        <v>3172</v>
      </c>
      <c r="Z70" t="s">
        <v>4225</v>
      </c>
      <c r="AA70" t="s">
        <v>4226</v>
      </c>
      <c r="AB70" t="s">
        <v>4227</v>
      </c>
      <c r="AC70" t="s">
        <v>4228</v>
      </c>
      <c r="AD70" t="s">
        <v>3251</v>
      </c>
      <c r="AE70">
        <v>208.1</v>
      </c>
      <c r="AF70">
        <v>94.6</v>
      </c>
      <c r="AG70" t="s">
        <v>3139</v>
      </c>
      <c r="AH70">
        <v>154</v>
      </c>
      <c r="AI70" t="s">
        <v>4229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3092</v>
      </c>
      <c r="C71" t="s">
        <v>3093</v>
      </c>
      <c r="D71" t="s">
        <v>4230</v>
      </c>
      <c r="E71" t="s">
        <v>3095</v>
      </c>
      <c r="F71" t="s">
        <v>3713</v>
      </c>
      <c r="G71" t="s">
        <v>4231</v>
      </c>
      <c r="H71" t="s">
        <v>4232</v>
      </c>
      <c r="I71" t="s">
        <v>3098</v>
      </c>
      <c r="J71" t="s">
        <v>4233</v>
      </c>
      <c r="K71" t="s">
        <v>3100</v>
      </c>
      <c r="L71" t="s">
        <v>3101</v>
      </c>
      <c r="M71" t="s">
        <v>4234</v>
      </c>
      <c r="N71" t="s">
        <v>4235</v>
      </c>
      <c r="O71" t="s">
        <v>4236</v>
      </c>
      <c r="P71" t="s">
        <v>4237</v>
      </c>
      <c r="Q71" t="s">
        <v>4238</v>
      </c>
      <c r="R71">
        <v>21393</v>
      </c>
      <c r="S71" t="s">
        <v>3107</v>
      </c>
      <c r="T71">
        <v>4485369147076750</v>
      </c>
      <c r="U71">
        <v>502</v>
      </c>
      <c r="V71">
        <v>42675</v>
      </c>
      <c r="W71" t="s">
        <v>4239</v>
      </c>
      <c r="X71" t="s">
        <v>4240</v>
      </c>
      <c r="Y71" t="s">
        <v>3110</v>
      </c>
      <c r="Z71" t="s">
        <v>4241</v>
      </c>
      <c r="AA71" t="s">
        <v>4242</v>
      </c>
      <c r="AB71" t="s">
        <v>4243</v>
      </c>
      <c r="AC71" t="s">
        <v>4244</v>
      </c>
      <c r="AD71" t="s">
        <v>3157</v>
      </c>
      <c r="AE71">
        <v>191.6</v>
      </c>
      <c r="AF71">
        <v>87.1</v>
      </c>
      <c r="AG71" t="s">
        <v>3232</v>
      </c>
      <c r="AH71">
        <v>166</v>
      </c>
      <c r="AI71" t="s">
        <v>4245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3118</v>
      </c>
      <c r="C72" t="s">
        <v>3160</v>
      </c>
      <c r="D72" t="s">
        <v>4246</v>
      </c>
      <c r="E72" t="s">
        <v>3095</v>
      </c>
      <c r="F72" t="s">
        <v>4247</v>
      </c>
      <c r="G72" t="s">
        <v>4248</v>
      </c>
      <c r="H72" t="s">
        <v>56</v>
      </c>
      <c r="I72" t="s">
        <v>3098</v>
      </c>
      <c r="J72" t="s">
        <v>3884</v>
      </c>
      <c r="K72" t="s">
        <v>3100</v>
      </c>
      <c r="L72" t="s">
        <v>3101</v>
      </c>
      <c r="M72" t="s">
        <v>4249</v>
      </c>
      <c r="N72" t="s">
        <v>4250</v>
      </c>
      <c r="O72" t="s">
        <v>4251</v>
      </c>
      <c r="P72" t="s">
        <v>4252</v>
      </c>
      <c r="Q72" t="s">
        <v>3495</v>
      </c>
      <c r="R72">
        <v>16312</v>
      </c>
      <c r="S72" t="s">
        <v>3107</v>
      </c>
      <c r="T72">
        <v>4716770652380410</v>
      </c>
      <c r="U72">
        <v>696</v>
      </c>
      <c r="V72">
        <v>42948</v>
      </c>
      <c r="W72" t="s">
        <v>4253</v>
      </c>
      <c r="X72" t="s">
        <v>4254</v>
      </c>
      <c r="Y72" t="s">
        <v>3110</v>
      </c>
      <c r="Z72" t="s">
        <v>4255</v>
      </c>
      <c r="AA72" t="s">
        <v>4256</v>
      </c>
      <c r="AB72" t="s">
        <v>4257</v>
      </c>
      <c r="AC72" t="s">
        <v>4258</v>
      </c>
      <c r="AD72" t="s">
        <v>3251</v>
      </c>
      <c r="AE72">
        <v>197.3</v>
      </c>
      <c r="AF72">
        <v>89.7</v>
      </c>
      <c r="AG72" t="s">
        <v>3232</v>
      </c>
      <c r="AH72">
        <v>165</v>
      </c>
      <c r="AI72" t="s">
        <v>4259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3092</v>
      </c>
      <c r="C73" t="s">
        <v>3093</v>
      </c>
      <c r="D73" t="s">
        <v>4260</v>
      </c>
      <c r="E73" t="s">
        <v>3254</v>
      </c>
      <c r="F73" t="s">
        <v>4261</v>
      </c>
      <c r="G73" t="s">
        <v>4262</v>
      </c>
      <c r="H73" t="s">
        <v>3361</v>
      </c>
      <c r="I73" t="s">
        <v>3098</v>
      </c>
      <c r="J73" t="s">
        <v>4263</v>
      </c>
      <c r="K73" t="s">
        <v>3100</v>
      </c>
      <c r="L73" t="s">
        <v>3101</v>
      </c>
      <c r="M73" t="s">
        <v>4264</v>
      </c>
      <c r="N73" t="s">
        <v>4265</v>
      </c>
      <c r="O73" t="s">
        <v>4266</v>
      </c>
      <c r="P73" t="s">
        <v>4267</v>
      </c>
      <c r="Q73" t="s">
        <v>3512</v>
      </c>
      <c r="R73">
        <v>20126</v>
      </c>
      <c r="S73" t="s">
        <v>3107</v>
      </c>
      <c r="T73">
        <v>4916357454632210</v>
      </c>
      <c r="U73">
        <v>88</v>
      </c>
      <c r="V73">
        <v>43466</v>
      </c>
      <c r="W73" t="s">
        <v>4268</v>
      </c>
      <c r="X73" t="s">
        <v>4269</v>
      </c>
      <c r="Y73" t="s">
        <v>3319</v>
      </c>
      <c r="Z73" t="s">
        <v>4270</v>
      </c>
      <c r="AA73" t="s">
        <v>4271</v>
      </c>
      <c r="AB73" t="s">
        <v>4272</v>
      </c>
      <c r="AC73" t="s">
        <v>4273</v>
      </c>
      <c r="AD73" t="s">
        <v>3195</v>
      </c>
      <c r="AE73">
        <v>155.5</v>
      </c>
      <c r="AF73">
        <v>70.7</v>
      </c>
      <c r="AG73" t="s">
        <v>3196</v>
      </c>
      <c r="AH73">
        <v>168</v>
      </c>
      <c r="AI73" t="s">
        <v>4274</v>
      </c>
      <c r="AJ73">
        <v>49.170023</v>
      </c>
      <c r="AK73">
        <v>-122.925072</v>
      </c>
    </row>
    <row r="74" spans="1:37" x14ac:dyDescent="0.3">
      <c r="A74">
        <v>402</v>
      </c>
      <c r="B74" t="s">
        <v>3092</v>
      </c>
      <c r="C74" t="s">
        <v>3093</v>
      </c>
      <c r="D74" t="s">
        <v>4275</v>
      </c>
      <c r="E74" t="s">
        <v>402</v>
      </c>
      <c r="F74" t="s">
        <v>4276</v>
      </c>
      <c r="G74" t="s">
        <v>4277</v>
      </c>
      <c r="H74" t="s">
        <v>3343</v>
      </c>
      <c r="I74" t="s">
        <v>3098</v>
      </c>
      <c r="J74" t="s">
        <v>3899</v>
      </c>
      <c r="K74" t="s">
        <v>3100</v>
      </c>
      <c r="L74" t="s">
        <v>3101</v>
      </c>
      <c r="M74" t="s">
        <v>4278</v>
      </c>
      <c r="N74" t="s">
        <v>4279</v>
      </c>
      <c r="O74" t="s">
        <v>4280</v>
      </c>
      <c r="P74" t="s">
        <v>4281</v>
      </c>
      <c r="Q74" t="s">
        <v>3290</v>
      </c>
      <c r="R74">
        <v>34021</v>
      </c>
      <c r="S74" t="s">
        <v>3107</v>
      </c>
      <c r="T74">
        <v>4532344655196310</v>
      </c>
      <c r="U74">
        <v>929</v>
      </c>
      <c r="V74">
        <v>42767</v>
      </c>
      <c r="W74" t="s">
        <v>4282</v>
      </c>
      <c r="X74" t="s">
        <v>4283</v>
      </c>
      <c r="Y74" t="s">
        <v>3110</v>
      </c>
      <c r="Z74" t="s">
        <v>4284</v>
      </c>
      <c r="AA74" t="s">
        <v>3717</v>
      </c>
      <c r="AB74" t="s">
        <v>4285</v>
      </c>
      <c r="AC74" t="s">
        <v>4286</v>
      </c>
      <c r="AD74" t="s">
        <v>3251</v>
      </c>
      <c r="AE74">
        <v>127.8</v>
      </c>
      <c r="AF74">
        <v>58.1</v>
      </c>
      <c r="AG74" t="s">
        <v>3305</v>
      </c>
      <c r="AH74">
        <v>171</v>
      </c>
      <c r="AI74" t="s">
        <v>4287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3118</v>
      </c>
      <c r="C75" t="s">
        <v>3160</v>
      </c>
      <c r="D75" t="s">
        <v>3752</v>
      </c>
      <c r="E75" t="s">
        <v>3095</v>
      </c>
      <c r="F75" t="s">
        <v>4288</v>
      </c>
      <c r="G75" t="s">
        <v>4289</v>
      </c>
      <c r="H75" t="s">
        <v>3202</v>
      </c>
      <c r="I75" t="s">
        <v>3098</v>
      </c>
      <c r="J75" t="s">
        <v>3203</v>
      </c>
      <c r="K75" t="s">
        <v>3100</v>
      </c>
      <c r="L75" t="s">
        <v>3101</v>
      </c>
      <c r="M75" t="s">
        <v>4290</v>
      </c>
      <c r="N75" t="s">
        <v>4291</v>
      </c>
      <c r="O75" t="s">
        <v>4292</v>
      </c>
      <c r="P75" t="s">
        <v>4293</v>
      </c>
      <c r="Q75" t="s">
        <v>4294</v>
      </c>
      <c r="R75">
        <v>20182</v>
      </c>
      <c r="S75" t="s">
        <v>3130</v>
      </c>
      <c r="T75">
        <v>5153038736034600</v>
      </c>
      <c r="U75">
        <v>13</v>
      </c>
      <c r="V75">
        <v>42491</v>
      </c>
      <c r="W75" t="s">
        <v>4295</v>
      </c>
      <c r="X75" t="s">
        <v>4296</v>
      </c>
      <c r="Y75" t="s">
        <v>3110</v>
      </c>
      <c r="Z75" t="s">
        <v>4297</v>
      </c>
      <c r="AA75" t="s">
        <v>4298</v>
      </c>
      <c r="AB75" t="s">
        <v>4299</v>
      </c>
      <c r="AC75" t="s">
        <v>4300</v>
      </c>
      <c r="AD75" t="s">
        <v>3195</v>
      </c>
      <c r="AE75">
        <v>194.5</v>
      </c>
      <c r="AF75">
        <v>88.4</v>
      </c>
      <c r="AG75" t="s">
        <v>3177</v>
      </c>
      <c r="AH75">
        <v>158</v>
      </c>
      <c r="AI75" t="s">
        <v>4301</v>
      </c>
      <c r="AJ75">
        <v>49.149307</v>
      </c>
      <c r="AK75">
        <v>-122.34475</v>
      </c>
    </row>
    <row r="76" spans="1:37" x14ac:dyDescent="0.3">
      <c r="A76">
        <v>427</v>
      </c>
      <c r="B76" t="s">
        <v>3118</v>
      </c>
      <c r="C76" t="s">
        <v>3160</v>
      </c>
      <c r="D76" t="s">
        <v>3392</v>
      </c>
      <c r="E76" t="s">
        <v>399</v>
      </c>
      <c r="F76" t="s">
        <v>4302</v>
      </c>
      <c r="G76" t="s">
        <v>4303</v>
      </c>
      <c r="H76" t="s">
        <v>2</v>
      </c>
      <c r="I76" t="s">
        <v>3098</v>
      </c>
      <c r="J76" t="s">
        <v>3465</v>
      </c>
      <c r="K76" t="s">
        <v>3100</v>
      </c>
      <c r="L76" t="s">
        <v>3101</v>
      </c>
      <c r="M76" t="s">
        <v>4304</v>
      </c>
      <c r="N76" t="s">
        <v>4305</v>
      </c>
      <c r="O76" t="s">
        <v>4306</v>
      </c>
      <c r="P76" t="s">
        <v>4307</v>
      </c>
      <c r="Q76" t="s">
        <v>4125</v>
      </c>
      <c r="R76">
        <v>21180</v>
      </c>
      <c r="S76" t="s">
        <v>3130</v>
      </c>
      <c r="T76">
        <v>5499105457219760</v>
      </c>
      <c r="U76">
        <v>736</v>
      </c>
      <c r="V76">
        <v>42552</v>
      </c>
      <c r="W76" t="s">
        <v>4308</v>
      </c>
      <c r="X76" t="s">
        <v>4309</v>
      </c>
      <c r="Y76" t="s">
        <v>3110</v>
      </c>
      <c r="Z76" t="s">
        <v>4310</v>
      </c>
      <c r="AA76" t="s">
        <v>4311</v>
      </c>
      <c r="AB76" t="s">
        <v>4312</v>
      </c>
      <c r="AC76" t="s">
        <v>4313</v>
      </c>
      <c r="AD76" t="s">
        <v>3157</v>
      </c>
      <c r="AE76">
        <v>207</v>
      </c>
      <c r="AF76">
        <v>94.1</v>
      </c>
      <c r="AG76" t="s">
        <v>4314</v>
      </c>
      <c r="AH76">
        <v>152</v>
      </c>
      <c r="AI76" t="s">
        <v>4315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3118</v>
      </c>
      <c r="C77" t="s">
        <v>3119</v>
      </c>
      <c r="D77" t="s">
        <v>4316</v>
      </c>
      <c r="E77" t="s">
        <v>3462</v>
      </c>
      <c r="F77" t="s">
        <v>3096</v>
      </c>
      <c r="G77" t="s">
        <v>4317</v>
      </c>
      <c r="H77" t="s">
        <v>3343</v>
      </c>
      <c r="I77" t="s">
        <v>3098</v>
      </c>
      <c r="J77" t="s">
        <v>3344</v>
      </c>
      <c r="K77" t="s">
        <v>3100</v>
      </c>
      <c r="L77" t="s">
        <v>3101</v>
      </c>
      <c r="M77" t="s">
        <v>4318</v>
      </c>
      <c r="N77" t="s">
        <v>4319</v>
      </c>
      <c r="O77" t="s">
        <v>4320</v>
      </c>
      <c r="P77" t="s">
        <v>4321</v>
      </c>
      <c r="Q77" t="s">
        <v>4322</v>
      </c>
      <c r="R77">
        <v>14771</v>
      </c>
      <c r="S77" t="s">
        <v>3130</v>
      </c>
      <c r="T77">
        <v>5116727733431700</v>
      </c>
      <c r="U77">
        <v>793</v>
      </c>
      <c r="V77">
        <v>42856</v>
      </c>
      <c r="W77" t="s">
        <v>4323</v>
      </c>
      <c r="X77" t="s">
        <v>4324</v>
      </c>
      <c r="Y77" t="s">
        <v>3110</v>
      </c>
      <c r="Z77" t="s">
        <v>4325</v>
      </c>
      <c r="AA77" t="s">
        <v>4326</v>
      </c>
      <c r="AB77" t="s">
        <v>4327</v>
      </c>
      <c r="AC77" t="s">
        <v>4328</v>
      </c>
      <c r="AD77" t="s">
        <v>3195</v>
      </c>
      <c r="AE77">
        <v>202</v>
      </c>
      <c r="AF77">
        <v>91.8</v>
      </c>
      <c r="AG77" t="s">
        <v>3305</v>
      </c>
      <c r="AH77">
        <v>171</v>
      </c>
      <c r="AI77" t="s">
        <v>4329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3092</v>
      </c>
      <c r="C78" t="s">
        <v>3093</v>
      </c>
      <c r="D78" t="s">
        <v>4330</v>
      </c>
      <c r="E78" t="s">
        <v>3254</v>
      </c>
      <c r="F78" t="s">
        <v>4331</v>
      </c>
      <c r="G78" t="s">
        <v>4332</v>
      </c>
      <c r="H78" t="s">
        <v>4333</v>
      </c>
      <c r="I78" t="s">
        <v>3098</v>
      </c>
      <c r="J78" t="s">
        <v>4334</v>
      </c>
      <c r="K78" t="s">
        <v>3100</v>
      </c>
      <c r="L78" t="s">
        <v>3101</v>
      </c>
      <c r="M78" t="s">
        <v>4335</v>
      </c>
      <c r="N78" t="s">
        <v>4336</v>
      </c>
      <c r="O78" t="s">
        <v>4337</v>
      </c>
      <c r="P78" t="s">
        <v>4338</v>
      </c>
      <c r="Q78" t="s">
        <v>4339</v>
      </c>
      <c r="R78">
        <v>28879</v>
      </c>
      <c r="S78" t="s">
        <v>3130</v>
      </c>
      <c r="T78">
        <v>5274026349370290</v>
      </c>
      <c r="U78">
        <v>321</v>
      </c>
      <c r="V78">
        <v>42156</v>
      </c>
      <c r="W78" t="s">
        <v>4340</v>
      </c>
      <c r="X78" t="s">
        <v>4341</v>
      </c>
      <c r="Y78" t="s">
        <v>3133</v>
      </c>
      <c r="Z78" t="s">
        <v>4342</v>
      </c>
      <c r="AA78" t="s">
        <v>4343</v>
      </c>
      <c r="AB78" t="s">
        <v>4344</v>
      </c>
      <c r="AC78" t="s">
        <v>4345</v>
      </c>
      <c r="AD78" t="s">
        <v>3195</v>
      </c>
      <c r="AE78">
        <v>202.2</v>
      </c>
      <c r="AF78">
        <v>91.9</v>
      </c>
      <c r="AG78" t="s">
        <v>3158</v>
      </c>
      <c r="AH78">
        <v>175</v>
      </c>
      <c r="AI78" t="s">
        <v>4346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3092</v>
      </c>
      <c r="C79" t="s">
        <v>3093</v>
      </c>
      <c r="D79" t="s">
        <v>4157</v>
      </c>
      <c r="E79" t="s">
        <v>4347</v>
      </c>
      <c r="F79" t="s">
        <v>3418</v>
      </c>
      <c r="G79" t="s">
        <v>4348</v>
      </c>
      <c r="H79" t="s">
        <v>4349</v>
      </c>
      <c r="I79" t="s">
        <v>3098</v>
      </c>
      <c r="J79" t="s">
        <v>4350</v>
      </c>
      <c r="K79" t="s">
        <v>3100</v>
      </c>
      <c r="L79" t="s">
        <v>3101</v>
      </c>
      <c r="M79" t="s">
        <v>4351</v>
      </c>
      <c r="N79" t="s">
        <v>4352</v>
      </c>
      <c r="O79" t="s">
        <v>4353</v>
      </c>
      <c r="P79" t="s">
        <v>4354</v>
      </c>
      <c r="Q79" t="s">
        <v>4355</v>
      </c>
      <c r="R79">
        <v>16254</v>
      </c>
      <c r="S79" t="s">
        <v>3107</v>
      </c>
      <c r="T79">
        <v>4929407916922110</v>
      </c>
      <c r="U79">
        <v>662</v>
      </c>
      <c r="V79">
        <v>42095</v>
      </c>
      <c r="W79" t="s">
        <v>4356</v>
      </c>
      <c r="X79" t="s">
        <v>4357</v>
      </c>
      <c r="Y79" t="s">
        <v>3110</v>
      </c>
      <c r="Z79" t="s">
        <v>4358</v>
      </c>
      <c r="AA79" t="s">
        <v>4359</v>
      </c>
      <c r="AB79" t="s">
        <v>4360</v>
      </c>
      <c r="AC79" t="s">
        <v>4361</v>
      </c>
      <c r="AD79" t="s">
        <v>3195</v>
      </c>
      <c r="AE79">
        <v>165.9</v>
      </c>
      <c r="AF79">
        <v>75.400000000000006</v>
      </c>
      <c r="AG79" t="s">
        <v>3158</v>
      </c>
      <c r="AH79">
        <v>174</v>
      </c>
      <c r="AI79" t="s">
        <v>4362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3118</v>
      </c>
      <c r="C80" t="s">
        <v>3160</v>
      </c>
      <c r="D80" t="s">
        <v>3427</v>
      </c>
      <c r="E80" t="s">
        <v>3095</v>
      </c>
      <c r="F80" t="s">
        <v>4363</v>
      </c>
      <c r="G80" t="s">
        <v>4364</v>
      </c>
      <c r="H80" t="s">
        <v>2</v>
      </c>
      <c r="I80" t="s">
        <v>3098</v>
      </c>
      <c r="J80" t="s">
        <v>4006</v>
      </c>
      <c r="K80" t="s">
        <v>3100</v>
      </c>
      <c r="L80" t="s">
        <v>3101</v>
      </c>
      <c r="M80" t="s">
        <v>4365</v>
      </c>
      <c r="N80" t="s">
        <v>4366</v>
      </c>
      <c r="O80" t="s">
        <v>4367</v>
      </c>
      <c r="P80" t="s">
        <v>4368</v>
      </c>
      <c r="Q80" t="s">
        <v>4369</v>
      </c>
      <c r="R80">
        <v>16674</v>
      </c>
      <c r="S80" t="s">
        <v>3107</v>
      </c>
      <c r="T80">
        <v>4532076369361500</v>
      </c>
      <c r="U80">
        <v>132</v>
      </c>
      <c r="V80">
        <v>42036</v>
      </c>
      <c r="W80" t="s">
        <v>4370</v>
      </c>
      <c r="X80" t="s">
        <v>4371</v>
      </c>
      <c r="Y80" t="s">
        <v>3319</v>
      </c>
      <c r="Z80" t="s">
        <v>4372</v>
      </c>
      <c r="AA80" t="s">
        <v>4373</v>
      </c>
      <c r="AB80" t="s">
        <v>4374</v>
      </c>
      <c r="AC80" t="s">
        <v>4375</v>
      </c>
      <c r="AD80" t="s">
        <v>3195</v>
      </c>
      <c r="AE80">
        <v>219.3</v>
      </c>
      <c r="AF80">
        <v>99.7</v>
      </c>
      <c r="AG80" t="s">
        <v>3305</v>
      </c>
      <c r="AH80">
        <v>169</v>
      </c>
      <c r="AI80" t="s">
        <v>4376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3092</v>
      </c>
      <c r="C81" t="s">
        <v>3093</v>
      </c>
      <c r="D81" t="s">
        <v>4377</v>
      </c>
      <c r="E81" t="s">
        <v>397</v>
      </c>
      <c r="F81" t="s">
        <v>4378</v>
      </c>
      <c r="G81" t="s">
        <v>4379</v>
      </c>
      <c r="H81" t="s">
        <v>4380</v>
      </c>
      <c r="I81" t="s">
        <v>3098</v>
      </c>
      <c r="J81" t="s">
        <v>4381</v>
      </c>
      <c r="K81" t="s">
        <v>3100</v>
      </c>
      <c r="L81" t="s">
        <v>3101</v>
      </c>
      <c r="M81" t="s">
        <v>4382</v>
      </c>
      <c r="N81" t="s">
        <v>4383</v>
      </c>
      <c r="O81" t="s">
        <v>4384</v>
      </c>
      <c r="P81" t="s">
        <v>4385</v>
      </c>
      <c r="Q81" t="s">
        <v>4386</v>
      </c>
      <c r="R81">
        <v>15559</v>
      </c>
      <c r="S81" t="s">
        <v>3107</v>
      </c>
      <c r="T81">
        <v>4485792470214100</v>
      </c>
      <c r="U81">
        <v>931</v>
      </c>
      <c r="V81">
        <v>42767</v>
      </c>
      <c r="W81" t="s">
        <v>4387</v>
      </c>
      <c r="X81" t="s">
        <v>4388</v>
      </c>
      <c r="Y81" t="s">
        <v>3421</v>
      </c>
      <c r="Z81" t="s">
        <v>4389</v>
      </c>
      <c r="AA81" t="s">
        <v>4390</v>
      </c>
      <c r="AB81" t="s">
        <v>4391</v>
      </c>
      <c r="AC81" t="s">
        <v>4392</v>
      </c>
      <c r="AD81" t="s">
        <v>3195</v>
      </c>
      <c r="AE81">
        <v>141.9</v>
      </c>
      <c r="AF81">
        <v>64.5</v>
      </c>
      <c r="AG81" t="s">
        <v>3287</v>
      </c>
      <c r="AH81">
        <v>182</v>
      </c>
      <c r="AI81" t="s">
        <v>4393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3092</v>
      </c>
      <c r="C82" t="s">
        <v>3093</v>
      </c>
      <c r="D82" t="s">
        <v>4394</v>
      </c>
      <c r="E82" t="s">
        <v>3095</v>
      </c>
      <c r="F82" t="s">
        <v>4395</v>
      </c>
      <c r="G82" t="s">
        <v>4396</v>
      </c>
      <c r="H82" t="s">
        <v>4397</v>
      </c>
      <c r="I82" t="s">
        <v>3098</v>
      </c>
      <c r="J82" t="s">
        <v>4398</v>
      </c>
      <c r="K82" t="s">
        <v>3100</v>
      </c>
      <c r="L82" t="s">
        <v>3101</v>
      </c>
      <c r="M82" t="s">
        <v>4399</v>
      </c>
      <c r="N82" t="s">
        <v>4400</v>
      </c>
      <c r="O82" t="s">
        <v>4401</v>
      </c>
      <c r="P82" t="s">
        <v>4402</v>
      </c>
      <c r="Q82" t="s">
        <v>4403</v>
      </c>
      <c r="R82">
        <v>27696</v>
      </c>
      <c r="S82" t="s">
        <v>3107</v>
      </c>
      <c r="T82">
        <v>4485298847377740</v>
      </c>
      <c r="U82">
        <v>702</v>
      </c>
      <c r="V82">
        <v>42736</v>
      </c>
      <c r="W82" t="s">
        <v>4404</v>
      </c>
      <c r="X82" t="s">
        <v>4405</v>
      </c>
      <c r="Y82" t="s">
        <v>3421</v>
      </c>
      <c r="Z82" t="s">
        <v>4406</v>
      </c>
      <c r="AA82" t="s">
        <v>4407</v>
      </c>
      <c r="AB82" t="s">
        <v>4408</v>
      </c>
      <c r="AC82" t="s">
        <v>4409</v>
      </c>
      <c r="AD82" t="s">
        <v>3195</v>
      </c>
      <c r="AE82">
        <v>247.5</v>
      </c>
      <c r="AF82">
        <v>112.5</v>
      </c>
      <c r="AG82" t="s">
        <v>3572</v>
      </c>
      <c r="AH82">
        <v>189</v>
      </c>
      <c r="AI82" t="s">
        <v>4410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3118</v>
      </c>
      <c r="C83" t="s">
        <v>3119</v>
      </c>
      <c r="D83" t="s">
        <v>4411</v>
      </c>
      <c r="E83" t="s">
        <v>4347</v>
      </c>
      <c r="F83" t="s">
        <v>4412</v>
      </c>
      <c r="G83" t="s">
        <v>4413</v>
      </c>
      <c r="H83" t="s">
        <v>4414</v>
      </c>
      <c r="I83" t="s">
        <v>3098</v>
      </c>
      <c r="J83" t="s">
        <v>4415</v>
      </c>
      <c r="K83" t="s">
        <v>3100</v>
      </c>
      <c r="L83" t="s">
        <v>3101</v>
      </c>
      <c r="M83" t="s">
        <v>4416</v>
      </c>
      <c r="N83" t="s">
        <v>4417</v>
      </c>
      <c r="O83" t="s">
        <v>4418</v>
      </c>
      <c r="P83" t="s">
        <v>4419</v>
      </c>
      <c r="Q83" t="s">
        <v>4420</v>
      </c>
      <c r="R83">
        <v>19439</v>
      </c>
      <c r="S83" t="s">
        <v>3107</v>
      </c>
      <c r="T83">
        <v>4485134624786160</v>
      </c>
      <c r="U83">
        <v>46</v>
      </c>
      <c r="V83">
        <v>43344</v>
      </c>
      <c r="W83" t="s">
        <v>4421</v>
      </c>
      <c r="X83" t="s">
        <v>4422</v>
      </c>
      <c r="Y83" t="s">
        <v>3264</v>
      </c>
      <c r="Z83" t="s">
        <v>4423</v>
      </c>
      <c r="AA83" t="s">
        <v>4424</v>
      </c>
      <c r="AB83" t="s">
        <v>4425</v>
      </c>
      <c r="AC83" t="s">
        <v>4426</v>
      </c>
      <c r="AD83" t="s">
        <v>3195</v>
      </c>
      <c r="AE83">
        <v>161.5</v>
      </c>
      <c r="AF83">
        <v>73.400000000000006</v>
      </c>
      <c r="AG83" t="s">
        <v>4314</v>
      </c>
      <c r="AH83">
        <v>153</v>
      </c>
      <c r="AI83" t="s">
        <v>4427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3092</v>
      </c>
      <c r="C84" t="s">
        <v>3093</v>
      </c>
      <c r="D84" t="s">
        <v>3543</v>
      </c>
      <c r="E84" t="s">
        <v>3462</v>
      </c>
      <c r="F84" t="s">
        <v>4428</v>
      </c>
      <c r="G84" t="s">
        <v>4429</v>
      </c>
      <c r="H84" t="s">
        <v>4430</v>
      </c>
      <c r="I84" t="s">
        <v>3098</v>
      </c>
      <c r="J84" t="s">
        <v>4431</v>
      </c>
      <c r="K84" t="s">
        <v>3100</v>
      </c>
      <c r="L84" t="s">
        <v>3101</v>
      </c>
      <c r="M84" t="s">
        <v>4432</v>
      </c>
      <c r="N84" t="s">
        <v>4433</v>
      </c>
      <c r="O84" t="s">
        <v>4434</v>
      </c>
      <c r="P84" t="s">
        <v>4435</v>
      </c>
      <c r="Q84" t="s">
        <v>4436</v>
      </c>
      <c r="R84">
        <v>21583</v>
      </c>
      <c r="S84" t="s">
        <v>3107</v>
      </c>
      <c r="T84">
        <v>4929588594216720</v>
      </c>
      <c r="U84">
        <v>233</v>
      </c>
      <c r="V84">
        <v>43525</v>
      </c>
      <c r="W84" t="s">
        <v>4437</v>
      </c>
      <c r="X84" t="s">
        <v>4438</v>
      </c>
      <c r="Y84" t="s">
        <v>3110</v>
      </c>
      <c r="Z84" t="s">
        <v>4439</v>
      </c>
      <c r="AA84" t="s">
        <v>4440</v>
      </c>
      <c r="AB84" t="s">
        <v>4441</v>
      </c>
      <c r="AC84" t="s">
        <v>4442</v>
      </c>
      <c r="AD84" t="s">
        <v>3251</v>
      </c>
      <c r="AE84">
        <v>235.4</v>
      </c>
      <c r="AF84">
        <v>107</v>
      </c>
      <c r="AG84" t="s">
        <v>3541</v>
      </c>
      <c r="AH84">
        <v>181</v>
      </c>
      <c r="AI84" t="s">
        <v>4443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3118</v>
      </c>
      <c r="C85" t="s">
        <v>3119</v>
      </c>
      <c r="D85" t="s">
        <v>4444</v>
      </c>
      <c r="E85" t="s">
        <v>3095</v>
      </c>
      <c r="F85" t="s">
        <v>4445</v>
      </c>
      <c r="G85" t="s">
        <v>4446</v>
      </c>
      <c r="H85" t="s">
        <v>4189</v>
      </c>
      <c r="I85" t="s">
        <v>3098</v>
      </c>
      <c r="J85" t="s">
        <v>4190</v>
      </c>
      <c r="K85" t="s">
        <v>3100</v>
      </c>
      <c r="L85" t="s">
        <v>3101</v>
      </c>
      <c r="M85" t="s">
        <v>4447</v>
      </c>
      <c r="N85" t="s">
        <v>4448</v>
      </c>
      <c r="O85" t="s">
        <v>4449</v>
      </c>
      <c r="P85" t="s">
        <v>4450</v>
      </c>
      <c r="Q85" t="s">
        <v>4451</v>
      </c>
      <c r="R85">
        <v>27263</v>
      </c>
      <c r="S85" t="s">
        <v>3130</v>
      </c>
      <c r="T85">
        <v>5363306913729700</v>
      </c>
      <c r="U85">
        <v>837</v>
      </c>
      <c r="V85">
        <v>42461</v>
      </c>
      <c r="W85" t="s">
        <v>4452</v>
      </c>
      <c r="X85" t="s">
        <v>4453</v>
      </c>
      <c r="Y85" t="s">
        <v>3264</v>
      </c>
      <c r="Z85" t="s">
        <v>4454</v>
      </c>
      <c r="AA85" t="s">
        <v>4455</v>
      </c>
      <c r="AB85" t="s">
        <v>4456</v>
      </c>
      <c r="AC85" t="s">
        <v>4457</v>
      </c>
      <c r="AD85" t="s">
        <v>3195</v>
      </c>
      <c r="AE85">
        <v>218.9</v>
      </c>
      <c r="AF85">
        <v>99.5</v>
      </c>
      <c r="AG85" t="s">
        <v>4155</v>
      </c>
      <c r="AH85">
        <v>163</v>
      </c>
      <c r="AI85" t="s">
        <v>4458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3092</v>
      </c>
      <c r="C86" t="s">
        <v>3093</v>
      </c>
      <c r="D86" t="s">
        <v>3777</v>
      </c>
      <c r="E86" t="s">
        <v>3575</v>
      </c>
      <c r="F86" t="s">
        <v>4459</v>
      </c>
      <c r="G86" t="s">
        <v>4460</v>
      </c>
      <c r="H86" t="s">
        <v>3497</v>
      </c>
      <c r="I86" t="s">
        <v>3098</v>
      </c>
      <c r="J86" t="s">
        <v>4461</v>
      </c>
      <c r="K86" t="s">
        <v>3100</v>
      </c>
      <c r="L86" t="s">
        <v>3101</v>
      </c>
      <c r="M86" t="s">
        <v>4462</v>
      </c>
      <c r="N86" t="s">
        <v>4463</v>
      </c>
      <c r="O86" t="s">
        <v>4464</v>
      </c>
      <c r="P86" t="s">
        <v>4465</v>
      </c>
      <c r="Q86" t="s">
        <v>4157</v>
      </c>
      <c r="R86">
        <v>18000</v>
      </c>
      <c r="S86" t="s">
        <v>3130</v>
      </c>
      <c r="T86">
        <v>5592618023783610</v>
      </c>
      <c r="U86">
        <v>968</v>
      </c>
      <c r="V86">
        <v>42979</v>
      </c>
      <c r="W86" t="s">
        <v>4466</v>
      </c>
      <c r="X86" t="s">
        <v>4467</v>
      </c>
      <c r="Y86" t="s">
        <v>3110</v>
      </c>
      <c r="Z86" t="s">
        <v>4468</v>
      </c>
      <c r="AA86" t="s">
        <v>4469</v>
      </c>
      <c r="AB86" t="s">
        <v>4470</v>
      </c>
      <c r="AC86" t="s">
        <v>4471</v>
      </c>
      <c r="AD86" t="s">
        <v>3115</v>
      </c>
      <c r="AE86">
        <v>238.7</v>
      </c>
      <c r="AF86">
        <v>108.5</v>
      </c>
      <c r="AG86" t="s">
        <v>3116</v>
      </c>
      <c r="AH86">
        <v>186</v>
      </c>
      <c r="AI86" t="s">
        <v>4472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3118</v>
      </c>
      <c r="C87" t="s">
        <v>3119</v>
      </c>
      <c r="D87" t="s">
        <v>4473</v>
      </c>
      <c r="E87" t="s">
        <v>3199</v>
      </c>
      <c r="F87" t="s">
        <v>4474</v>
      </c>
      <c r="G87" t="s">
        <v>4475</v>
      </c>
      <c r="H87" t="s">
        <v>3274</v>
      </c>
      <c r="I87" t="s">
        <v>3098</v>
      </c>
      <c r="J87" t="s">
        <v>3275</v>
      </c>
      <c r="K87" t="s">
        <v>3100</v>
      </c>
      <c r="L87" t="s">
        <v>3101</v>
      </c>
      <c r="M87" t="s">
        <v>4476</v>
      </c>
      <c r="N87" t="s">
        <v>4477</v>
      </c>
      <c r="O87" t="s">
        <v>4478</v>
      </c>
      <c r="P87" t="s">
        <v>4479</v>
      </c>
      <c r="Q87" t="s">
        <v>4395</v>
      </c>
      <c r="R87">
        <v>19161</v>
      </c>
      <c r="S87" t="s">
        <v>3107</v>
      </c>
      <c r="T87">
        <v>4485646572594640</v>
      </c>
      <c r="U87">
        <v>681</v>
      </c>
      <c r="V87">
        <v>43770</v>
      </c>
      <c r="W87" t="s">
        <v>4480</v>
      </c>
      <c r="X87" t="s">
        <v>4481</v>
      </c>
      <c r="Y87" t="s">
        <v>3172</v>
      </c>
      <c r="Z87" t="s">
        <v>4482</v>
      </c>
      <c r="AA87" t="s">
        <v>4483</v>
      </c>
      <c r="AB87" t="s">
        <v>4484</v>
      </c>
      <c r="AC87" t="s">
        <v>4485</v>
      </c>
      <c r="AD87" t="s">
        <v>3251</v>
      </c>
      <c r="AE87">
        <v>149.80000000000001</v>
      </c>
      <c r="AF87">
        <v>68.099999999999994</v>
      </c>
      <c r="AG87" t="s">
        <v>3232</v>
      </c>
      <c r="AH87">
        <v>164</v>
      </c>
      <c r="AI87" t="s">
        <v>4486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3118</v>
      </c>
      <c r="C88" t="s">
        <v>3119</v>
      </c>
      <c r="D88" t="s">
        <v>4487</v>
      </c>
      <c r="E88" t="s">
        <v>402</v>
      </c>
      <c r="F88" t="s">
        <v>4488</v>
      </c>
      <c r="G88" t="s">
        <v>4489</v>
      </c>
      <c r="H88" t="s">
        <v>3395</v>
      </c>
      <c r="I88" t="s">
        <v>3098</v>
      </c>
      <c r="J88" t="s">
        <v>4490</v>
      </c>
      <c r="K88" t="s">
        <v>3100</v>
      </c>
      <c r="L88" t="s">
        <v>3101</v>
      </c>
      <c r="M88" t="s">
        <v>4491</v>
      </c>
      <c r="N88" t="s">
        <v>4492</v>
      </c>
      <c r="O88" t="s">
        <v>4493</v>
      </c>
      <c r="P88" t="s">
        <v>4494</v>
      </c>
      <c r="Q88" t="s">
        <v>4495</v>
      </c>
      <c r="R88">
        <v>23301</v>
      </c>
      <c r="S88" t="s">
        <v>3107</v>
      </c>
      <c r="T88">
        <v>4539632637054550</v>
      </c>
      <c r="U88">
        <v>440</v>
      </c>
      <c r="V88">
        <v>42979</v>
      </c>
      <c r="W88" t="s">
        <v>4496</v>
      </c>
      <c r="X88" t="s">
        <v>4497</v>
      </c>
      <c r="Y88" t="s">
        <v>3319</v>
      </c>
      <c r="Z88" t="s">
        <v>4498</v>
      </c>
      <c r="AA88" t="s">
        <v>4499</v>
      </c>
      <c r="AB88" t="s">
        <v>4500</v>
      </c>
      <c r="AC88" t="s">
        <v>4501</v>
      </c>
      <c r="AD88" t="s">
        <v>3251</v>
      </c>
      <c r="AE88">
        <v>171.8</v>
      </c>
      <c r="AF88">
        <v>78.099999999999994</v>
      </c>
      <c r="AG88" t="s">
        <v>3196</v>
      </c>
      <c r="AH88">
        <v>167</v>
      </c>
      <c r="AI88" t="s">
        <v>4502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3118</v>
      </c>
      <c r="C89" t="s">
        <v>3160</v>
      </c>
      <c r="D89" t="s">
        <v>4503</v>
      </c>
      <c r="E89" t="s">
        <v>397</v>
      </c>
      <c r="F89" t="s">
        <v>3995</v>
      </c>
      <c r="G89" t="s">
        <v>4504</v>
      </c>
      <c r="H89" t="s">
        <v>27</v>
      </c>
      <c r="I89" t="s">
        <v>3098</v>
      </c>
      <c r="J89" t="s">
        <v>3943</v>
      </c>
      <c r="K89" t="s">
        <v>3100</v>
      </c>
      <c r="L89" t="s">
        <v>3101</v>
      </c>
      <c r="M89" t="s">
        <v>4505</v>
      </c>
      <c r="N89" t="s">
        <v>4506</v>
      </c>
      <c r="O89" t="s">
        <v>4507</v>
      </c>
      <c r="P89" t="s">
        <v>4508</v>
      </c>
      <c r="Q89" t="s">
        <v>4509</v>
      </c>
      <c r="R89">
        <v>13632</v>
      </c>
      <c r="S89" t="s">
        <v>3130</v>
      </c>
      <c r="T89">
        <v>5446101966112130</v>
      </c>
      <c r="U89">
        <v>724</v>
      </c>
      <c r="V89">
        <v>42370</v>
      </c>
      <c r="W89" t="s">
        <v>4510</v>
      </c>
      <c r="X89" t="s">
        <v>4511</v>
      </c>
      <c r="Y89" t="s">
        <v>3319</v>
      </c>
      <c r="Z89" t="s">
        <v>4512</v>
      </c>
      <c r="AA89" t="s">
        <v>4513</v>
      </c>
      <c r="AB89" t="s">
        <v>4514</v>
      </c>
      <c r="AC89" t="s">
        <v>4515</v>
      </c>
      <c r="AD89" t="s">
        <v>3195</v>
      </c>
      <c r="AE89">
        <v>146.69999999999999</v>
      </c>
      <c r="AF89">
        <v>66.7</v>
      </c>
      <c r="AG89" t="s">
        <v>3196</v>
      </c>
      <c r="AH89">
        <v>167</v>
      </c>
      <c r="AI89" t="s">
        <v>4516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3118</v>
      </c>
      <c r="C90" t="s">
        <v>3160</v>
      </c>
      <c r="D90" t="s">
        <v>4517</v>
      </c>
      <c r="E90" t="s">
        <v>3199</v>
      </c>
      <c r="F90" t="s">
        <v>4518</v>
      </c>
      <c r="G90" t="s">
        <v>4519</v>
      </c>
      <c r="H90" t="s">
        <v>4520</v>
      </c>
      <c r="I90" t="s">
        <v>3098</v>
      </c>
      <c r="J90" t="s">
        <v>4521</v>
      </c>
      <c r="K90" t="s">
        <v>3100</v>
      </c>
      <c r="L90" t="s">
        <v>3101</v>
      </c>
      <c r="M90" t="s">
        <v>4522</v>
      </c>
      <c r="N90" t="s">
        <v>4523</v>
      </c>
      <c r="O90" t="s">
        <v>4524</v>
      </c>
      <c r="P90" t="s">
        <v>4525</v>
      </c>
      <c r="Q90" t="s">
        <v>4526</v>
      </c>
      <c r="R90">
        <v>31931</v>
      </c>
      <c r="S90" t="s">
        <v>3107</v>
      </c>
      <c r="T90">
        <v>4929961010185900</v>
      </c>
      <c r="U90">
        <v>427</v>
      </c>
      <c r="V90">
        <v>43647</v>
      </c>
      <c r="W90" t="s">
        <v>4527</v>
      </c>
      <c r="X90" t="s">
        <v>4528</v>
      </c>
      <c r="Y90" t="s">
        <v>3110</v>
      </c>
      <c r="Z90" t="s">
        <v>4529</v>
      </c>
      <c r="AA90" t="s">
        <v>4530</v>
      </c>
      <c r="AB90" t="s">
        <v>4531</v>
      </c>
      <c r="AC90" t="s">
        <v>4532</v>
      </c>
      <c r="AD90" t="s">
        <v>3157</v>
      </c>
      <c r="AE90">
        <v>142.80000000000001</v>
      </c>
      <c r="AF90">
        <v>64.900000000000006</v>
      </c>
      <c r="AG90" t="s">
        <v>3196</v>
      </c>
      <c r="AH90">
        <v>167</v>
      </c>
      <c r="AI90" t="s">
        <v>4533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3118</v>
      </c>
      <c r="C91" t="s">
        <v>3119</v>
      </c>
      <c r="D91" t="s">
        <v>4534</v>
      </c>
      <c r="E91" t="s">
        <v>397</v>
      </c>
      <c r="F91" t="s">
        <v>4535</v>
      </c>
      <c r="G91" t="s">
        <v>4536</v>
      </c>
      <c r="H91" t="s">
        <v>2</v>
      </c>
      <c r="I91" t="s">
        <v>3098</v>
      </c>
      <c r="J91" t="s">
        <v>3465</v>
      </c>
      <c r="K91" t="s">
        <v>3100</v>
      </c>
      <c r="L91" t="s">
        <v>3101</v>
      </c>
      <c r="M91" t="s">
        <v>4537</v>
      </c>
      <c r="N91" t="s">
        <v>4538</v>
      </c>
      <c r="O91" t="s">
        <v>4539</v>
      </c>
      <c r="P91" t="s">
        <v>4540</v>
      </c>
      <c r="Q91" t="s">
        <v>4541</v>
      </c>
      <c r="R91">
        <v>16486</v>
      </c>
      <c r="S91" t="s">
        <v>3130</v>
      </c>
      <c r="T91">
        <v>5593155219338320</v>
      </c>
      <c r="U91">
        <v>295</v>
      </c>
      <c r="V91">
        <v>43070</v>
      </c>
      <c r="W91" t="s">
        <v>4542</v>
      </c>
      <c r="X91" t="s">
        <v>4543</v>
      </c>
      <c r="Y91" t="s">
        <v>3264</v>
      </c>
      <c r="Z91" t="s">
        <v>4544</v>
      </c>
      <c r="AA91" t="s">
        <v>4545</v>
      </c>
      <c r="AB91" t="s">
        <v>4546</v>
      </c>
      <c r="AC91" t="s">
        <v>4547</v>
      </c>
      <c r="AD91" t="s">
        <v>3195</v>
      </c>
      <c r="AE91">
        <v>193.8</v>
      </c>
      <c r="AF91">
        <v>88.1</v>
      </c>
      <c r="AG91" t="s">
        <v>4314</v>
      </c>
      <c r="AH91">
        <v>153</v>
      </c>
      <c r="AI91" t="s">
        <v>4548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3118</v>
      </c>
      <c r="C92" t="s">
        <v>3160</v>
      </c>
      <c r="D92" t="s">
        <v>4549</v>
      </c>
      <c r="E92" t="s">
        <v>3753</v>
      </c>
      <c r="F92" t="s">
        <v>4550</v>
      </c>
      <c r="G92" t="s">
        <v>4551</v>
      </c>
      <c r="H92" t="s">
        <v>27</v>
      </c>
      <c r="I92" t="s">
        <v>3098</v>
      </c>
      <c r="J92" t="s">
        <v>4552</v>
      </c>
      <c r="K92" t="s">
        <v>3100</v>
      </c>
      <c r="L92" t="s">
        <v>3101</v>
      </c>
      <c r="M92" t="s">
        <v>4553</v>
      </c>
      <c r="N92" t="s">
        <v>4554</v>
      </c>
      <c r="O92" t="s">
        <v>4555</v>
      </c>
      <c r="P92" t="s">
        <v>4556</v>
      </c>
      <c r="Q92" t="s">
        <v>4557</v>
      </c>
      <c r="R92">
        <v>19847</v>
      </c>
      <c r="S92" t="s">
        <v>3107</v>
      </c>
      <c r="T92">
        <v>4556697484298540</v>
      </c>
      <c r="U92">
        <v>98</v>
      </c>
      <c r="V92">
        <v>43221</v>
      </c>
      <c r="W92" t="s">
        <v>4558</v>
      </c>
      <c r="X92" t="s">
        <v>4559</v>
      </c>
      <c r="Y92" t="s">
        <v>3264</v>
      </c>
      <c r="Z92" t="s">
        <v>4560</v>
      </c>
      <c r="AA92" t="s">
        <v>4561</v>
      </c>
      <c r="AB92" t="s">
        <v>4562</v>
      </c>
      <c r="AC92" t="s">
        <v>4563</v>
      </c>
      <c r="AD92" t="s">
        <v>3157</v>
      </c>
      <c r="AE92">
        <v>176.4</v>
      </c>
      <c r="AF92">
        <v>80.2</v>
      </c>
      <c r="AG92" t="s">
        <v>3232</v>
      </c>
      <c r="AH92">
        <v>165</v>
      </c>
      <c r="AI92" t="s">
        <v>4564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3118</v>
      </c>
      <c r="C93" t="s">
        <v>3160</v>
      </c>
      <c r="D93" t="s">
        <v>4565</v>
      </c>
      <c r="E93" t="s">
        <v>3462</v>
      </c>
      <c r="F93" t="s">
        <v>4566</v>
      </c>
      <c r="G93" t="s">
        <v>4567</v>
      </c>
      <c r="H93" t="s">
        <v>4568</v>
      </c>
      <c r="I93" t="s">
        <v>3098</v>
      </c>
      <c r="J93" t="s">
        <v>4569</v>
      </c>
      <c r="K93" t="s">
        <v>3100</v>
      </c>
      <c r="L93" t="s">
        <v>3101</v>
      </c>
      <c r="M93" t="s">
        <v>4570</v>
      </c>
      <c r="N93" t="s">
        <v>4571</v>
      </c>
      <c r="O93" t="s">
        <v>4572</v>
      </c>
      <c r="P93" t="s">
        <v>4573</v>
      </c>
      <c r="Q93" t="s">
        <v>4574</v>
      </c>
      <c r="R93">
        <v>28871</v>
      </c>
      <c r="S93" t="s">
        <v>3130</v>
      </c>
      <c r="T93">
        <v>5569506901020870</v>
      </c>
      <c r="U93">
        <v>159</v>
      </c>
      <c r="V93">
        <v>43647</v>
      </c>
      <c r="W93" t="s">
        <v>4575</v>
      </c>
      <c r="X93" t="s">
        <v>4576</v>
      </c>
      <c r="Y93" t="s">
        <v>3110</v>
      </c>
      <c r="Z93" t="s">
        <v>4577</v>
      </c>
      <c r="AA93" t="s">
        <v>4578</v>
      </c>
      <c r="AB93" t="s">
        <v>4579</v>
      </c>
      <c r="AC93" t="s">
        <v>4580</v>
      </c>
      <c r="AD93" t="s">
        <v>3251</v>
      </c>
      <c r="AE93">
        <v>174.2</v>
      </c>
      <c r="AF93">
        <v>79.2</v>
      </c>
      <c r="AG93" t="s">
        <v>3196</v>
      </c>
      <c r="AH93">
        <v>167</v>
      </c>
      <c r="AI93" t="s">
        <v>4581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3092</v>
      </c>
      <c r="C94" t="s">
        <v>3093</v>
      </c>
      <c r="D94" t="s">
        <v>4582</v>
      </c>
      <c r="E94" t="s">
        <v>204</v>
      </c>
      <c r="F94" t="s">
        <v>3319</v>
      </c>
      <c r="G94" t="s">
        <v>4583</v>
      </c>
      <c r="H94" t="s">
        <v>4584</v>
      </c>
      <c r="I94" t="s">
        <v>3098</v>
      </c>
      <c r="J94" t="s">
        <v>4585</v>
      </c>
      <c r="K94" t="s">
        <v>3100</v>
      </c>
      <c r="L94" t="s">
        <v>3101</v>
      </c>
      <c r="M94" t="s">
        <v>4586</v>
      </c>
      <c r="N94" t="s">
        <v>4587</v>
      </c>
      <c r="O94" t="s">
        <v>4588</v>
      </c>
      <c r="P94" t="s">
        <v>4589</v>
      </c>
      <c r="Q94" t="s">
        <v>4590</v>
      </c>
      <c r="R94">
        <v>22161</v>
      </c>
      <c r="S94" t="s">
        <v>3130</v>
      </c>
      <c r="T94">
        <v>5419117354070530</v>
      </c>
      <c r="U94">
        <v>355</v>
      </c>
      <c r="V94">
        <v>43800</v>
      </c>
      <c r="W94" t="s">
        <v>4591</v>
      </c>
      <c r="X94" t="s">
        <v>4592</v>
      </c>
      <c r="Y94" t="s">
        <v>3110</v>
      </c>
      <c r="Z94" t="s">
        <v>4593</v>
      </c>
      <c r="AA94" t="s">
        <v>4469</v>
      </c>
      <c r="AB94" t="s">
        <v>4594</v>
      </c>
      <c r="AC94" t="s">
        <v>4595</v>
      </c>
      <c r="AD94" t="s">
        <v>3157</v>
      </c>
      <c r="AE94">
        <v>245.5</v>
      </c>
      <c r="AF94">
        <v>111.6</v>
      </c>
      <c r="AG94" t="s">
        <v>3158</v>
      </c>
      <c r="AH94">
        <v>176</v>
      </c>
      <c r="AI94" t="s">
        <v>4596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3092</v>
      </c>
      <c r="C95" t="s">
        <v>3093</v>
      </c>
      <c r="D95" t="s">
        <v>4597</v>
      </c>
      <c r="E95" t="s">
        <v>3462</v>
      </c>
      <c r="F95" t="s">
        <v>4598</v>
      </c>
      <c r="G95" t="s">
        <v>4599</v>
      </c>
      <c r="H95" t="s">
        <v>3836</v>
      </c>
      <c r="I95" t="s">
        <v>3098</v>
      </c>
      <c r="J95" t="s">
        <v>3837</v>
      </c>
      <c r="K95" t="s">
        <v>3100</v>
      </c>
      <c r="L95" t="s">
        <v>3101</v>
      </c>
      <c r="M95" t="s">
        <v>4600</v>
      </c>
      <c r="N95" t="s">
        <v>4601</v>
      </c>
      <c r="O95" t="s">
        <v>4602</v>
      </c>
      <c r="P95" t="s">
        <v>4603</v>
      </c>
      <c r="Q95" t="s">
        <v>4604</v>
      </c>
      <c r="R95">
        <v>26286</v>
      </c>
      <c r="S95" t="s">
        <v>3107</v>
      </c>
      <c r="T95">
        <v>4556900001278110</v>
      </c>
      <c r="U95">
        <v>436</v>
      </c>
      <c r="V95">
        <v>43435</v>
      </c>
      <c r="W95" t="s">
        <v>4605</v>
      </c>
      <c r="X95" t="s">
        <v>4606</v>
      </c>
      <c r="Y95" t="s">
        <v>3133</v>
      </c>
      <c r="Z95" t="s">
        <v>4607</v>
      </c>
      <c r="AA95" t="s">
        <v>4608</v>
      </c>
      <c r="AB95" t="s">
        <v>4609</v>
      </c>
      <c r="AC95" t="s">
        <v>4610</v>
      </c>
      <c r="AD95" t="s">
        <v>3251</v>
      </c>
      <c r="AE95">
        <v>174.2</v>
      </c>
      <c r="AF95">
        <v>79.2</v>
      </c>
      <c r="AG95" t="s">
        <v>3572</v>
      </c>
      <c r="AH95">
        <v>188</v>
      </c>
      <c r="AI95" t="s">
        <v>4611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3118</v>
      </c>
      <c r="C96" t="s">
        <v>3119</v>
      </c>
      <c r="D96" t="s">
        <v>4612</v>
      </c>
      <c r="E96" t="s">
        <v>3753</v>
      </c>
      <c r="F96" t="s">
        <v>3470</v>
      </c>
      <c r="G96" t="s">
        <v>4613</v>
      </c>
      <c r="H96" t="s">
        <v>2</v>
      </c>
      <c r="I96" t="s">
        <v>3098</v>
      </c>
      <c r="J96" t="s">
        <v>4038</v>
      </c>
      <c r="K96" t="s">
        <v>3100</v>
      </c>
      <c r="L96" t="s">
        <v>3101</v>
      </c>
      <c r="M96" t="s">
        <v>4614</v>
      </c>
      <c r="N96" t="s">
        <v>4615</v>
      </c>
      <c r="O96" t="s">
        <v>4616</v>
      </c>
      <c r="P96" t="s">
        <v>4617</v>
      </c>
      <c r="Q96" t="s">
        <v>4618</v>
      </c>
      <c r="R96">
        <v>32496</v>
      </c>
      <c r="S96" t="s">
        <v>3130</v>
      </c>
      <c r="T96">
        <v>5298189796222490</v>
      </c>
      <c r="U96">
        <v>333</v>
      </c>
      <c r="V96">
        <v>43040</v>
      </c>
      <c r="W96" t="s">
        <v>4619</v>
      </c>
      <c r="X96" t="s">
        <v>4620</v>
      </c>
      <c r="Y96" t="s">
        <v>3172</v>
      </c>
      <c r="Z96" t="s">
        <v>4621</v>
      </c>
      <c r="AA96" t="s">
        <v>3702</v>
      </c>
      <c r="AB96" t="s">
        <v>4622</v>
      </c>
      <c r="AC96" t="s">
        <v>4623</v>
      </c>
      <c r="AD96" t="s">
        <v>3251</v>
      </c>
      <c r="AE96">
        <v>186.3</v>
      </c>
      <c r="AF96">
        <v>84.7</v>
      </c>
      <c r="AG96" t="s">
        <v>3606</v>
      </c>
      <c r="AH96">
        <v>160</v>
      </c>
      <c r="AI96" t="s">
        <v>4624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3118</v>
      </c>
      <c r="C97" t="s">
        <v>3119</v>
      </c>
      <c r="D97" t="s">
        <v>4625</v>
      </c>
      <c r="E97" t="s">
        <v>3657</v>
      </c>
      <c r="F97" t="s">
        <v>4626</v>
      </c>
      <c r="G97" t="s">
        <v>4627</v>
      </c>
      <c r="H97" t="s">
        <v>2</v>
      </c>
      <c r="I97" t="s">
        <v>3098</v>
      </c>
      <c r="J97" t="s">
        <v>3465</v>
      </c>
      <c r="K97" t="s">
        <v>3100</v>
      </c>
      <c r="L97" t="s">
        <v>3101</v>
      </c>
      <c r="M97" t="s">
        <v>4628</v>
      </c>
      <c r="N97" t="s">
        <v>4629</v>
      </c>
      <c r="O97" t="s">
        <v>4630</v>
      </c>
      <c r="P97" t="s">
        <v>4631</v>
      </c>
      <c r="Q97" t="s">
        <v>4632</v>
      </c>
      <c r="R97">
        <v>21939</v>
      </c>
      <c r="S97" t="s">
        <v>3107</v>
      </c>
      <c r="T97">
        <v>4485737923936180</v>
      </c>
      <c r="U97">
        <v>757</v>
      </c>
      <c r="V97">
        <v>43586</v>
      </c>
      <c r="W97" t="s">
        <v>4633</v>
      </c>
      <c r="X97" t="s">
        <v>4634</v>
      </c>
      <c r="Y97" t="s">
        <v>3110</v>
      </c>
      <c r="Z97" t="s">
        <v>4635</v>
      </c>
      <c r="AA97" t="s">
        <v>4636</v>
      </c>
      <c r="AB97" t="s">
        <v>4637</v>
      </c>
      <c r="AC97" t="s">
        <v>4638</v>
      </c>
      <c r="AD97" t="s">
        <v>3157</v>
      </c>
      <c r="AE97">
        <v>207.2</v>
      </c>
      <c r="AF97">
        <v>94.2</v>
      </c>
      <c r="AG97" t="s">
        <v>3305</v>
      </c>
      <c r="AH97">
        <v>170</v>
      </c>
      <c r="AI97" t="s">
        <v>4639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3118</v>
      </c>
      <c r="C98" t="s">
        <v>3160</v>
      </c>
      <c r="D98" t="s">
        <v>4640</v>
      </c>
      <c r="E98" t="s">
        <v>3095</v>
      </c>
      <c r="F98" t="s">
        <v>4641</v>
      </c>
      <c r="G98" t="s">
        <v>4642</v>
      </c>
      <c r="H98" t="s">
        <v>3447</v>
      </c>
      <c r="I98" t="s">
        <v>3098</v>
      </c>
      <c r="J98" t="s">
        <v>4084</v>
      </c>
      <c r="K98" t="s">
        <v>3100</v>
      </c>
      <c r="L98" t="s">
        <v>3101</v>
      </c>
      <c r="M98" t="s">
        <v>4643</v>
      </c>
      <c r="N98" t="s">
        <v>4644</v>
      </c>
      <c r="O98" t="s">
        <v>4645</v>
      </c>
      <c r="P98" t="s">
        <v>4646</v>
      </c>
      <c r="Q98" t="s">
        <v>4143</v>
      </c>
      <c r="R98">
        <v>18738</v>
      </c>
      <c r="S98" t="s">
        <v>3130</v>
      </c>
      <c r="T98">
        <v>5308046634468260</v>
      </c>
      <c r="U98">
        <v>698</v>
      </c>
      <c r="V98">
        <v>42005</v>
      </c>
      <c r="W98" t="s">
        <v>4647</v>
      </c>
      <c r="X98" t="s">
        <v>4648</v>
      </c>
      <c r="Y98" t="s">
        <v>3110</v>
      </c>
      <c r="Z98" t="s">
        <v>4649</v>
      </c>
      <c r="AA98" t="s">
        <v>4650</v>
      </c>
      <c r="AB98" t="s">
        <v>4651</v>
      </c>
      <c r="AC98" t="s">
        <v>4652</v>
      </c>
      <c r="AD98" t="s">
        <v>3195</v>
      </c>
      <c r="AE98">
        <v>110</v>
      </c>
      <c r="AF98">
        <v>50</v>
      </c>
      <c r="AG98" t="s">
        <v>4314</v>
      </c>
      <c r="AH98">
        <v>153</v>
      </c>
      <c r="AI98" t="s">
        <v>4653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3092</v>
      </c>
      <c r="C99" t="s">
        <v>3093</v>
      </c>
      <c r="D99" t="s">
        <v>4654</v>
      </c>
      <c r="E99" t="s">
        <v>401</v>
      </c>
      <c r="F99" t="s">
        <v>4655</v>
      </c>
      <c r="G99" t="s">
        <v>4656</v>
      </c>
      <c r="H99" t="s">
        <v>4657</v>
      </c>
      <c r="I99" t="s">
        <v>3098</v>
      </c>
      <c r="J99" t="s">
        <v>4658</v>
      </c>
      <c r="K99" t="s">
        <v>3100</v>
      </c>
      <c r="L99" t="s">
        <v>3101</v>
      </c>
      <c r="M99" t="s">
        <v>4659</v>
      </c>
      <c r="N99" t="s">
        <v>4660</v>
      </c>
      <c r="O99" t="s">
        <v>4661</v>
      </c>
      <c r="P99" t="s">
        <v>4662</v>
      </c>
      <c r="Q99" t="s">
        <v>4663</v>
      </c>
      <c r="R99">
        <v>33771</v>
      </c>
      <c r="S99" t="s">
        <v>3107</v>
      </c>
      <c r="T99">
        <v>4916866971041800</v>
      </c>
      <c r="U99">
        <v>522</v>
      </c>
      <c r="V99">
        <v>42767</v>
      </c>
      <c r="W99" t="s">
        <v>4664</v>
      </c>
      <c r="X99" t="s">
        <v>4665</v>
      </c>
      <c r="Y99" t="s">
        <v>3319</v>
      </c>
      <c r="Z99" t="s">
        <v>4666</v>
      </c>
      <c r="AA99" t="s">
        <v>4667</v>
      </c>
      <c r="AB99" t="s">
        <v>4668</v>
      </c>
      <c r="AC99" t="s">
        <v>4669</v>
      </c>
      <c r="AD99" t="s">
        <v>3251</v>
      </c>
      <c r="AE99">
        <v>198.4</v>
      </c>
      <c r="AF99">
        <v>90.2</v>
      </c>
      <c r="AG99" t="s">
        <v>3116</v>
      </c>
      <c r="AH99">
        <v>185</v>
      </c>
      <c r="AI99" t="s">
        <v>4670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3118</v>
      </c>
      <c r="C100" t="s">
        <v>3119</v>
      </c>
      <c r="D100" t="s">
        <v>4671</v>
      </c>
      <c r="E100" t="s">
        <v>3095</v>
      </c>
      <c r="F100" t="s">
        <v>4445</v>
      </c>
      <c r="G100" t="s">
        <v>4672</v>
      </c>
      <c r="H100" t="s">
        <v>27</v>
      </c>
      <c r="I100" t="s">
        <v>3098</v>
      </c>
      <c r="J100" t="s">
        <v>49</v>
      </c>
      <c r="K100" t="s">
        <v>3100</v>
      </c>
      <c r="L100" t="s">
        <v>3101</v>
      </c>
      <c r="M100" t="s">
        <v>4673</v>
      </c>
      <c r="N100" t="s">
        <v>4674</v>
      </c>
      <c r="O100" t="s">
        <v>4675</v>
      </c>
      <c r="P100" t="s">
        <v>4676</v>
      </c>
      <c r="Q100" t="s">
        <v>4677</v>
      </c>
      <c r="R100">
        <v>17966</v>
      </c>
      <c r="S100" t="s">
        <v>3130</v>
      </c>
      <c r="T100">
        <v>5218535350393930</v>
      </c>
      <c r="U100">
        <v>932</v>
      </c>
      <c r="V100">
        <v>43160</v>
      </c>
      <c r="W100" t="s">
        <v>4678</v>
      </c>
      <c r="X100" t="s">
        <v>4679</v>
      </c>
      <c r="Y100" t="s">
        <v>3421</v>
      </c>
      <c r="Z100" t="s">
        <v>4680</v>
      </c>
      <c r="AA100" t="s">
        <v>4681</v>
      </c>
      <c r="AB100" t="s">
        <v>4682</v>
      </c>
      <c r="AC100" t="s">
        <v>4683</v>
      </c>
      <c r="AD100" t="s">
        <v>3157</v>
      </c>
      <c r="AE100">
        <v>193.6</v>
      </c>
      <c r="AF100">
        <v>88</v>
      </c>
      <c r="AG100" t="s">
        <v>3177</v>
      </c>
      <c r="AH100">
        <v>158</v>
      </c>
      <c r="AI100" t="s">
        <v>4684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3092</v>
      </c>
      <c r="C101" t="s">
        <v>3093</v>
      </c>
      <c r="D101" t="s">
        <v>4685</v>
      </c>
      <c r="E101" t="s">
        <v>3095</v>
      </c>
      <c r="F101" t="s">
        <v>4686</v>
      </c>
      <c r="G101" t="s">
        <v>4687</v>
      </c>
      <c r="H101" t="s">
        <v>27</v>
      </c>
      <c r="I101" t="s">
        <v>3098</v>
      </c>
      <c r="J101" t="s">
        <v>49</v>
      </c>
      <c r="K101" t="s">
        <v>3100</v>
      </c>
      <c r="L101" t="s">
        <v>3101</v>
      </c>
      <c r="M101" t="s">
        <v>4688</v>
      </c>
      <c r="N101" t="s">
        <v>4689</v>
      </c>
      <c r="O101" t="s">
        <v>4690</v>
      </c>
      <c r="P101" t="s">
        <v>4691</v>
      </c>
      <c r="Q101" t="s">
        <v>4692</v>
      </c>
      <c r="R101">
        <v>17081</v>
      </c>
      <c r="S101" t="s">
        <v>3130</v>
      </c>
      <c r="T101">
        <v>5564732146100370</v>
      </c>
      <c r="U101">
        <v>523</v>
      </c>
      <c r="V101">
        <v>42795</v>
      </c>
      <c r="W101" t="s">
        <v>4693</v>
      </c>
      <c r="X101" t="s">
        <v>4694</v>
      </c>
      <c r="Y101" t="s">
        <v>3110</v>
      </c>
      <c r="Z101" t="s">
        <v>4695</v>
      </c>
      <c r="AA101" t="s">
        <v>3748</v>
      </c>
      <c r="AB101" t="s">
        <v>4696</v>
      </c>
      <c r="AC101" t="s">
        <v>4697</v>
      </c>
      <c r="AD101" t="s">
        <v>3138</v>
      </c>
      <c r="AE101">
        <v>169.8</v>
      </c>
      <c r="AF101">
        <v>77.2</v>
      </c>
      <c r="AG101" t="s">
        <v>4155</v>
      </c>
      <c r="AH101">
        <v>163</v>
      </c>
      <c r="AI101" t="s">
        <v>4698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3092</v>
      </c>
      <c r="C102" t="s">
        <v>3093</v>
      </c>
      <c r="D102" t="s">
        <v>3777</v>
      </c>
      <c r="E102" t="s">
        <v>3235</v>
      </c>
      <c r="F102" t="s">
        <v>3236</v>
      </c>
      <c r="G102" t="s">
        <v>4699</v>
      </c>
      <c r="H102" t="s">
        <v>19</v>
      </c>
      <c r="I102" t="s">
        <v>3098</v>
      </c>
      <c r="J102" t="s">
        <v>4700</v>
      </c>
      <c r="K102" t="s">
        <v>3100</v>
      </c>
      <c r="L102" t="s">
        <v>3101</v>
      </c>
      <c r="M102" t="s">
        <v>4701</v>
      </c>
      <c r="N102" t="s">
        <v>4702</v>
      </c>
      <c r="O102" t="s">
        <v>4703</v>
      </c>
      <c r="P102" t="s">
        <v>4704</v>
      </c>
      <c r="Q102" t="s">
        <v>4705</v>
      </c>
      <c r="R102">
        <v>23493</v>
      </c>
      <c r="S102" t="s">
        <v>3130</v>
      </c>
      <c r="T102">
        <v>5122438467452050</v>
      </c>
      <c r="U102">
        <v>893</v>
      </c>
      <c r="V102">
        <v>43313</v>
      </c>
      <c r="W102" t="s">
        <v>4706</v>
      </c>
      <c r="X102" t="s">
        <v>4707</v>
      </c>
      <c r="Y102" t="s">
        <v>3110</v>
      </c>
      <c r="Z102" t="s">
        <v>4708</v>
      </c>
      <c r="AA102" t="s">
        <v>4709</v>
      </c>
      <c r="AB102" t="s">
        <v>4710</v>
      </c>
      <c r="AC102" t="s">
        <v>4711</v>
      </c>
      <c r="AD102" t="s">
        <v>3195</v>
      </c>
      <c r="AE102">
        <v>193.2</v>
      </c>
      <c r="AF102">
        <v>87.8</v>
      </c>
      <c r="AG102" t="s">
        <v>3305</v>
      </c>
      <c r="AH102">
        <v>171</v>
      </c>
      <c r="AI102" t="s">
        <v>4712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3118</v>
      </c>
      <c r="C103" t="s">
        <v>3119</v>
      </c>
      <c r="D103" t="s">
        <v>4713</v>
      </c>
      <c r="E103" t="s">
        <v>3095</v>
      </c>
      <c r="F103" t="s">
        <v>4714</v>
      </c>
      <c r="G103" t="s">
        <v>4715</v>
      </c>
      <c r="H103" t="s">
        <v>4021</v>
      </c>
      <c r="I103" t="s">
        <v>3098</v>
      </c>
      <c r="J103" t="s">
        <v>4022</v>
      </c>
      <c r="K103" t="s">
        <v>3100</v>
      </c>
      <c r="L103" t="s">
        <v>3101</v>
      </c>
      <c r="M103" t="s">
        <v>4716</v>
      </c>
      <c r="N103" t="s">
        <v>4717</v>
      </c>
      <c r="O103" t="s">
        <v>4718</v>
      </c>
      <c r="P103" t="s">
        <v>4719</v>
      </c>
      <c r="Q103" t="s">
        <v>4720</v>
      </c>
      <c r="R103">
        <v>20344</v>
      </c>
      <c r="S103" t="s">
        <v>3130</v>
      </c>
      <c r="T103">
        <v>5516327624489540</v>
      </c>
      <c r="U103">
        <v>495</v>
      </c>
      <c r="V103">
        <v>43282</v>
      </c>
      <c r="W103" t="s">
        <v>4721</v>
      </c>
      <c r="X103" t="s">
        <v>4722</v>
      </c>
      <c r="Y103" t="s">
        <v>3319</v>
      </c>
      <c r="Z103" t="s">
        <v>4723</v>
      </c>
      <c r="AA103" t="s">
        <v>4724</v>
      </c>
      <c r="AB103" t="s">
        <v>4725</v>
      </c>
      <c r="AC103" t="s">
        <v>4726</v>
      </c>
      <c r="AD103" t="s">
        <v>3195</v>
      </c>
      <c r="AE103">
        <v>207.2</v>
      </c>
      <c r="AF103">
        <v>94.2</v>
      </c>
      <c r="AG103" t="s">
        <v>3232</v>
      </c>
      <c r="AH103">
        <v>165</v>
      </c>
      <c r="AI103" t="s">
        <v>4727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3092</v>
      </c>
      <c r="C104" t="s">
        <v>3093</v>
      </c>
      <c r="D104" t="s">
        <v>4728</v>
      </c>
      <c r="E104" t="s">
        <v>400</v>
      </c>
      <c r="F104" t="s">
        <v>3648</v>
      </c>
      <c r="G104" t="s">
        <v>4729</v>
      </c>
      <c r="H104" t="s">
        <v>23</v>
      </c>
      <c r="I104" t="s">
        <v>3098</v>
      </c>
      <c r="J104" t="s">
        <v>4730</v>
      </c>
      <c r="K104" t="s">
        <v>3100</v>
      </c>
      <c r="L104" t="s">
        <v>3101</v>
      </c>
      <c r="M104" t="s">
        <v>4731</v>
      </c>
      <c r="N104" t="s">
        <v>4732</v>
      </c>
      <c r="O104" t="s">
        <v>4733</v>
      </c>
      <c r="P104" t="s">
        <v>4734</v>
      </c>
      <c r="Q104" t="s">
        <v>4735</v>
      </c>
      <c r="R104">
        <v>29549</v>
      </c>
      <c r="S104" t="s">
        <v>3107</v>
      </c>
      <c r="T104">
        <v>4556006750584020</v>
      </c>
      <c r="U104">
        <v>415</v>
      </c>
      <c r="V104">
        <v>43344</v>
      </c>
      <c r="W104" t="s">
        <v>4736</v>
      </c>
      <c r="X104" t="s">
        <v>4737</v>
      </c>
      <c r="Y104" t="s">
        <v>3110</v>
      </c>
      <c r="Z104" t="s">
        <v>4738</v>
      </c>
      <c r="AA104" t="s">
        <v>4739</v>
      </c>
      <c r="AB104" t="s">
        <v>4740</v>
      </c>
      <c r="AC104" t="s">
        <v>4741</v>
      </c>
      <c r="AD104" t="s">
        <v>3195</v>
      </c>
      <c r="AE104">
        <v>182.2</v>
      </c>
      <c r="AF104">
        <v>82.8</v>
      </c>
      <c r="AG104" t="s">
        <v>3196</v>
      </c>
      <c r="AH104">
        <v>168</v>
      </c>
      <c r="AI104" t="s">
        <v>4742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3118</v>
      </c>
      <c r="C105" t="s">
        <v>3160</v>
      </c>
      <c r="D105" t="s">
        <v>4743</v>
      </c>
      <c r="E105" t="s">
        <v>397</v>
      </c>
      <c r="F105" t="s">
        <v>4744</v>
      </c>
      <c r="G105" t="s">
        <v>4745</v>
      </c>
      <c r="H105" t="s">
        <v>4746</v>
      </c>
      <c r="I105" t="s">
        <v>3098</v>
      </c>
      <c r="J105" t="s">
        <v>4747</v>
      </c>
      <c r="K105" t="s">
        <v>3100</v>
      </c>
      <c r="L105" t="s">
        <v>3101</v>
      </c>
      <c r="M105" t="s">
        <v>4748</v>
      </c>
      <c r="N105" t="s">
        <v>4749</v>
      </c>
      <c r="O105" t="s">
        <v>4750</v>
      </c>
      <c r="P105" t="s">
        <v>4751</v>
      </c>
      <c r="Q105" t="s">
        <v>3319</v>
      </c>
      <c r="R105">
        <v>16535</v>
      </c>
      <c r="S105" t="s">
        <v>3130</v>
      </c>
      <c r="T105">
        <v>5510811939782190</v>
      </c>
      <c r="U105">
        <v>838</v>
      </c>
      <c r="V105">
        <v>42217</v>
      </c>
      <c r="W105" t="s">
        <v>4752</v>
      </c>
      <c r="X105" t="s">
        <v>4753</v>
      </c>
      <c r="Y105" t="s">
        <v>3319</v>
      </c>
      <c r="Z105" t="s">
        <v>4754</v>
      </c>
      <c r="AA105" t="s">
        <v>3112</v>
      </c>
      <c r="AB105" t="s">
        <v>4755</v>
      </c>
      <c r="AC105" t="s">
        <v>4756</v>
      </c>
      <c r="AD105" t="s">
        <v>3157</v>
      </c>
      <c r="AE105">
        <v>208.6</v>
      </c>
      <c r="AF105">
        <v>94.8</v>
      </c>
      <c r="AG105" t="s">
        <v>4314</v>
      </c>
      <c r="AH105">
        <v>152</v>
      </c>
      <c r="AI105" t="s">
        <v>4757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3092</v>
      </c>
      <c r="C106" t="s">
        <v>3093</v>
      </c>
      <c r="D106" t="s">
        <v>4758</v>
      </c>
      <c r="E106" t="s">
        <v>3235</v>
      </c>
      <c r="F106" t="s">
        <v>4759</v>
      </c>
      <c r="G106" t="s">
        <v>4760</v>
      </c>
      <c r="H106" t="s">
        <v>3343</v>
      </c>
      <c r="I106" t="s">
        <v>3098</v>
      </c>
      <c r="J106" t="s">
        <v>4761</v>
      </c>
      <c r="K106" t="s">
        <v>3100</v>
      </c>
      <c r="L106" t="s">
        <v>3101</v>
      </c>
      <c r="M106" t="s">
        <v>4762</v>
      </c>
      <c r="N106" t="s">
        <v>4763</v>
      </c>
      <c r="O106" t="s">
        <v>4764</v>
      </c>
      <c r="P106" t="s">
        <v>4765</v>
      </c>
      <c r="Q106" t="s">
        <v>4766</v>
      </c>
      <c r="R106">
        <v>18198</v>
      </c>
      <c r="S106" t="s">
        <v>3130</v>
      </c>
      <c r="T106">
        <v>5263111727367260</v>
      </c>
      <c r="U106">
        <v>725</v>
      </c>
      <c r="V106">
        <v>42856</v>
      </c>
      <c r="W106" t="s">
        <v>4767</v>
      </c>
      <c r="X106" t="s">
        <v>4768</v>
      </c>
      <c r="Y106" t="s">
        <v>3264</v>
      </c>
      <c r="Z106" t="s">
        <v>4769</v>
      </c>
      <c r="AA106" t="s">
        <v>3635</v>
      </c>
      <c r="AB106" t="s">
        <v>4770</v>
      </c>
      <c r="AC106" t="s">
        <v>4771</v>
      </c>
      <c r="AD106" t="s">
        <v>3157</v>
      </c>
      <c r="AE106">
        <v>169</v>
      </c>
      <c r="AF106">
        <v>76.8</v>
      </c>
      <c r="AG106" t="s">
        <v>3287</v>
      </c>
      <c r="AH106">
        <v>182</v>
      </c>
      <c r="AI106" t="s">
        <v>4772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3118</v>
      </c>
      <c r="C107" t="s">
        <v>3119</v>
      </c>
      <c r="D107" t="s">
        <v>4773</v>
      </c>
      <c r="E107" t="s">
        <v>3095</v>
      </c>
      <c r="F107" t="s">
        <v>4774</v>
      </c>
      <c r="G107" t="s">
        <v>4775</v>
      </c>
      <c r="H107" t="s">
        <v>19</v>
      </c>
      <c r="I107" t="s">
        <v>3098</v>
      </c>
      <c r="J107" t="s">
        <v>4776</v>
      </c>
      <c r="K107" t="s">
        <v>3100</v>
      </c>
      <c r="L107" t="s">
        <v>3101</v>
      </c>
      <c r="M107" t="s">
        <v>4777</v>
      </c>
      <c r="N107" t="s">
        <v>4778</v>
      </c>
      <c r="O107" t="s">
        <v>4779</v>
      </c>
      <c r="P107" t="s">
        <v>4780</v>
      </c>
      <c r="Q107" t="s">
        <v>4781</v>
      </c>
      <c r="R107">
        <v>20923</v>
      </c>
      <c r="S107" t="s">
        <v>3107</v>
      </c>
      <c r="T107">
        <v>4532299790581600</v>
      </c>
      <c r="U107">
        <v>909</v>
      </c>
      <c r="V107">
        <v>43282</v>
      </c>
      <c r="W107" t="s">
        <v>4782</v>
      </c>
      <c r="X107" t="s">
        <v>4783</v>
      </c>
      <c r="Y107" t="s">
        <v>3169</v>
      </c>
      <c r="Z107" t="s">
        <v>4784</v>
      </c>
      <c r="AA107" t="s">
        <v>4785</v>
      </c>
      <c r="AB107" t="s">
        <v>4786</v>
      </c>
      <c r="AC107" t="s">
        <v>4787</v>
      </c>
      <c r="AD107" t="s">
        <v>3157</v>
      </c>
      <c r="AE107">
        <v>142.30000000000001</v>
      </c>
      <c r="AF107">
        <v>64.7</v>
      </c>
      <c r="AG107" t="s">
        <v>3305</v>
      </c>
      <c r="AH107">
        <v>170</v>
      </c>
      <c r="AI107" t="s">
        <v>4788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3118</v>
      </c>
      <c r="C108" t="s">
        <v>3119</v>
      </c>
      <c r="D108" t="s">
        <v>3392</v>
      </c>
      <c r="E108" t="s">
        <v>3095</v>
      </c>
      <c r="F108" t="s">
        <v>4789</v>
      </c>
      <c r="G108" t="s">
        <v>4790</v>
      </c>
      <c r="H108" t="s">
        <v>3497</v>
      </c>
      <c r="I108" t="s">
        <v>3098</v>
      </c>
      <c r="J108" t="s">
        <v>4791</v>
      </c>
      <c r="K108" t="s">
        <v>3100</v>
      </c>
      <c r="L108" t="s">
        <v>3101</v>
      </c>
      <c r="M108" t="s">
        <v>4792</v>
      </c>
      <c r="N108" t="s">
        <v>4793</v>
      </c>
      <c r="O108" t="s">
        <v>4794</v>
      </c>
      <c r="P108" t="s">
        <v>4795</v>
      </c>
      <c r="Q108" t="s">
        <v>4796</v>
      </c>
      <c r="R108">
        <v>13810</v>
      </c>
      <c r="S108" t="s">
        <v>3107</v>
      </c>
      <c r="T108">
        <v>4716127454634710</v>
      </c>
      <c r="U108">
        <v>215</v>
      </c>
      <c r="V108">
        <v>42339</v>
      </c>
      <c r="W108" t="s">
        <v>4797</v>
      </c>
      <c r="X108" t="s">
        <v>4798</v>
      </c>
      <c r="Y108" t="s">
        <v>3264</v>
      </c>
      <c r="Z108" t="s">
        <v>4799</v>
      </c>
      <c r="AA108" t="s">
        <v>4800</v>
      </c>
      <c r="AB108" t="s">
        <v>4801</v>
      </c>
      <c r="AC108" t="s">
        <v>4802</v>
      </c>
      <c r="AD108" t="s">
        <v>3195</v>
      </c>
      <c r="AE108">
        <v>117</v>
      </c>
      <c r="AF108">
        <v>53.2</v>
      </c>
      <c r="AG108" t="s">
        <v>4155</v>
      </c>
      <c r="AH108">
        <v>163</v>
      </c>
      <c r="AI108" t="s">
        <v>4803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3118</v>
      </c>
      <c r="C109" t="s">
        <v>3119</v>
      </c>
      <c r="D109" t="s">
        <v>4804</v>
      </c>
      <c r="E109" t="s">
        <v>397</v>
      </c>
      <c r="F109" t="s">
        <v>4805</v>
      </c>
      <c r="G109" t="s">
        <v>4806</v>
      </c>
      <c r="H109" t="s">
        <v>27</v>
      </c>
      <c r="I109" t="s">
        <v>3098</v>
      </c>
      <c r="J109" t="s">
        <v>3772</v>
      </c>
      <c r="K109" t="s">
        <v>3100</v>
      </c>
      <c r="L109" t="s">
        <v>3101</v>
      </c>
      <c r="M109" t="s">
        <v>4807</v>
      </c>
      <c r="N109" t="s">
        <v>4808</v>
      </c>
      <c r="O109" t="s">
        <v>4809</v>
      </c>
      <c r="P109" t="s">
        <v>4810</v>
      </c>
      <c r="Q109" t="s">
        <v>4811</v>
      </c>
      <c r="R109">
        <v>32912</v>
      </c>
      <c r="S109" t="s">
        <v>3130</v>
      </c>
      <c r="T109">
        <v>5419988907510310</v>
      </c>
      <c r="U109">
        <v>206</v>
      </c>
      <c r="V109">
        <v>43009</v>
      </c>
      <c r="W109" t="s">
        <v>4812</v>
      </c>
      <c r="X109" t="s">
        <v>4813</v>
      </c>
      <c r="Y109" t="s">
        <v>3110</v>
      </c>
      <c r="Z109" t="s">
        <v>4814</v>
      </c>
      <c r="AA109" t="s">
        <v>4815</v>
      </c>
      <c r="AB109" t="s">
        <v>4816</v>
      </c>
      <c r="AC109" t="s">
        <v>4817</v>
      </c>
      <c r="AD109" t="s">
        <v>3157</v>
      </c>
      <c r="AE109">
        <v>206.4</v>
      </c>
      <c r="AF109">
        <v>93.8</v>
      </c>
      <c r="AG109" t="s">
        <v>4155</v>
      </c>
      <c r="AH109">
        <v>163</v>
      </c>
      <c r="AI109" t="s">
        <v>4818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3118</v>
      </c>
      <c r="C110" t="s">
        <v>3119</v>
      </c>
      <c r="D110" t="s">
        <v>4819</v>
      </c>
      <c r="E110" t="s">
        <v>400</v>
      </c>
      <c r="F110" t="s">
        <v>4820</v>
      </c>
      <c r="G110" t="s">
        <v>4821</v>
      </c>
      <c r="H110" t="s">
        <v>4822</v>
      </c>
      <c r="I110" t="s">
        <v>3098</v>
      </c>
      <c r="J110" t="s">
        <v>4823</v>
      </c>
      <c r="K110" t="s">
        <v>3100</v>
      </c>
      <c r="L110" t="s">
        <v>3101</v>
      </c>
      <c r="M110" t="s">
        <v>4824</v>
      </c>
      <c r="N110" t="s">
        <v>4825</v>
      </c>
      <c r="O110" t="s">
        <v>4826</v>
      </c>
      <c r="P110" t="s">
        <v>4827</v>
      </c>
      <c r="Q110" t="s">
        <v>4828</v>
      </c>
      <c r="R110">
        <v>16388</v>
      </c>
      <c r="S110" t="s">
        <v>3107</v>
      </c>
      <c r="T110">
        <v>4716445918373890</v>
      </c>
      <c r="U110">
        <v>351</v>
      </c>
      <c r="V110">
        <v>43586</v>
      </c>
      <c r="W110" t="s">
        <v>4829</v>
      </c>
      <c r="X110" t="s">
        <v>4830</v>
      </c>
      <c r="Y110" t="s">
        <v>3110</v>
      </c>
      <c r="Z110" t="s">
        <v>4831</v>
      </c>
      <c r="AA110" t="s">
        <v>4832</v>
      </c>
      <c r="AB110" t="s">
        <v>4833</v>
      </c>
      <c r="AC110" t="s">
        <v>4834</v>
      </c>
      <c r="AD110" t="s">
        <v>3157</v>
      </c>
      <c r="AE110">
        <v>210.1</v>
      </c>
      <c r="AF110">
        <v>95.5</v>
      </c>
      <c r="AG110" t="s">
        <v>3196</v>
      </c>
      <c r="AH110">
        <v>168</v>
      </c>
      <c r="AI110" t="s">
        <v>4835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3092</v>
      </c>
      <c r="C111" t="s">
        <v>4141</v>
      </c>
      <c r="D111" t="s">
        <v>4836</v>
      </c>
      <c r="E111" t="s">
        <v>204</v>
      </c>
      <c r="F111" t="s">
        <v>4837</v>
      </c>
      <c r="G111" t="s">
        <v>4838</v>
      </c>
      <c r="H111" t="s">
        <v>3660</v>
      </c>
      <c r="I111" t="s">
        <v>3098</v>
      </c>
      <c r="J111" t="s">
        <v>3661</v>
      </c>
      <c r="K111" t="s">
        <v>3100</v>
      </c>
      <c r="L111" t="s">
        <v>3101</v>
      </c>
      <c r="M111" t="s">
        <v>4839</v>
      </c>
      <c r="N111" t="s">
        <v>4840</v>
      </c>
      <c r="O111" t="s">
        <v>4841</v>
      </c>
      <c r="P111" t="s">
        <v>4842</v>
      </c>
      <c r="Q111" t="s">
        <v>4843</v>
      </c>
      <c r="R111">
        <v>19654</v>
      </c>
      <c r="S111" t="s">
        <v>3130</v>
      </c>
      <c r="T111">
        <v>5597959255121050</v>
      </c>
      <c r="U111">
        <v>991</v>
      </c>
      <c r="V111">
        <v>43101</v>
      </c>
      <c r="W111" t="s">
        <v>4844</v>
      </c>
      <c r="X111" t="s">
        <v>4845</v>
      </c>
      <c r="Y111" t="s">
        <v>3421</v>
      </c>
      <c r="Z111" t="s">
        <v>4846</v>
      </c>
      <c r="AA111" t="s">
        <v>4199</v>
      </c>
      <c r="AB111" t="s">
        <v>4847</v>
      </c>
      <c r="AC111" t="s">
        <v>4848</v>
      </c>
      <c r="AD111" t="s">
        <v>3251</v>
      </c>
      <c r="AE111">
        <v>212.3</v>
      </c>
      <c r="AF111">
        <v>96.5</v>
      </c>
      <c r="AG111" t="s">
        <v>3305</v>
      </c>
      <c r="AH111">
        <v>169</v>
      </c>
      <c r="AI111" t="s">
        <v>4849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3118</v>
      </c>
      <c r="C112" t="s">
        <v>3160</v>
      </c>
      <c r="D112" t="s">
        <v>4850</v>
      </c>
      <c r="E112" t="s">
        <v>3235</v>
      </c>
      <c r="F112" t="s">
        <v>4851</v>
      </c>
      <c r="G112" t="s">
        <v>4852</v>
      </c>
      <c r="H112" t="s">
        <v>3123</v>
      </c>
      <c r="I112" t="s">
        <v>3098</v>
      </c>
      <c r="J112" t="s">
        <v>3124</v>
      </c>
      <c r="K112" t="s">
        <v>3100</v>
      </c>
      <c r="L112" t="s">
        <v>3101</v>
      </c>
      <c r="M112" t="s">
        <v>4853</v>
      </c>
      <c r="N112" t="s">
        <v>4854</v>
      </c>
      <c r="O112" t="s">
        <v>4855</v>
      </c>
      <c r="P112" t="s">
        <v>4856</v>
      </c>
      <c r="Q112" t="s">
        <v>4857</v>
      </c>
      <c r="R112">
        <v>20596</v>
      </c>
      <c r="S112" t="s">
        <v>3130</v>
      </c>
      <c r="T112">
        <v>5163739240165560</v>
      </c>
      <c r="U112">
        <v>368</v>
      </c>
      <c r="V112">
        <v>42095</v>
      </c>
      <c r="W112" t="s">
        <v>4858</v>
      </c>
      <c r="X112" t="s">
        <v>4859</v>
      </c>
      <c r="Y112" t="s">
        <v>3110</v>
      </c>
      <c r="Z112" t="s">
        <v>4860</v>
      </c>
      <c r="AA112" t="s">
        <v>4861</v>
      </c>
      <c r="AB112" t="s">
        <v>4862</v>
      </c>
      <c r="AC112" t="s">
        <v>4863</v>
      </c>
      <c r="AD112" t="s">
        <v>3157</v>
      </c>
      <c r="AE112">
        <v>214.3</v>
      </c>
      <c r="AF112">
        <v>97.4</v>
      </c>
      <c r="AG112" t="s">
        <v>4155</v>
      </c>
      <c r="AH112">
        <v>163</v>
      </c>
      <c r="AI112" t="s">
        <v>4864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3092</v>
      </c>
      <c r="C113" t="s">
        <v>3093</v>
      </c>
      <c r="D113" t="s">
        <v>4865</v>
      </c>
      <c r="E113" t="s">
        <v>3462</v>
      </c>
      <c r="F113" t="s">
        <v>3096</v>
      </c>
      <c r="G113" t="s">
        <v>4866</v>
      </c>
      <c r="H113" t="s">
        <v>27</v>
      </c>
      <c r="I113" t="s">
        <v>3098</v>
      </c>
      <c r="J113" t="s">
        <v>49</v>
      </c>
      <c r="K113" t="s">
        <v>3100</v>
      </c>
      <c r="L113" t="s">
        <v>3101</v>
      </c>
      <c r="M113" t="s">
        <v>4867</v>
      </c>
      <c r="N113" t="s">
        <v>4868</v>
      </c>
      <c r="O113" t="s">
        <v>4869</v>
      </c>
      <c r="P113" t="s">
        <v>4870</v>
      </c>
      <c r="Q113" t="s">
        <v>4871</v>
      </c>
      <c r="R113">
        <v>25058</v>
      </c>
      <c r="S113" t="s">
        <v>3107</v>
      </c>
      <c r="T113">
        <v>4485869719506970</v>
      </c>
      <c r="U113">
        <v>114</v>
      </c>
      <c r="V113">
        <v>42370</v>
      </c>
      <c r="W113" t="s">
        <v>4872</v>
      </c>
      <c r="X113" t="s">
        <v>4873</v>
      </c>
      <c r="Y113" t="s">
        <v>3110</v>
      </c>
      <c r="Z113" t="s">
        <v>4874</v>
      </c>
      <c r="AA113" t="s">
        <v>4875</v>
      </c>
      <c r="AB113" t="s">
        <v>4876</v>
      </c>
      <c r="AC113" t="s">
        <v>4877</v>
      </c>
      <c r="AD113" t="s">
        <v>3157</v>
      </c>
      <c r="AE113">
        <v>211.6</v>
      </c>
      <c r="AF113">
        <v>96.2</v>
      </c>
      <c r="AG113" t="s">
        <v>3158</v>
      </c>
      <c r="AH113">
        <v>174</v>
      </c>
      <c r="AI113" t="s">
        <v>4878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3092</v>
      </c>
      <c r="C114" t="s">
        <v>3093</v>
      </c>
      <c r="D114" t="s">
        <v>3769</v>
      </c>
      <c r="E114" t="s">
        <v>3095</v>
      </c>
      <c r="F114" t="s">
        <v>4879</v>
      </c>
      <c r="G114" t="s">
        <v>4880</v>
      </c>
      <c r="H114" t="s">
        <v>4881</v>
      </c>
      <c r="I114" t="s">
        <v>3098</v>
      </c>
      <c r="J114" t="s">
        <v>4882</v>
      </c>
      <c r="K114" t="s">
        <v>3100</v>
      </c>
      <c r="L114" t="s">
        <v>3101</v>
      </c>
      <c r="M114" t="s">
        <v>4883</v>
      </c>
      <c r="N114" t="s">
        <v>4884</v>
      </c>
      <c r="O114" t="s">
        <v>4885</v>
      </c>
      <c r="P114" t="s">
        <v>4886</v>
      </c>
      <c r="Q114" t="s">
        <v>4887</v>
      </c>
      <c r="R114">
        <v>24489</v>
      </c>
      <c r="S114" t="s">
        <v>3107</v>
      </c>
      <c r="T114">
        <v>4556160808899140</v>
      </c>
      <c r="U114">
        <v>170</v>
      </c>
      <c r="V114">
        <v>43405</v>
      </c>
      <c r="W114" t="s">
        <v>4888</v>
      </c>
      <c r="X114" t="s">
        <v>4889</v>
      </c>
      <c r="Y114" t="s">
        <v>3110</v>
      </c>
      <c r="Z114" t="s">
        <v>4890</v>
      </c>
      <c r="AA114" t="s">
        <v>4891</v>
      </c>
      <c r="AB114" t="s">
        <v>4892</v>
      </c>
      <c r="AC114" t="s">
        <v>4893</v>
      </c>
      <c r="AD114" t="s">
        <v>4894</v>
      </c>
      <c r="AE114">
        <v>173.1</v>
      </c>
      <c r="AF114">
        <v>78.7</v>
      </c>
      <c r="AG114" t="s">
        <v>3158</v>
      </c>
      <c r="AH114">
        <v>176</v>
      </c>
      <c r="AI114" t="s">
        <v>4895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3092</v>
      </c>
      <c r="C115" t="s">
        <v>3093</v>
      </c>
      <c r="D115" t="s">
        <v>3543</v>
      </c>
      <c r="E115" t="s">
        <v>400</v>
      </c>
      <c r="F115" t="s">
        <v>4896</v>
      </c>
      <c r="G115" t="s">
        <v>4897</v>
      </c>
      <c r="H115" t="s">
        <v>4898</v>
      </c>
      <c r="I115" t="s">
        <v>3098</v>
      </c>
      <c r="J115" t="s">
        <v>4899</v>
      </c>
      <c r="K115" t="s">
        <v>3100</v>
      </c>
      <c r="L115" t="s">
        <v>3101</v>
      </c>
      <c r="M115" t="s">
        <v>4900</v>
      </c>
      <c r="N115" t="s">
        <v>4901</v>
      </c>
      <c r="O115" t="s">
        <v>4902</v>
      </c>
      <c r="P115" t="s">
        <v>4903</v>
      </c>
      <c r="Q115" t="s">
        <v>3096</v>
      </c>
      <c r="R115">
        <v>30243</v>
      </c>
      <c r="S115" t="s">
        <v>3107</v>
      </c>
      <c r="T115">
        <v>4539833781824280</v>
      </c>
      <c r="U115">
        <v>132</v>
      </c>
      <c r="V115">
        <v>43160</v>
      </c>
      <c r="W115" t="s">
        <v>4904</v>
      </c>
      <c r="X115" t="s">
        <v>4905</v>
      </c>
      <c r="Y115" t="s">
        <v>3110</v>
      </c>
      <c r="Z115" t="s">
        <v>4906</v>
      </c>
      <c r="AA115" t="s">
        <v>4907</v>
      </c>
      <c r="AB115" t="s">
        <v>4908</v>
      </c>
      <c r="AC115" t="s">
        <v>4909</v>
      </c>
      <c r="AD115" t="s">
        <v>3195</v>
      </c>
      <c r="AE115">
        <v>148.30000000000001</v>
      </c>
      <c r="AF115">
        <v>67.400000000000006</v>
      </c>
      <c r="AG115" t="s">
        <v>3356</v>
      </c>
      <c r="AH115">
        <v>178</v>
      </c>
      <c r="AI115" t="s">
        <v>4910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3118</v>
      </c>
      <c r="C116" t="s">
        <v>3160</v>
      </c>
      <c r="D116" t="s">
        <v>4911</v>
      </c>
      <c r="E116" t="s">
        <v>3575</v>
      </c>
      <c r="F116" t="s">
        <v>4912</v>
      </c>
      <c r="G116" t="s">
        <v>4913</v>
      </c>
      <c r="H116" t="s">
        <v>4657</v>
      </c>
      <c r="I116" t="s">
        <v>3098</v>
      </c>
      <c r="J116" t="s">
        <v>4914</v>
      </c>
      <c r="K116" t="s">
        <v>3100</v>
      </c>
      <c r="L116" t="s">
        <v>3101</v>
      </c>
      <c r="M116" t="s">
        <v>4915</v>
      </c>
      <c r="N116" t="s">
        <v>4916</v>
      </c>
      <c r="O116" t="s">
        <v>4917</v>
      </c>
      <c r="P116" t="s">
        <v>4918</v>
      </c>
      <c r="Q116" t="s">
        <v>3096</v>
      </c>
      <c r="R116">
        <v>23302</v>
      </c>
      <c r="S116" t="s">
        <v>3130</v>
      </c>
      <c r="T116">
        <v>5125904128482250</v>
      </c>
      <c r="U116">
        <v>754</v>
      </c>
      <c r="V116">
        <v>42583</v>
      </c>
      <c r="W116" t="s">
        <v>4919</v>
      </c>
      <c r="X116" t="s">
        <v>4920</v>
      </c>
      <c r="Y116" t="s">
        <v>3172</v>
      </c>
      <c r="Z116" t="s">
        <v>3521</v>
      </c>
      <c r="AA116" t="s">
        <v>4921</v>
      </c>
      <c r="AB116" t="s">
        <v>4922</v>
      </c>
      <c r="AC116" t="s">
        <v>4923</v>
      </c>
      <c r="AD116" t="s">
        <v>3231</v>
      </c>
      <c r="AE116">
        <v>214.3</v>
      </c>
      <c r="AF116">
        <v>97.4</v>
      </c>
      <c r="AG116" t="s">
        <v>3269</v>
      </c>
      <c r="AH116">
        <v>172</v>
      </c>
      <c r="AI116" t="s">
        <v>4924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3118</v>
      </c>
      <c r="C117" t="s">
        <v>3119</v>
      </c>
      <c r="D117" t="s">
        <v>4625</v>
      </c>
      <c r="E117" t="s">
        <v>3095</v>
      </c>
      <c r="F117" t="s">
        <v>4925</v>
      </c>
      <c r="G117" t="s">
        <v>4926</v>
      </c>
      <c r="H117" t="s">
        <v>3867</v>
      </c>
      <c r="I117" t="s">
        <v>3098</v>
      </c>
      <c r="J117" t="s">
        <v>3868</v>
      </c>
      <c r="K117" t="s">
        <v>3100</v>
      </c>
      <c r="L117" t="s">
        <v>3101</v>
      </c>
      <c r="M117" t="s">
        <v>4927</v>
      </c>
      <c r="N117" t="s">
        <v>4928</v>
      </c>
      <c r="O117" t="s">
        <v>4929</v>
      </c>
      <c r="P117" t="s">
        <v>4930</v>
      </c>
      <c r="Q117" t="s">
        <v>4931</v>
      </c>
      <c r="R117">
        <v>14202</v>
      </c>
      <c r="S117" t="s">
        <v>3130</v>
      </c>
      <c r="T117">
        <v>5146889531699860</v>
      </c>
      <c r="U117">
        <v>533</v>
      </c>
      <c r="V117">
        <v>42156</v>
      </c>
      <c r="W117" t="s">
        <v>4932</v>
      </c>
      <c r="X117" t="s">
        <v>4933</v>
      </c>
      <c r="Y117" t="s">
        <v>3110</v>
      </c>
      <c r="Z117" t="s">
        <v>4934</v>
      </c>
      <c r="AA117" t="s">
        <v>4935</v>
      </c>
      <c r="AB117" t="s">
        <v>4936</v>
      </c>
      <c r="AC117" t="s">
        <v>4937</v>
      </c>
      <c r="AD117" t="s">
        <v>4894</v>
      </c>
      <c r="AE117">
        <v>113.1</v>
      </c>
      <c r="AF117">
        <v>51.4</v>
      </c>
      <c r="AG117" t="s">
        <v>3139</v>
      </c>
      <c r="AH117">
        <v>154</v>
      </c>
      <c r="AI117" t="s">
        <v>4938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3092</v>
      </c>
      <c r="C118" t="s">
        <v>3093</v>
      </c>
      <c r="D118" t="s">
        <v>3494</v>
      </c>
      <c r="E118" t="s">
        <v>402</v>
      </c>
      <c r="F118" t="s">
        <v>4939</v>
      </c>
      <c r="G118" t="s">
        <v>4940</v>
      </c>
      <c r="H118" t="s">
        <v>58</v>
      </c>
      <c r="I118" t="s">
        <v>3098</v>
      </c>
      <c r="J118" t="s">
        <v>4941</v>
      </c>
      <c r="K118" t="s">
        <v>3100</v>
      </c>
      <c r="L118" t="s">
        <v>3101</v>
      </c>
      <c r="M118" t="s">
        <v>4942</v>
      </c>
      <c r="N118" t="s">
        <v>4943</v>
      </c>
      <c r="O118" t="s">
        <v>4944</v>
      </c>
      <c r="P118" t="s">
        <v>4945</v>
      </c>
      <c r="Q118" t="s">
        <v>4946</v>
      </c>
      <c r="R118">
        <v>13985</v>
      </c>
      <c r="S118" t="s">
        <v>3130</v>
      </c>
      <c r="T118">
        <v>5515738006251740</v>
      </c>
      <c r="U118">
        <v>100</v>
      </c>
      <c r="V118">
        <v>43586</v>
      </c>
      <c r="W118" t="s">
        <v>4947</v>
      </c>
      <c r="X118" t="s">
        <v>4948</v>
      </c>
      <c r="Y118" t="s">
        <v>3110</v>
      </c>
      <c r="Z118" t="s">
        <v>4949</v>
      </c>
      <c r="AA118" t="s">
        <v>4950</v>
      </c>
      <c r="AB118" t="s">
        <v>4951</v>
      </c>
      <c r="AC118" t="s">
        <v>4952</v>
      </c>
      <c r="AD118" t="s">
        <v>3195</v>
      </c>
      <c r="AE118">
        <v>213.2</v>
      </c>
      <c r="AF118">
        <v>96.9</v>
      </c>
      <c r="AG118" t="s">
        <v>3287</v>
      </c>
      <c r="AH118">
        <v>183</v>
      </c>
      <c r="AI118" t="s">
        <v>4953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3092</v>
      </c>
      <c r="C119" t="s">
        <v>3093</v>
      </c>
      <c r="D119" t="s">
        <v>3735</v>
      </c>
      <c r="E119" t="s">
        <v>3095</v>
      </c>
      <c r="F119" t="s">
        <v>3096</v>
      </c>
      <c r="G119" t="s">
        <v>4954</v>
      </c>
      <c r="H119" t="s">
        <v>3447</v>
      </c>
      <c r="I119" t="s">
        <v>3098</v>
      </c>
      <c r="J119" t="s">
        <v>4084</v>
      </c>
      <c r="K119" t="s">
        <v>3100</v>
      </c>
      <c r="L119" t="s">
        <v>3101</v>
      </c>
      <c r="M119" t="s">
        <v>4955</v>
      </c>
      <c r="N119" t="s">
        <v>4956</v>
      </c>
      <c r="O119" t="s">
        <v>4957</v>
      </c>
      <c r="P119" t="s">
        <v>4958</v>
      </c>
      <c r="Q119" t="s">
        <v>3106</v>
      </c>
      <c r="R119">
        <v>33663</v>
      </c>
      <c r="S119" t="s">
        <v>3107</v>
      </c>
      <c r="T119">
        <v>4556682234049730</v>
      </c>
      <c r="U119">
        <v>649</v>
      </c>
      <c r="V119">
        <v>43009</v>
      </c>
      <c r="W119" t="s">
        <v>4959</v>
      </c>
      <c r="X119" t="s">
        <v>4960</v>
      </c>
      <c r="Y119" t="s">
        <v>3421</v>
      </c>
      <c r="Z119" t="s">
        <v>4961</v>
      </c>
      <c r="AA119" t="s">
        <v>4962</v>
      </c>
      <c r="AB119" t="s">
        <v>4963</v>
      </c>
      <c r="AC119" t="s">
        <v>4964</v>
      </c>
      <c r="AD119" t="s">
        <v>3157</v>
      </c>
      <c r="AE119">
        <v>225.9</v>
      </c>
      <c r="AF119">
        <v>102.7</v>
      </c>
      <c r="AG119" t="s">
        <v>4965</v>
      </c>
      <c r="AH119">
        <v>190</v>
      </c>
      <c r="AI119" t="s">
        <v>4966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3092</v>
      </c>
      <c r="C120" t="s">
        <v>3093</v>
      </c>
      <c r="D120" t="s">
        <v>4967</v>
      </c>
      <c r="E120" t="s">
        <v>3235</v>
      </c>
      <c r="F120" t="s">
        <v>4968</v>
      </c>
      <c r="G120" t="s">
        <v>4969</v>
      </c>
      <c r="H120" t="s">
        <v>4970</v>
      </c>
      <c r="I120" t="s">
        <v>3098</v>
      </c>
      <c r="J120" t="s">
        <v>4971</v>
      </c>
      <c r="K120" t="s">
        <v>3100</v>
      </c>
      <c r="L120" t="s">
        <v>3101</v>
      </c>
      <c r="M120" t="s">
        <v>4972</v>
      </c>
      <c r="N120" t="s">
        <v>4973</v>
      </c>
      <c r="O120" t="s">
        <v>4974</v>
      </c>
      <c r="P120" t="s">
        <v>4975</v>
      </c>
      <c r="Q120" t="s">
        <v>3691</v>
      </c>
      <c r="R120">
        <v>18997</v>
      </c>
      <c r="S120" t="s">
        <v>3107</v>
      </c>
      <c r="T120">
        <v>4916275723250530</v>
      </c>
      <c r="U120">
        <v>58</v>
      </c>
      <c r="V120">
        <v>43556</v>
      </c>
      <c r="W120" t="s">
        <v>4976</v>
      </c>
      <c r="X120" t="s">
        <v>4977</v>
      </c>
      <c r="Y120" t="s">
        <v>3421</v>
      </c>
      <c r="Z120" t="s">
        <v>4831</v>
      </c>
      <c r="AA120" t="s">
        <v>4978</v>
      </c>
      <c r="AB120" t="s">
        <v>4979</v>
      </c>
      <c r="AC120" t="s">
        <v>4980</v>
      </c>
      <c r="AD120" t="s">
        <v>3195</v>
      </c>
      <c r="AE120">
        <v>187.9</v>
      </c>
      <c r="AF120">
        <v>85.4</v>
      </c>
      <c r="AG120" t="s">
        <v>3541</v>
      </c>
      <c r="AH120">
        <v>181</v>
      </c>
      <c r="AI120" t="s">
        <v>4981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3092</v>
      </c>
      <c r="C121" t="s">
        <v>3093</v>
      </c>
      <c r="D121" t="s">
        <v>4982</v>
      </c>
      <c r="E121" t="s">
        <v>3254</v>
      </c>
      <c r="F121" t="s">
        <v>3418</v>
      </c>
      <c r="G121" t="s">
        <v>4983</v>
      </c>
      <c r="H121" t="s">
        <v>4984</v>
      </c>
      <c r="I121" t="s">
        <v>3098</v>
      </c>
      <c r="J121" t="s">
        <v>4985</v>
      </c>
      <c r="K121" t="s">
        <v>3100</v>
      </c>
      <c r="L121" t="s">
        <v>3101</v>
      </c>
      <c r="M121" t="s">
        <v>4986</v>
      </c>
      <c r="N121" t="s">
        <v>4987</v>
      </c>
      <c r="O121" t="s">
        <v>4988</v>
      </c>
      <c r="P121" t="s">
        <v>4989</v>
      </c>
      <c r="Q121" t="s">
        <v>4990</v>
      </c>
      <c r="R121">
        <v>25536</v>
      </c>
      <c r="S121" t="s">
        <v>3130</v>
      </c>
      <c r="T121">
        <v>5414290779777070</v>
      </c>
      <c r="U121">
        <v>208</v>
      </c>
      <c r="V121">
        <v>42705</v>
      </c>
      <c r="W121" t="s">
        <v>4991</v>
      </c>
      <c r="X121" t="s">
        <v>4992</v>
      </c>
      <c r="Y121" t="s">
        <v>3421</v>
      </c>
      <c r="Z121" t="s">
        <v>4993</v>
      </c>
      <c r="AA121" t="s">
        <v>4994</v>
      </c>
      <c r="AB121" t="s">
        <v>4995</v>
      </c>
      <c r="AC121" t="s">
        <v>4996</v>
      </c>
      <c r="AD121" t="s">
        <v>3157</v>
      </c>
      <c r="AE121">
        <v>165</v>
      </c>
      <c r="AF121">
        <v>75</v>
      </c>
      <c r="AG121" t="s">
        <v>3116</v>
      </c>
      <c r="AH121">
        <v>185</v>
      </c>
      <c r="AI121" t="s">
        <v>4997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3092</v>
      </c>
      <c r="C122" t="s">
        <v>3093</v>
      </c>
      <c r="D122" t="s">
        <v>3478</v>
      </c>
      <c r="E122" t="s">
        <v>401</v>
      </c>
      <c r="F122" t="s">
        <v>4204</v>
      </c>
      <c r="G122" t="s">
        <v>4998</v>
      </c>
      <c r="H122" t="s">
        <v>3395</v>
      </c>
      <c r="I122" t="s">
        <v>3098</v>
      </c>
      <c r="J122" t="s">
        <v>3396</v>
      </c>
      <c r="K122" t="s">
        <v>3100</v>
      </c>
      <c r="L122" t="s">
        <v>3101</v>
      </c>
      <c r="M122" t="s">
        <v>4999</v>
      </c>
      <c r="N122" t="s">
        <v>5000</v>
      </c>
      <c r="O122" t="s">
        <v>5001</v>
      </c>
      <c r="P122" t="s">
        <v>5002</v>
      </c>
      <c r="Q122" t="s">
        <v>5003</v>
      </c>
      <c r="R122">
        <v>17662</v>
      </c>
      <c r="S122" t="s">
        <v>3130</v>
      </c>
      <c r="T122">
        <v>5422829014022100</v>
      </c>
      <c r="U122">
        <v>521</v>
      </c>
      <c r="V122">
        <v>42461</v>
      </c>
      <c r="W122" t="s">
        <v>5004</v>
      </c>
      <c r="X122" t="s">
        <v>5005</v>
      </c>
      <c r="Y122" t="s">
        <v>3110</v>
      </c>
      <c r="Z122" t="s">
        <v>5006</v>
      </c>
      <c r="AA122" t="s">
        <v>5007</v>
      </c>
      <c r="AB122" t="s">
        <v>5008</v>
      </c>
      <c r="AC122" t="s">
        <v>5009</v>
      </c>
      <c r="AD122" t="s">
        <v>3157</v>
      </c>
      <c r="AE122">
        <v>183.7</v>
      </c>
      <c r="AF122">
        <v>83.5</v>
      </c>
      <c r="AG122" t="s">
        <v>3305</v>
      </c>
      <c r="AH122">
        <v>171</v>
      </c>
      <c r="AI122" t="s">
        <v>5010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3092</v>
      </c>
      <c r="C123" t="s">
        <v>3093</v>
      </c>
      <c r="D123" t="s">
        <v>5011</v>
      </c>
      <c r="E123" t="s">
        <v>3254</v>
      </c>
      <c r="F123" t="s">
        <v>4939</v>
      </c>
      <c r="G123" t="s">
        <v>5012</v>
      </c>
      <c r="H123" t="s">
        <v>4232</v>
      </c>
      <c r="I123" t="s">
        <v>3098</v>
      </c>
      <c r="J123" t="s">
        <v>4233</v>
      </c>
      <c r="K123" t="s">
        <v>3100</v>
      </c>
      <c r="L123" t="s">
        <v>3101</v>
      </c>
      <c r="M123" t="s">
        <v>5013</v>
      </c>
      <c r="N123" t="s">
        <v>5014</v>
      </c>
      <c r="O123" t="s">
        <v>5015</v>
      </c>
      <c r="P123" t="s">
        <v>5016</v>
      </c>
      <c r="Q123" t="s">
        <v>5017</v>
      </c>
      <c r="R123">
        <v>27160</v>
      </c>
      <c r="S123" t="s">
        <v>3107</v>
      </c>
      <c r="T123">
        <v>4916342115243980</v>
      </c>
      <c r="U123">
        <v>883</v>
      </c>
      <c r="V123">
        <v>43647</v>
      </c>
      <c r="W123" t="s">
        <v>5018</v>
      </c>
      <c r="X123" t="s">
        <v>5019</v>
      </c>
      <c r="Y123" t="s">
        <v>3110</v>
      </c>
      <c r="Z123" t="s">
        <v>5020</v>
      </c>
      <c r="AA123" t="s">
        <v>5021</v>
      </c>
      <c r="AB123" t="s">
        <v>5022</v>
      </c>
      <c r="AC123" t="s">
        <v>5023</v>
      </c>
      <c r="AD123" t="s">
        <v>3195</v>
      </c>
      <c r="AE123">
        <v>240.5</v>
      </c>
      <c r="AF123">
        <v>109.3</v>
      </c>
      <c r="AG123" t="s">
        <v>3116</v>
      </c>
      <c r="AH123">
        <v>186</v>
      </c>
      <c r="AI123" t="s">
        <v>5024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3092</v>
      </c>
      <c r="C124" t="s">
        <v>3093</v>
      </c>
      <c r="D124" t="s">
        <v>4654</v>
      </c>
      <c r="E124" t="s">
        <v>404</v>
      </c>
      <c r="F124" t="s">
        <v>5025</v>
      </c>
      <c r="G124" t="s">
        <v>5026</v>
      </c>
      <c r="H124" t="s">
        <v>5027</v>
      </c>
      <c r="I124" t="s">
        <v>3098</v>
      </c>
      <c r="J124" t="s">
        <v>5028</v>
      </c>
      <c r="K124" t="s">
        <v>3100</v>
      </c>
      <c r="L124" t="s">
        <v>3101</v>
      </c>
      <c r="M124" t="s">
        <v>5029</v>
      </c>
      <c r="N124" t="s">
        <v>5030</v>
      </c>
      <c r="O124" t="s">
        <v>5031</v>
      </c>
      <c r="P124" t="s">
        <v>5032</v>
      </c>
      <c r="Q124" t="s">
        <v>4363</v>
      </c>
      <c r="R124">
        <v>30456</v>
      </c>
      <c r="S124" t="s">
        <v>3130</v>
      </c>
      <c r="T124">
        <v>5261365140959160</v>
      </c>
      <c r="U124">
        <v>323</v>
      </c>
      <c r="V124">
        <v>43132</v>
      </c>
      <c r="W124" t="s">
        <v>5033</v>
      </c>
      <c r="X124" t="s">
        <v>5034</v>
      </c>
      <c r="Y124" t="s">
        <v>3110</v>
      </c>
      <c r="Z124" t="s">
        <v>5035</v>
      </c>
      <c r="AA124" t="s">
        <v>5007</v>
      </c>
      <c r="AB124" t="s">
        <v>5036</v>
      </c>
      <c r="AC124" t="s">
        <v>5037</v>
      </c>
      <c r="AD124" t="s">
        <v>3251</v>
      </c>
      <c r="AE124">
        <v>177.3</v>
      </c>
      <c r="AF124">
        <v>80.599999999999994</v>
      </c>
      <c r="AG124" t="s">
        <v>3287</v>
      </c>
      <c r="AH124">
        <v>182</v>
      </c>
      <c r="AI124" t="s">
        <v>5038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3118</v>
      </c>
      <c r="C125" t="s">
        <v>4141</v>
      </c>
      <c r="D125" t="s">
        <v>5039</v>
      </c>
      <c r="E125" t="s">
        <v>3462</v>
      </c>
      <c r="F125" t="s">
        <v>3298</v>
      </c>
      <c r="G125" t="s">
        <v>5040</v>
      </c>
      <c r="H125" t="s">
        <v>5041</v>
      </c>
      <c r="I125" t="s">
        <v>3098</v>
      </c>
      <c r="J125" t="s">
        <v>5042</v>
      </c>
      <c r="K125" t="s">
        <v>3100</v>
      </c>
      <c r="L125" t="s">
        <v>3101</v>
      </c>
      <c r="M125" t="s">
        <v>5043</v>
      </c>
      <c r="N125" t="s">
        <v>5044</v>
      </c>
      <c r="O125" t="s">
        <v>5045</v>
      </c>
      <c r="P125" t="s">
        <v>5046</v>
      </c>
      <c r="Q125" t="s">
        <v>3666</v>
      </c>
      <c r="R125">
        <v>30263</v>
      </c>
      <c r="S125" t="s">
        <v>3107</v>
      </c>
      <c r="T125">
        <v>4539312199529070</v>
      </c>
      <c r="U125">
        <v>449</v>
      </c>
      <c r="V125">
        <v>42705</v>
      </c>
      <c r="W125" t="s">
        <v>5047</v>
      </c>
      <c r="X125" t="s">
        <v>5048</v>
      </c>
      <c r="Y125" t="s">
        <v>3264</v>
      </c>
      <c r="Z125" t="s">
        <v>5049</v>
      </c>
      <c r="AA125" t="s">
        <v>5050</v>
      </c>
      <c r="AB125" t="s">
        <v>5051</v>
      </c>
      <c r="AC125" t="s">
        <v>5052</v>
      </c>
      <c r="AD125" t="s">
        <v>3195</v>
      </c>
      <c r="AE125">
        <v>218.5</v>
      </c>
      <c r="AF125">
        <v>99.3</v>
      </c>
      <c r="AG125" t="s">
        <v>3606</v>
      </c>
      <c r="AH125">
        <v>159</v>
      </c>
      <c r="AI125" t="s">
        <v>5053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3092</v>
      </c>
      <c r="C126" t="s">
        <v>3093</v>
      </c>
      <c r="D126" t="s">
        <v>5054</v>
      </c>
      <c r="E126" t="s">
        <v>400</v>
      </c>
      <c r="F126" t="s">
        <v>5055</v>
      </c>
      <c r="G126" t="s">
        <v>5056</v>
      </c>
      <c r="H126" t="s">
        <v>4380</v>
      </c>
      <c r="I126" t="s">
        <v>3098</v>
      </c>
      <c r="J126" t="s">
        <v>4381</v>
      </c>
      <c r="K126" t="s">
        <v>3100</v>
      </c>
      <c r="L126" t="s">
        <v>3101</v>
      </c>
      <c r="M126" t="s">
        <v>5057</v>
      </c>
      <c r="N126" t="s">
        <v>5058</v>
      </c>
      <c r="O126" t="s">
        <v>5059</v>
      </c>
      <c r="P126" t="s">
        <v>5060</v>
      </c>
      <c r="Q126" t="s">
        <v>5061</v>
      </c>
      <c r="R126">
        <v>20634</v>
      </c>
      <c r="S126" t="s">
        <v>3130</v>
      </c>
      <c r="T126">
        <v>5378200957082370</v>
      </c>
      <c r="U126">
        <v>142</v>
      </c>
      <c r="V126">
        <v>43101</v>
      </c>
      <c r="W126" t="s">
        <v>5062</v>
      </c>
      <c r="X126" t="s">
        <v>5063</v>
      </c>
      <c r="Y126" t="s">
        <v>3110</v>
      </c>
      <c r="Z126" t="s">
        <v>5064</v>
      </c>
      <c r="AA126" t="s">
        <v>3112</v>
      </c>
      <c r="AB126" t="s">
        <v>5065</v>
      </c>
      <c r="AC126" t="s">
        <v>5066</v>
      </c>
      <c r="AD126" t="s">
        <v>3251</v>
      </c>
      <c r="AE126">
        <v>210.5</v>
      </c>
      <c r="AF126">
        <v>95.7</v>
      </c>
      <c r="AG126" t="s">
        <v>3116</v>
      </c>
      <c r="AH126">
        <v>186</v>
      </c>
      <c r="AI126" t="s">
        <v>5067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3092</v>
      </c>
      <c r="C127" t="s">
        <v>3093</v>
      </c>
      <c r="D127" t="s">
        <v>5068</v>
      </c>
      <c r="E127" t="s">
        <v>3095</v>
      </c>
      <c r="F127" t="s">
        <v>5069</v>
      </c>
      <c r="G127" t="s">
        <v>5070</v>
      </c>
      <c r="H127" t="s">
        <v>2</v>
      </c>
      <c r="I127" t="s">
        <v>3098</v>
      </c>
      <c r="J127" t="s">
        <v>4006</v>
      </c>
      <c r="K127" t="s">
        <v>3100</v>
      </c>
      <c r="L127" t="s">
        <v>3101</v>
      </c>
      <c r="M127" t="s">
        <v>5071</v>
      </c>
      <c r="N127" t="s">
        <v>5072</v>
      </c>
      <c r="O127" t="s">
        <v>5073</v>
      </c>
      <c r="P127" t="s">
        <v>5074</v>
      </c>
      <c r="Q127" t="s">
        <v>4574</v>
      </c>
      <c r="R127">
        <v>25258</v>
      </c>
      <c r="S127" t="s">
        <v>3130</v>
      </c>
      <c r="T127">
        <v>5452790814384290</v>
      </c>
      <c r="U127">
        <v>875</v>
      </c>
      <c r="V127">
        <v>42795</v>
      </c>
      <c r="W127" t="s">
        <v>5075</v>
      </c>
      <c r="X127" t="s">
        <v>5076</v>
      </c>
      <c r="Y127" t="s">
        <v>3110</v>
      </c>
      <c r="Z127" t="s">
        <v>5077</v>
      </c>
      <c r="AA127" t="s">
        <v>5078</v>
      </c>
      <c r="AB127" t="s">
        <v>5079</v>
      </c>
      <c r="AC127" t="s">
        <v>5080</v>
      </c>
      <c r="AD127" t="s">
        <v>3115</v>
      </c>
      <c r="AE127">
        <v>163.19999999999999</v>
      </c>
      <c r="AF127">
        <v>74.2</v>
      </c>
      <c r="AG127" t="s">
        <v>3287</v>
      </c>
      <c r="AH127">
        <v>182</v>
      </c>
      <c r="AI127" t="s">
        <v>5081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3092</v>
      </c>
      <c r="C128" t="s">
        <v>3093</v>
      </c>
      <c r="D128" t="s">
        <v>5082</v>
      </c>
      <c r="E128" t="s">
        <v>403</v>
      </c>
      <c r="F128" t="s">
        <v>4705</v>
      </c>
      <c r="G128" t="s">
        <v>5083</v>
      </c>
      <c r="H128" t="s">
        <v>4380</v>
      </c>
      <c r="I128" t="s">
        <v>3098</v>
      </c>
      <c r="J128" t="s">
        <v>4381</v>
      </c>
      <c r="K128" t="s">
        <v>3100</v>
      </c>
      <c r="L128" t="s">
        <v>3101</v>
      </c>
      <c r="M128" t="s">
        <v>5084</v>
      </c>
      <c r="N128" t="s">
        <v>5085</v>
      </c>
      <c r="O128" t="s">
        <v>5086</v>
      </c>
      <c r="P128" t="s">
        <v>5087</v>
      </c>
      <c r="Q128" t="s">
        <v>5088</v>
      </c>
      <c r="R128">
        <v>15301</v>
      </c>
      <c r="S128" t="s">
        <v>3107</v>
      </c>
      <c r="T128">
        <v>4916696288513080</v>
      </c>
      <c r="U128">
        <v>66</v>
      </c>
      <c r="V128">
        <v>42795</v>
      </c>
      <c r="W128" t="s">
        <v>5089</v>
      </c>
      <c r="X128" t="s">
        <v>5090</v>
      </c>
      <c r="Y128" t="s">
        <v>3110</v>
      </c>
      <c r="Z128" t="s">
        <v>5091</v>
      </c>
      <c r="AA128" t="s">
        <v>5092</v>
      </c>
      <c r="AB128" t="s">
        <v>5093</v>
      </c>
      <c r="AC128" t="s">
        <v>5094</v>
      </c>
      <c r="AD128" t="s">
        <v>3231</v>
      </c>
      <c r="AE128">
        <v>232.8</v>
      </c>
      <c r="AF128">
        <v>105.8</v>
      </c>
      <c r="AG128" t="s">
        <v>3356</v>
      </c>
      <c r="AH128">
        <v>178</v>
      </c>
      <c r="AI128" t="s">
        <v>5095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3118</v>
      </c>
      <c r="C129" t="s">
        <v>3119</v>
      </c>
      <c r="D129" t="s">
        <v>5096</v>
      </c>
      <c r="E129" t="s">
        <v>397</v>
      </c>
      <c r="F129" t="s">
        <v>5097</v>
      </c>
      <c r="G129" t="s">
        <v>5098</v>
      </c>
      <c r="H129" t="s">
        <v>27</v>
      </c>
      <c r="I129" t="s">
        <v>3098</v>
      </c>
      <c r="J129" t="s">
        <v>3219</v>
      </c>
      <c r="K129" t="s">
        <v>3100</v>
      </c>
      <c r="L129" t="s">
        <v>3101</v>
      </c>
      <c r="M129" t="s">
        <v>5099</v>
      </c>
      <c r="N129" t="s">
        <v>5100</v>
      </c>
      <c r="O129" t="s">
        <v>5101</v>
      </c>
      <c r="P129" t="s">
        <v>5102</v>
      </c>
      <c r="Q129" t="s">
        <v>5103</v>
      </c>
      <c r="R129">
        <v>25229</v>
      </c>
      <c r="S129" t="s">
        <v>3130</v>
      </c>
      <c r="T129">
        <v>5327462357326370</v>
      </c>
      <c r="U129">
        <v>808</v>
      </c>
      <c r="V129">
        <v>42186</v>
      </c>
      <c r="W129" t="s">
        <v>5104</v>
      </c>
      <c r="X129" t="s">
        <v>5105</v>
      </c>
      <c r="Y129" t="s">
        <v>3172</v>
      </c>
      <c r="Z129" t="s">
        <v>5106</v>
      </c>
      <c r="AA129" t="s">
        <v>5107</v>
      </c>
      <c r="AB129" t="s">
        <v>5108</v>
      </c>
      <c r="AC129" t="s">
        <v>5109</v>
      </c>
      <c r="AD129" t="s">
        <v>3195</v>
      </c>
      <c r="AE129">
        <v>118.1</v>
      </c>
      <c r="AF129">
        <v>53.7</v>
      </c>
      <c r="AG129" t="s">
        <v>3139</v>
      </c>
      <c r="AH129">
        <v>155</v>
      </c>
      <c r="AI129" t="s">
        <v>5110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3092</v>
      </c>
      <c r="C130" t="s">
        <v>3093</v>
      </c>
      <c r="D130" t="s">
        <v>3494</v>
      </c>
      <c r="E130" t="s">
        <v>397</v>
      </c>
      <c r="F130" t="s">
        <v>5111</v>
      </c>
      <c r="G130" t="s">
        <v>5112</v>
      </c>
      <c r="H130" t="s">
        <v>5113</v>
      </c>
      <c r="I130" t="s">
        <v>3098</v>
      </c>
      <c r="J130" t="s">
        <v>5114</v>
      </c>
      <c r="K130" t="s">
        <v>3100</v>
      </c>
      <c r="L130" t="s">
        <v>3101</v>
      </c>
      <c r="M130" t="s">
        <v>5115</v>
      </c>
      <c r="N130" t="s">
        <v>5116</v>
      </c>
      <c r="O130" t="s">
        <v>5117</v>
      </c>
      <c r="P130" t="s">
        <v>5118</v>
      </c>
      <c r="Q130" t="s">
        <v>3777</v>
      </c>
      <c r="R130">
        <v>23331</v>
      </c>
      <c r="S130" t="s">
        <v>3107</v>
      </c>
      <c r="T130">
        <v>4485502697281220</v>
      </c>
      <c r="U130">
        <v>851</v>
      </c>
      <c r="V130">
        <v>43070</v>
      </c>
      <c r="W130" t="s">
        <v>5119</v>
      </c>
      <c r="X130" t="s">
        <v>5120</v>
      </c>
      <c r="Y130" t="s">
        <v>3319</v>
      </c>
      <c r="Z130" t="s">
        <v>5121</v>
      </c>
      <c r="AA130" t="s">
        <v>5122</v>
      </c>
      <c r="AB130" t="s">
        <v>5123</v>
      </c>
      <c r="AC130" t="s">
        <v>5124</v>
      </c>
      <c r="AD130" t="s">
        <v>3195</v>
      </c>
      <c r="AE130">
        <v>187.7</v>
      </c>
      <c r="AF130">
        <v>85.3</v>
      </c>
      <c r="AG130" t="s">
        <v>3116</v>
      </c>
      <c r="AH130">
        <v>186</v>
      </c>
      <c r="AI130" t="s">
        <v>5125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3118</v>
      </c>
      <c r="C131" t="s">
        <v>3119</v>
      </c>
      <c r="D131" t="s">
        <v>5126</v>
      </c>
      <c r="E131" t="s">
        <v>400</v>
      </c>
      <c r="F131" t="s">
        <v>5127</v>
      </c>
      <c r="G131" t="s">
        <v>5128</v>
      </c>
      <c r="H131" t="s">
        <v>2</v>
      </c>
      <c r="I131" t="s">
        <v>3098</v>
      </c>
      <c r="J131" t="s">
        <v>3465</v>
      </c>
      <c r="K131" t="s">
        <v>3100</v>
      </c>
      <c r="L131" t="s">
        <v>3101</v>
      </c>
      <c r="M131" t="s">
        <v>5129</v>
      </c>
      <c r="N131" t="s">
        <v>5130</v>
      </c>
      <c r="O131" t="s">
        <v>5131</v>
      </c>
      <c r="P131" t="s">
        <v>5132</v>
      </c>
      <c r="Q131" t="s">
        <v>5133</v>
      </c>
      <c r="R131">
        <v>14783</v>
      </c>
      <c r="S131" t="s">
        <v>3130</v>
      </c>
      <c r="T131">
        <v>5290102379576160</v>
      </c>
      <c r="U131">
        <v>57</v>
      </c>
      <c r="V131">
        <v>42736</v>
      </c>
      <c r="W131" t="s">
        <v>5134</v>
      </c>
      <c r="X131" t="s">
        <v>5135</v>
      </c>
      <c r="Y131" t="s">
        <v>3110</v>
      </c>
      <c r="Z131" t="s">
        <v>5136</v>
      </c>
      <c r="AA131" t="s">
        <v>5137</v>
      </c>
      <c r="AB131" t="s">
        <v>5138</v>
      </c>
      <c r="AC131" t="s">
        <v>5139</v>
      </c>
      <c r="AD131" t="s">
        <v>3251</v>
      </c>
      <c r="AE131">
        <v>208.1</v>
      </c>
      <c r="AF131">
        <v>94.6</v>
      </c>
      <c r="AG131" t="s">
        <v>3196</v>
      </c>
      <c r="AH131">
        <v>167</v>
      </c>
      <c r="AI131" t="s">
        <v>5140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3092</v>
      </c>
      <c r="C132" t="s">
        <v>3093</v>
      </c>
      <c r="D132" t="s">
        <v>3543</v>
      </c>
      <c r="E132" t="s">
        <v>400</v>
      </c>
      <c r="F132" t="s">
        <v>5141</v>
      </c>
      <c r="G132" t="s">
        <v>5142</v>
      </c>
      <c r="H132" t="s">
        <v>3343</v>
      </c>
      <c r="I132" t="s">
        <v>3098</v>
      </c>
      <c r="J132" t="s">
        <v>3899</v>
      </c>
      <c r="K132" t="s">
        <v>3100</v>
      </c>
      <c r="L132" t="s">
        <v>3101</v>
      </c>
      <c r="M132" t="s">
        <v>5143</v>
      </c>
      <c r="N132" t="s">
        <v>5144</v>
      </c>
      <c r="O132" t="s">
        <v>5145</v>
      </c>
      <c r="P132" t="s">
        <v>5146</v>
      </c>
      <c r="Q132" t="s">
        <v>5147</v>
      </c>
      <c r="R132">
        <v>30190</v>
      </c>
      <c r="S132" t="s">
        <v>3130</v>
      </c>
      <c r="T132">
        <v>5404961433105030</v>
      </c>
      <c r="U132">
        <v>413</v>
      </c>
      <c r="V132">
        <v>42583</v>
      </c>
      <c r="W132" t="s">
        <v>5148</v>
      </c>
      <c r="X132" t="s">
        <v>5149</v>
      </c>
      <c r="Y132" t="s">
        <v>3110</v>
      </c>
      <c r="Z132" t="s">
        <v>5150</v>
      </c>
      <c r="AA132" t="s">
        <v>5151</v>
      </c>
      <c r="AB132" t="s">
        <v>5152</v>
      </c>
      <c r="AC132" t="s">
        <v>5153</v>
      </c>
      <c r="AD132" t="s">
        <v>3157</v>
      </c>
      <c r="AE132">
        <v>169.6</v>
      </c>
      <c r="AF132">
        <v>77.099999999999994</v>
      </c>
      <c r="AG132" t="s">
        <v>3305</v>
      </c>
      <c r="AH132">
        <v>169</v>
      </c>
      <c r="AI132" t="s">
        <v>5154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3092</v>
      </c>
      <c r="C133" t="s">
        <v>3093</v>
      </c>
      <c r="D133" t="s">
        <v>3271</v>
      </c>
      <c r="E133" t="s">
        <v>403</v>
      </c>
      <c r="F133" t="s">
        <v>5155</v>
      </c>
      <c r="G133" t="s">
        <v>5156</v>
      </c>
      <c r="H133" t="s">
        <v>27</v>
      </c>
      <c r="I133" t="s">
        <v>3098</v>
      </c>
      <c r="J133" t="s">
        <v>3219</v>
      </c>
      <c r="K133" t="s">
        <v>3100</v>
      </c>
      <c r="L133" t="s">
        <v>3101</v>
      </c>
      <c r="M133" t="s">
        <v>5157</v>
      </c>
      <c r="N133" t="s">
        <v>5158</v>
      </c>
      <c r="O133" t="s">
        <v>5159</v>
      </c>
      <c r="P133" t="s">
        <v>5160</v>
      </c>
      <c r="Q133" t="s">
        <v>3817</v>
      </c>
      <c r="R133">
        <v>27318</v>
      </c>
      <c r="S133" t="s">
        <v>3107</v>
      </c>
      <c r="T133">
        <v>4532173823350320</v>
      </c>
      <c r="U133">
        <v>608</v>
      </c>
      <c r="V133">
        <v>43282</v>
      </c>
      <c r="W133" t="s">
        <v>5161</v>
      </c>
      <c r="X133" t="s">
        <v>5162</v>
      </c>
      <c r="Y133" t="s">
        <v>3110</v>
      </c>
      <c r="Z133" t="s">
        <v>5163</v>
      </c>
      <c r="AA133" t="s">
        <v>5164</v>
      </c>
      <c r="AB133" t="s">
        <v>5165</v>
      </c>
      <c r="AC133" t="s">
        <v>5166</v>
      </c>
      <c r="AD133" t="s">
        <v>3157</v>
      </c>
      <c r="AE133">
        <v>223.3</v>
      </c>
      <c r="AF133">
        <v>101.5</v>
      </c>
      <c r="AG133" t="s">
        <v>3287</v>
      </c>
      <c r="AH133">
        <v>184</v>
      </c>
      <c r="AI133" t="s">
        <v>5167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3092</v>
      </c>
      <c r="C134" t="s">
        <v>3093</v>
      </c>
      <c r="D134" t="s">
        <v>3494</v>
      </c>
      <c r="E134" t="s">
        <v>4347</v>
      </c>
      <c r="F134" t="s">
        <v>5168</v>
      </c>
      <c r="G134" t="s">
        <v>5169</v>
      </c>
      <c r="H134" t="s">
        <v>19</v>
      </c>
      <c r="I134" t="s">
        <v>3098</v>
      </c>
      <c r="J134" t="s">
        <v>5170</v>
      </c>
      <c r="K134" t="s">
        <v>3100</v>
      </c>
      <c r="L134" t="s">
        <v>3101</v>
      </c>
      <c r="M134" t="s">
        <v>5171</v>
      </c>
      <c r="N134" t="s">
        <v>5172</v>
      </c>
      <c r="O134" t="s">
        <v>5173</v>
      </c>
      <c r="P134" t="s">
        <v>5174</v>
      </c>
      <c r="Q134" t="s">
        <v>5175</v>
      </c>
      <c r="R134">
        <v>23811</v>
      </c>
      <c r="S134" t="s">
        <v>3107</v>
      </c>
      <c r="T134">
        <v>4716954576901950</v>
      </c>
      <c r="U134">
        <v>206</v>
      </c>
      <c r="V134">
        <v>42217</v>
      </c>
      <c r="W134" t="s">
        <v>5176</v>
      </c>
      <c r="X134" t="s">
        <v>5177</v>
      </c>
      <c r="Y134" t="s">
        <v>3319</v>
      </c>
      <c r="Z134" t="s">
        <v>5178</v>
      </c>
      <c r="AA134" t="s">
        <v>5179</v>
      </c>
      <c r="AB134" t="s">
        <v>5180</v>
      </c>
      <c r="AC134" t="s">
        <v>5181</v>
      </c>
      <c r="AD134" t="s">
        <v>3195</v>
      </c>
      <c r="AE134">
        <v>194.5</v>
      </c>
      <c r="AF134">
        <v>88.4</v>
      </c>
      <c r="AG134" t="s">
        <v>3356</v>
      </c>
      <c r="AH134">
        <v>179</v>
      </c>
      <c r="AI134" t="s">
        <v>5182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3092</v>
      </c>
      <c r="C135" t="s">
        <v>3093</v>
      </c>
      <c r="D135" t="s">
        <v>5183</v>
      </c>
      <c r="E135" t="s">
        <v>397</v>
      </c>
      <c r="F135" t="s">
        <v>3096</v>
      </c>
      <c r="G135" t="s">
        <v>5184</v>
      </c>
      <c r="H135" t="s">
        <v>2</v>
      </c>
      <c r="I135" t="s">
        <v>3098</v>
      </c>
      <c r="J135" t="s">
        <v>3465</v>
      </c>
      <c r="K135" t="s">
        <v>3100</v>
      </c>
      <c r="L135" t="s">
        <v>3101</v>
      </c>
      <c r="M135" t="s">
        <v>5185</v>
      </c>
      <c r="N135" t="s">
        <v>5186</v>
      </c>
      <c r="O135" t="s">
        <v>5187</v>
      </c>
      <c r="P135" t="s">
        <v>5188</v>
      </c>
      <c r="Q135" t="s">
        <v>5189</v>
      </c>
      <c r="R135">
        <v>33962</v>
      </c>
      <c r="S135" t="s">
        <v>3107</v>
      </c>
      <c r="T135">
        <v>4916913029124010</v>
      </c>
      <c r="U135">
        <v>861</v>
      </c>
      <c r="V135">
        <v>42125</v>
      </c>
      <c r="W135" t="s">
        <v>5190</v>
      </c>
      <c r="X135" t="s">
        <v>5191</v>
      </c>
      <c r="Y135" t="s">
        <v>3110</v>
      </c>
      <c r="Z135" t="s">
        <v>5192</v>
      </c>
      <c r="AA135" t="s">
        <v>5193</v>
      </c>
      <c r="AB135" t="s">
        <v>5194</v>
      </c>
      <c r="AC135" t="s">
        <v>5195</v>
      </c>
      <c r="AD135" t="s">
        <v>3195</v>
      </c>
      <c r="AE135">
        <v>159.9</v>
      </c>
      <c r="AF135">
        <v>72.7</v>
      </c>
      <c r="AG135" t="s">
        <v>3541</v>
      </c>
      <c r="AH135">
        <v>180</v>
      </c>
      <c r="AI135" t="s">
        <v>5196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3118</v>
      </c>
      <c r="C136" t="s">
        <v>3160</v>
      </c>
      <c r="D136" t="s">
        <v>5197</v>
      </c>
      <c r="E136" t="s">
        <v>402</v>
      </c>
      <c r="F136" t="s">
        <v>5198</v>
      </c>
      <c r="G136" t="s">
        <v>5199</v>
      </c>
      <c r="H136" t="s">
        <v>27</v>
      </c>
      <c r="I136" t="s">
        <v>3098</v>
      </c>
      <c r="J136" t="s">
        <v>4552</v>
      </c>
      <c r="K136" t="s">
        <v>3100</v>
      </c>
      <c r="L136" t="s">
        <v>3101</v>
      </c>
      <c r="M136" t="s">
        <v>5200</v>
      </c>
      <c r="N136" t="s">
        <v>5201</v>
      </c>
      <c r="O136" t="s">
        <v>5202</v>
      </c>
      <c r="P136" t="s">
        <v>5203</v>
      </c>
      <c r="Q136" t="s">
        <v>5204</v>
      </c>
      <c r="R136">
        <v>23023</v>
      </c>
      <c r="S136" t="s">
        <v>3107</v>
      </c>
      <c r="T136">
        <v>4916377501522100</v>
      </c>
      <c r="U136">
        <v>391</v>
      </c>
      <c r="V136">
        <v>42887</v>
      </c>
      <c r="W136" t="s">
        <v>5205</v>
      </c>
      <c r="X136" t="s">
        <v>5206</v>
      </c>
      <c r="Y136" t="s">
        <v>3421</v>
      </c>
      <c r="Z136" t="s">
        <v>5207</v>
      </c>
      <c r="AA136" t="s">
        <v>5208</v>
      </c>
      <c r="AB136" t="s">
        <v>5209</v>
      </c>
      <c r="AC136" t="s">
        <v>5210</v>
      </c>
      <c r="AD136" t="s">
        <v>3157</v>
      </c>
      <c r="AE136">
        <v>220.7</v>
      </c>
      <c r="AF136">
        <v>100.3</v>
      </c>
      <c r="AG136" t="s">
        <v>4155</v>
      </c>
      <c r="AH136">
        <v>163</v>
      </c>
      <c r="AI136" t="s">
        <v>5211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3092</v>
      </c>
      <c r="C137" t="s">
        <v>3093</v>
      </c>
      <c r="D137" t="s">
        <v>5212</v>
      </c>
      <c r="E137" t="s">
        <v>397</v>
      </c>
      <c r="F137" t="s">
        <v>3096</v>
      </c>
      <c r="G137" t="s">
        <v>5213</v>
      </c>
      <c r="H137" t="s">
        <v>5214</v>
      </c>
      <c r="I137" t="s">
        <v>3098</v>
      </c>
      <c r="J137" t="s">
        <v>5215</v>
      </c>
      <c r="K137" t="s">
        <v>3100</v>
      </c>
      <c r="L137" t="s">
        <v>3101</v>
      </c>
      <c r="M137" t="s">
        <v>5216</v>
      </c>
      <c r="N137" t="s">
        <v>5217</v>
      </c>
      <c r="O137" t="s">
        <v>5218</v>
      </c>
      <c r="P137" t="s">
        <v>5219</v>
      </c>
      <c r="Q137" t="s">
        <v>3559</v>
      </c>
      <c r="R137">
        <v>23771</v>
      </c>
      <c r="S137" t="s">
        <v>3130</v>
      </c>
      <c r="T137">
        <v>5517432741592750</v>
      </c>
      <c r="U137">
        <v>954</v>
      </c>
      <c r="V137">
        <v>43191</v>
      </c>
      <c r="W137" t="s">
        <v>5220</v>
      </c>
      <c r="X137" t="s">
        <v>5221</v>
      </c>
      <c r="Y137" t="s">
        <v>3110</v>
      </c>
      <c r="Z137" t="s">
        <v>5222</v>
      </c>
      <c r="AA137" t="s">
        <v>5223</v>
      </c>
      <c r="AB137" t="s">
        <v>5224</v>
      </c>
      <c r="AC137" t="s">
        <v>5225</v>
      </c>
      <c r="AD137" t="s">
        <v>3195</v>
      </c>
      <c r="AE137">
        <v>222</v>
      </c>
      <c r="AF137">
        <v>100.9</v>
      </c>
      <c r="AG137" t="s">
        <v>3116</v>
      </c>
      <c r="AH137">
        <v>186</v>
      </c>
      <c r="AI137" t="s">
        <v>5226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3118</v>
      </c>
      <c r="C138" t="s">
        <v>3119</v>
      </c>
      <c r="D138" t="s">
        <v>3253</v>
      </c>
      <c r="E138" t="s">
        <v>3095</v>
      </c>
      <c r="F138" t="s">
        <v>5227</v>
      </c>
      <c r="G138" t="s">
        <v>5228</v>
      </c>
      <c r="H138" t="s">
        <v>5229</v>
      </c>
      <c r="I138" t="s">
        <v>3098</v>
      </c>
      <c r="J138" t="s">
        <v>5230</v>
      </c>
      <c r="K138" t="s">
        <v>3100</v>
      </c>
      <c r="L138" t="s">
        <v>3101</v>
      </c>
      <c r="M138" t="s">
        <v>5231</v>
      </c>
      <c r="N138" t="s">
        <v>5232</v>
      </c>
      <c r="O138" t="s">
        <v>5233</v>
      </c>
      <c r="P138" t="s">
        <v>5234</v>
      </c>
      <c r="Q138" t="s">
        <v>5235</v>
      </c>
      <c r="R138">
        <v>22822</v>
      </c>
      <c r="S138" t="s">
        <v>3130</v>
      </c>
      <c r="T138">
        <v>5537918479384510</v>
      </c>
      <c r="U138">
        <v>899</v>
      </c>
      <c r="V138">
        <v>43770</v>
      </c>
      <c r="W138" t="s">
        <v>5236</v>
      </c>
      <c r="X138" t="s">
        <v>5237</v>
      </c>
      <c r="Y138" t="s">
        <v>3172</v>
      </c>
      <c r="Z138" t="s">
        <v>5238</v>
      </c>
      <c r="AA138" t="s">
        <v>4608</v>
      </c>
      <c r="AB138" t="s">
        <v>5239</v>
      </c>
      <c r="AC138" t="s">
        <v>5240</v>
      </c>
      <c r="AD138" t="s">
        <v>3251</v>
      </c>
      <c r="AE138">
        <v>196.7</v>
      </c>
      <c r="AF138">
        <v>89.4</v>
      </c>
      <c r="AG138" t="s">
        <v>3232</v>
      </c>
      <c r="AH138">
        <v>165</v>
      </c>
      <c r="AI138" t="s">
        <v>5241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3118</v>
      </c>
      <c r="C139" t="s">
        <v>3160</v>
      </c>
      <c r="D139" t="s">
        <v>3253</v>
      </c>
      <c r="E139" t="s">
        <v>204</v>
      </c>
      <c r="F139" t="s">
        <v>3096</v>
      </c>
      <c r="G139" t="s">
        <v>5242</v>
      </c>
      <c r="H139" t="s">
        <v>5243</v>
      </c>
      <c r="I139" t="s">
        <v>3098</v>
      </c>
      <c r="J139" t="s">
        <v>5244</v>
      </c>
      <c r="K139" t="s">
        <v>3100</v>
      </c>
      <c r="L139" t="s">
        <v>3101</v>
      </c>
      <c r="M139" t="s">
        <v>5245</v>
      </c>
      <c r="N139" t="s">
        <v>5246</v>
      </c>
      <c r="O139" t="s">
        <v>5247</v>
      </c>
      <c r="P139" t="s">
        <v>5248</v>
      </c>
      <c r="Q139" t="s">
        <v>5249</v>
      </c>
      <c r="R139">
        <v>25280</v>
      </c>
      <c r="S139" t="s">
        <v>3130</v>
      </c>
      <c r="T139">
        <v>5555944900313870</v>
      </c>
      <c r="U139">
        <v>550</v>
      </c>
      <c r="V139">
        <v>42036</v>
      </c>
      <c r="W139" t="s">
        <v>5250</v>
      </c>
      <c r="X139" t="s">
        <v>5251</v>
      </c>
      <c r="Y139" t="s">
        <v>3319</v>
      </c>
      <c r="Z139" t="s">
        <v>5252</v>
      </c>
      <c r="AA139" t="s">
        <v>5253</v>
      </c>
      <c r="AB139" t="s">
        <v>5254</v>
      </c>
      <c r="AC139" t="s">
        <v>5255</v>
      </c>
      <c r="AD139" t="s">
        <v>3195</v>
      </c>
      <c r="AE139">
        <v>117</v>
      </c>
      <c r="AF139">
        <v>53.2</v>
      </c>
      <c r="AG139" t="s">
        <v>3606</v>
      </c>
      <c r="AH139">
        <v>161</v>
      </c>
      <c r="AI139" t="s">
        <v>5256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3092</v>
      </c>
      <c r="C140" t="s">
        <v>3093</v>
      </c>
      <c r="D140" t="s">
        <v>5257</v>
      </c>
      <c r="E140" t="s">
        <v>204</v>
      </c>
      <c r="F140" t="s">
        <v>3713</v>
      </c>
      <c r="G140" t="s">
        <v>5258</v>
      </c>
      <c r="H140" t="s">
        <v>5259</v>
      </c>
      <c r="I140" t="s">
        <v>3098</v>
      </c>
      <c r="J140" t="s">
        <v>5260</v>
      </c>
      <c r="K140" t="s">
        <v>3100</v>
      </c>
      <c r="L140" t="s">
        <v>3101</v>
      </c>
      <c r="M140" t="s">
        <v>5261</v>
      </c>
      <c r="N140" t="s">
        <v>5262</v>
      </c>
      <c r="O140" t="s">
        <v>5263</v>
      </c>
      <c r="P140" t="s">
        <v>5264</v>
      </c>
      <c r="Q140" t="s">
        <v>5265</v>
      </c>
      <c r="R140">
        <v>28714</v>
      </c>
      <c r="S140" t="s">
        <v>3107</v>
      </c>
      <c r="T140">
        <v>4929534822593410</v>
      </c>
      <c r="U140">
        <v>451</v>
      </c>
      <c r="V140">
        <v>43617</v>
      </c>
      <c r="W140" t="s">
        <v>5266</v>
      </c>
      <c r="X140" t="s">
        <v>5267</v>
      </c>
      <c r="Y140" t="s">
        <v>3386</v>
      </c>
      <c r="Z140" t="s">
        <v>5268</v>
      </c>
      <c r="AA140" t="s">
        <v>5269</v>
      </c>
      <c r="AB140" t="s">
        <v>5270</v>
      </c>
      <c r="AC140" t="s">
        <v>5271</v>
      </c>
      <c r="AD140" t="s">
        <v>3231</v>
      </c>
      <c r="AE140">
        <v>216.7</v>
      </c>
      <c r="AF140">
        <v>98.5</v>
      </c>
      <c r="AG140" t="s">
        <v>3116</v>
      </c>
      <c r="AH140">
        <v>186</v>
      </c>
      <c r="AI140" t="s">
        <v>5272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3092</v>
      </c>
      <c r="C141" t="s">
        <v>4141</v>
      </c>
      <c r="D141" t="s">
        <v>5273</v>
      </c>
      <c r="E141" t="s">
        <v>3199</v>
      </c>
      <c r="F141" t="s">
        <v>3987</v>
      </c>
      <c r="G141" t="s">
        <v>5274</v>
      </c>
      <c r="H141" t="s">
        <v>4380</v>
      </c>
      <c r="I141" t="s">
        <v>3098</v>
      </c>
      <c r="J141" t="s">
        <v>4381</v>
      </c>
      <c r="K141" t="s">
        <v>3100</v>
      </c>
      <c r="L141" t="s">
        <v>3101</v>
      </c>
      <c r="M141" t="s">
        <v>5275</v>
      </c>
      <c r="N141" t="s">
        <v>5276</v>
      </c>
      <c r="O141" t="s">
        <v>5277</v>
      </c>
      <c r="P141" t="s">
        <v>5278</v>
      </c>
      <c r="Q141" t="s">
        <v>4871</v>
      </c>
      <c r="R141">
        <v>34757</v>
      </c>
      <c r="S141" t="s">
        <v>3107</v>
      </c>
      <c r="T141">
        <v>4716658042218260</v>
      </c>
      <c r="U141">
        <v>575</v>
      </c>
      <c r="V141">
        <v>42064</v>
      </c>
      <c r="W141" t="s">
        <v>5279</v>
      </c>
      <c r="X141" t="s">
        <v>5280</v>
      </c>
      <c r="Y141" t="s">
        <v>3110</v>
      </c>
      <c r="Z141" t="s">
        <v>5222</v>
      </c>
      <c r="AA141" t="s">
        <v>5281</v>
      </c>
      <c r="AB141" t="s">
        <v>5282</v>
      </c>
      <c r="AC141" t="s">
        <v>5283</v>
      </c>
      <c r="AD141" t="s">
        <v>3157</v>
      </c>
      <c r="AE141">
        <v>122.3</v>
      </c>
      <c r="AF141">
        <v>55.6</v>
      </c>
      <c r="AG141" t="s">
        <v>3287</v>
      </c>
      <c r="AH141">
        <v>182</v>
      </c>
      <c r="AI141" t="s">
        <v>5284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3118</v>
      </c>
      <c r="C142" t="s">
        <v>3119</v>
      </c>
      <c r="D142" t="s">
        <v>3656</v>
      </c>
      <c r="E142" t="s">
        <v>397</v>
      </c>
      <c r="F142" t="s">
        <v>5285</v>
      </c>
      <c r="G142" t="s">
        <v>5286</v>
      </c>
      <c r="H142" t="s">
        <v>26</v>
      </c>
      <c r="I142" t="s">
        <v>3098</v>
      </c>
      <c r="J142" t="s">
        <v>3481</v>
      </c>
      <c r="K142" t="s">
        <v>3100</v>
      </c>
      <c r="L142" t="s">
        <v>3101</v>
      </c>
      <c r="M142" t="s">
        <v>5287</v>
      </c>
      <c r="N142" t="s">
        <v>5288</v>
      </c>
      <c r="O142" t="s">
        <v>5289</v>
      </c>
      <c r="P142" t="s">
        <v>5290</v>
      </c>
      <c r="Q142" t="s">
        <v>5291</v>
      </c>
      <c r="R142">
        <v>19562</v>
      </c>
      <c r="S142" t="s">
        <v>3130</v>
      </c>
      <c r="T142">
        <v>5249550133578060</v>
      </c>
      <c r="U142">
        <v>905</v>
      </c>
      <c r="V142">
        <v>42370</v>
      </c>
      <c r="W142" t="s">
        <v>5292</v>
      </c>
      <c r="X142" t="s">
        <v>5293</v>
      </c>
      <c r="Y142" t="s">
        <v>3110</v>
      </c>
      <c r="Z142" t="s">
        <v>5294</v>
      </c>
      <c r="AA142" t="s">
        <v>3877</v>
      </c>
      <c r="AB142" t="s">
        <v>5295</v>
      </c>
      <c r="AC142" t="s">
        <v>5296</v>
      </c>
      <c r="AD142" t="s">
        <v>3195</v>
      </c>
      <c r="AE142">
        <v>218.7</v>
      </c>
      <c r="AF142">
        <v>99.4</v>
      </c>
      <c r="AG142" t="s">
        <v>3196</v>
      </c>
      <c r="AH142">
        <v>168</v>
      </c>
      <c r="AI142" t="s">
        <v>5297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3092</v>
      </c>
      <c r="C143" t="s">
        <v>3093</v>
      </c>
      <c r="D143" t="s">
        <v>3986</v>
      </c>
      <c r="E143" t="s">
        <v>3235</v>
      </c>
      <c r="F143" t="s">
        <v>5298</v>
      </c>
      <c r="G143" t="s">
        <v>5299</v>
      </c>
      <c r="H143" t="s">
        <v>3123</v>
      </c>
      <c r="I143" t="s">
        <v>3098</v>
      </c>
      <c r="J143" t="s">
        <v>3124</v>
      </c>
      <c r="K143" t="s">
        <v>3100</v>
      </c>
      <c r="L143" t="s">
        <v>3101</v>
      </c>
      <c r="M143" t="s">
        <v>5300</v>
      </c>
      <c r="N143" t="s">
        <v>5301</v>
      </c>
      <c r="O143" t="s">
        <v>5302</v>
      </c>
      <c r="P143" t="s">
        <v>5303</v>
      </c>
      <c r="Q143" t="s">
        <v>5304</v>
      </c>
      <c r="R143">
        <v>31444</v>
      </c>
      <c r="S143" t="s">
        <v>3130</v>
      </c>
      <c r="T143">
        <v>5365466744458130</v>
      </c>
      <c r="U143">
        <v>270</v>
      </c>
      <c r="V143">
        <v>42948</v>
      </c>
      <c r="W143" t="s">
        <v>5305</v>
      </c>
      <c r="X143" t="s">
        <v>5306</v>
      </c>
      <c r="Y143" t="s">
        <v>3133</v>
      </c>
      <c r="Z143" t="s">
        <v>5307</v>
      </c>
      <c r="AA143" t="s">
        <v>5308</v>
      </c>
      <c r="AB143" t="s">
        <v>5309</v>
      </c>
      <c r="AC143" t="s">
        <v>5310</v>
      </c>
      <c r="AD143" t="s">
        <v>3195</v>
      </c>
      <c r="AE143">
        <v>166.1</v>
      </c>
      <c r="AF143">
        <v>75.5</v>
      </c>
      <c r="AG143" t="s">
        <v>3158</v>
      </c>
      <c r="AH143">
        <v>175</v>
      </c>
      <c r="AI143" t="s">
        <v>5311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3118</v>
      </c>
      <c r="C144" t="s">
        <v>3160</v>
      </c>
      <c r="D144" t="s">
        <v>5312</v>
      </c>
      <c r="E144" t="s">
        <v>403</v>
      </c>
      <c r="F144" t="s">
        <v>5313</v>
      </c>
      <c r="G144" t="s">
        <v>5314</v>
      </c>
      <c r="H144" t="s">
        <v>2</v>
      </c>
      <c r="I144" t="s">
        <v>3098</v>
      </c>
      <c r="J144" t="s">
        <v>4006</v>
      </c>
      <c r="K144" t="s">
        <v>3100</v>
      </c>
      <c r="L144" t="s">
        <v>3101</v>
      </c>
      <c r="M144" t="s">
        <v>5315</v>
      </c>
      <c r="N144" t="s">
        <v>5316</v>
      </c>
      <c r="O144" t="s">
        <v>5317</v>
      </c>
      <c r="P144" t="s">
        <v>5318</v>
      </c>
      <c r="Q144" t="s">
        <v>5319</v>
      </c>
      <c r="R144">
        <v>26208</v>
      </c>
      <c r="S144" t="s">
        <v>3107</v>
      </c>
      <c r="T144">
        <v>4556631467912120</v>
      </c>
      <c r="U144">
        <v>744</v>
      </c>
      <c r="V144">
        <v>42005</v>
      </c>
      <c r="W144" t="s">
        <v>5320</v>
      </c>
      <c r="X144" t="s">
        <v>5321</v>
      </c>
      <c r="Y144" t="s">
        <v>3110</v>
      </c>
      <c r="Z144" t="s">
        <v>5322</v>
      </c>
      <c r="AA144" t="s">
        <v>5323</v>
      </c>
      <c r="AB144" t="s">
        <v>5324</v>
      </c>
      <c r="AC144" t="s">
        <v>5325</v>
      </c>
      <c r="AD144" t="s">
        <v>3195</v>
      </c>
      <c r="AE144">
        <v>119</v>
      </c>
      <c r="AF144">
        <v>54.1</v>
      </c>
      <c r="AG144" t="s">
        <v>3177</v>
      </c>
      <c r="AH144">
        <v>158</v>
      </c>
      <c r="AI144" t="s">
        <v>5326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3118</v>
      </c>
      <c r="C145" t="s">
        <v>3119</v>
      </c>
      <c r="D145" t="s">
        <v>4743</v>
      </c>
      <c r="E145" t="s">
        <v>3095</v>
      </c>
      <c r="F145" t="s">
        <v>5327</v>
      </c>
      <c r="G145" t="s">
        <v>5328</v>
      </c>
      <c r="H145" t="s">
        <v>5329</v>
      </c>
      <c r="I145" t="s">
        <v>3098</v>
      </c>
      <c r="J145" t="s">
        <v>5330</v>
      </c>
      <c r="K145" t="s">
        <v>3100</v>
      </c>
      <c r="L145" t="s">
        <v>3101</v>
      </c>
      <c r="M145" t="s">
        <v>5331</v>
      </c>
      <c r="N145" t="s">
        <v>5332</v>
      </c>
      <c r="O145" t="s">
        <v>5333</v>
      </c>
      <c r="P145" t="s">
        <v>5334</v>
      </c>
      <c r="Q145" t="s">
        <v>5335</v>
      </c>
      <c r="R145">
        <v>28390</v>
      </c>
      <c r="S145" t="s">
        <v>3107</v>
      </c>
      <c r="T145">
        <v>4485868173088770</v>
      </c>
      <c r="U145">
        <v>601</v>
      </c>
      <c r="V145">
        <v>43647</v>
      </c>
      <c r="W145" t="s">
        <v>5336</v>
      </c>
      <c r="X145" t="s">
        <v>5337</v>
      </c>
      <c r="Y145" t="s">
        <v>3172</v>
      </c>
      <c r="Z145" t="s">
        <v>5338</v>
      </c>
      <c r="AA145" t="s">
        <v>5339</v>
      </c>
      <c r="AB145" t="s">
        <v>5340</v>
      </c>
      <c r="AC145" t="s">
        <v>5341</v>
      </c>
      <c r="AD145" t="s">
        <v>3138</v>
      </c>
      <c r="AE145">
        <v>225.9</v>
      </c>
      <c r="AF145">
        <v>102.7</v>
      </c>
      <c r="AG145" t="s">
        <v>3305</v>
      </c>
      <c r="AH145">
        <v>170</v>
      </c>
      <c r="AI145" t="s">
        <v>5342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3092</v>
      </c>
      <c r="C146" t="s">
        <v>3093</v>
      </c>
      <c r="D146" t="s">
        <v>5343</v>
      </c>
      <c r="E146" t="s">
        <v>400</v>
      </c>
      <c r="F146" t="s">
        <v>5344</v>
      </c>
      <c r="G146" t="s">
        <v>5345</v>
      </c>
      <c r="H146" t="s">
        <v>27</v>
      </c>
      <c r="I146" t="s">
        <v>3098</v>
      </c>
      <c r="J146" t="s">
        <v>3943</v>
      </c>
      <c r="K146" t="s">
        <v>3100</v>
      </c>
      <c r="L146" t="s">
        <v>3101</v>
      </c>
      <c r="M146" t="s">
        <v>5346</v>
      </c>
      <c r="N146" t="s">
        <v>5347</v>
      </c>
      <c r="O146" t="s">
        <v>5348</v>
      </c>
      <c r="P146" t="s">
        <v>5349</v>
      </c>
      <c r="Q146" t="s">
        <v>5350</v>
      </c>
      <c r="R146">
        <v>33859</v>
      </c>
      <c r="S146" t="s">
        <v>3130</v>
      </c>
      <c r="T146">
        <v>5424272977425470</v>
      </c>
      <c r="U146">
        <v>10</v>
      </c>
      <c r="V146">
        <v>42064</v>
      </c>
      <c r="W146" t="s">
        <v>5351</v>
      </c>
      <c r="X146" t="s">
        <v>5352</v>
      </c>
      <c r="Y146" t="s">
        <v>3110</v>
      </c>
      <c r="Z146" t="s">
        <v>5353</v>
      </c>
      <c r="AA146" t="s">
        <v>5354</v>
      </c>
      <c r="AB146" t="s">
        <v>5355</v>
      </c>
      <c r="AC146" t="s">
        <v>5356</v>
      </c>
      <c r="AD146" t="s">
        <v>3157</v>
      </c>
      <c r="AE146">
        <v>126.1</v>
      </c>
      <c r="AF146">
        <v>57.3</v>
      </c>
      <c r="AG146" t="s">
        <v>3116</v>
      </c>
      <c r="AH146">
        <v>185</v>
      </c>
      <c r="AI146" t="s">
        <v>5357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3118</v>
      </c>
      <c r="C147" t="s">
        <v>3160</v>
      </c>
      <c r="D147" t="s">
        <v>5358</v>
      </c>
      <c r="E147" t="s">
        <v>400</v>
      </c>
      <c r="F147" t="s">
        <v>5359</v>
      </c>
      <c r="G147" t="s">
        <v>5360</v>
      </c>
      <c r="H147" t="s">
        <v>5361</v>
      </c>
      <c r="I147" t="s">
        <v>3098</v>
      </c>
      <c r="J147" t="s">
        <v>5362</v>
      </c>
      <c r="K147" t="s">
        <v>3100</v>
      </c>
      <c r="L147" t="s">
        <v>3101</v>
      </c>
      <c r="M147" t="s">
        <v>5363</v>
      </c>
      <c r="N147" t="s">
        <v>5364</v>
      </c>
      <c r="O147" t="s">
        <v>5365</v>
      </c>
      <c r="P147" t="s">
        <v>5366</v>
      </c>
      <c r="Q147" t="s">
        <v>3616</v>
      </c>
      <c r="R147">
        <v>22061</v>
      </c>
      <c r="S147" t="s">
        <v>3130</v>
      </c>
      <c r="T147">
        <v>5557162397151160</v>
      </c>
      <c r="U147">
        <v>584</v>
      </c>
      <c r="V147">
        <v>43525</v>
      </c>
      <c r="W147" t="s">
        <v>5367</v>
      </c>
      <c r="X147" t="s">
        <v>5368</v>
      </c>
      <c r="Y147" t="s">
        <v>3172</v>
      </c>
      <c r="Z147" t="s">
        <v>5369</v>
      </c>
      <c r="AA147" t="s">
        <v>5370</v>
      </c>
      <c r="AB147" t="s">
        <v>5371</v>
      </c>
      <c r="AC147" t="s">
        <v>5372</v>
      </c>
      <c r="AD147" t="s">
        <v>3195</v>
      </c>
      <c r="AE147">
        <v>138.4</v>
      </c>
      <c r="AF147">
        <v>62.9</v>
      </c>
      <c r="AG147" t="s">
        <v>3139</v>
      </c>
      <c r="AH147">
        <v>155</v>
      </c>
      <c r="AI147" t="s">
        <v>5373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3118</v>
      </c>
      <c r="C148" t="s">
        <v>3160</v>
      </c>
      <c r="D148" t="s">
        <v>5374</v>
      </c>
      <c r="E148" t="s">
        <v>3753</v>
      </c>
      <c r="F148" t="s">
        <v>5375</v>
      </c>
      <c r="G148" t="s">
        <v>5376</v>
      </c>
      <c r="H148" t="s">
        <v>3497</v>
      </c>
      <c r="I148" t="s">
        <v>3098</v>
      </c>
      <c r="J148" t="s">
        <v>3498</v>
      </c>
      <c r="K148" t="s">
        <v>3100</v>
      </c>
      <c r="L148" t="s">
        <v>3101</v>
      </c>
      <c r="M148" t="s">
        <v>5377</v>
      </c>
      <c r="N148" t="s">
        <v>5378</v>
      </c>
      <c r="O148" t="s">
        <v>5379</v>
      </c>
      <c r="P148" t="s">
        <v>5380</v>
      </c>
      <c r="Q148" t="s">
        <v>5381</v>
      </c>
      <c r="R148">
        <v>19388</v>
      </c>
      <c r="S148" t="s">
        <v>3107</v>
      </c>
      <c r="T148">
        <v>4716309878378280</v>
      </c>
      <c r="U148">
        <v>357</v>
      </c>
      <c r="V148">
        <v>43617</v>
      </c>
      <c r="W148" t="s">
        <v>5382</v>
      </c>
      <c r="X148" t="s">
        <v>5383</v>
      </c>
      <c r="Y148" t="s">
        <v>3264</v>
      </c>
      <c r="Z148" t="s">
        <v>5384</v>
      </c>
      <c r="AA148" t="s">
        <v>5385</v>
      </c>
      <c r="AB148" t="s">
        <v>5386</v>
      </c>
      <c r="AC148" t="s">
        <v>5387</v>
      </c>
      <c r="AD148" t="s">
        <v>3251</v>
      </c>
      <c r="AE148">
        <v>189.6</v>
      </c>
      <c r="AF148">
        <v>86.2</v>
      </c>
      <c r="AG148" t="s">
        <v>3139</v>
      </c>
      <c r="AH148">
        <v>155</v>
      </c>
      <c r="AI148" t="s">
        <v>5388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3092</v>
      </c>
      <c r="C149" t="s">
        <v>3093</v>
      </c>
      <c r="D149" t="s">
        <v>5389</v>
      </c>
      <c r="E149" t="s">
        <v>3095</v>
      </c>
      <c r="F149" t="s">
        <v>5390</v>
      </c>
      <c r="G149" t="s">
        <v>5391</v>
      </c>
      <c r="H149" t="s">
        <v>56</v>
      </c>
      <c r="I149" t="s">
        <v>3098</v>
      </c>
      <c r="J149" t="s">
        <v>3884</v>
      </c>
      <c r="K149" t="s">
        <v>3100</v>
      </c>
      <c r="L149" t="s">
        <v>3101</v>
      </c>
      <c r="M149" t="s">
        <v>5392</v>
      </c>
      <c r="N149" t="s">
        <v>5393</v>
      </c>
      <c r="O149" t="s">
        <v>5394</v>
      </c>
      <c r="P149" t="s">
        <v>5395</v>
      </c>
      <c r="Q149" t="s">
        <v>5396</v>
      </c>
      <c r="R149">
        <v>13786</v>
      </c>
      <c r="S149" t="s">
        <v>3130</v>
      </c>
      <c r="T149">
        <v>5376053846537080</v>
      </c>
      <c r="U149">
        <v>604</v>
      </c>
      <c r="V149">
        <v>42064</v>
      </c>
      <c r="W149" t="s">
        <v>5397</v>
      </c>
      <c r="X149" t="s">
        <v>5398</v>
      </c>
      <c r="Y149" t="s">
        <v>3110</v>
      </c>
      <c r="Z149" t="s">
        <v>5399</v>
      </c>
      <c r="AA149" t="s">
        <v>5400</v>
      </c>
      <c r="AB149" t="s">
        <v>5401</v>
      </c>
      <c r="AC149" t="s">
        <v>5402</v>
      </c>
      <c r="AD149" t="s">
        <v>3195</v>
      </c>
      <c r="AE149">
        <v>131.1</v>
      </c>
      <c r="AF149">
        <v>59.6</v>
      </c>
      <c r="AG149" t="s">
        <v>3287</v>
      </c>
      <c r="AH149">
        <v>183</v>
      </c>
      <c r="AI149" t="s">
        <v>5403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3092</v>
      </c>
      <c r="C150" t="s">
        <v>3093</v>
      </c>
      <c r="D150" t="s">
        <v>5404</v>
      </c>
      <c r="E150" t="s">
        <v>405</v>
      </c>
      <c r="F150" t="s">
        <v>5405</v>
      </c>
      <c r="G150" t="s">
        <v>5406</v>
      </c>
      <c r="H150" t="s">
        <v>22</v>
      </c>
      <c r="I150" t="s">
        <v>3098</v>
      </c>
      <c r="J150" t="s">
        <v>5407</v>
      </c>
      <c r="K150" t="s">
        <v>3100</v>
      </c>
      <c r="L150" t="s">
        <v>3101</v>
      </c>
      <c r="M150" t="s">
        <v>5408</v>
      </c>
      <c r="N150" t="s">
        <v>5409</v>
      </c>
      <c r="O150" t="s">
        <v>5410</v>
      </c>
      <c r="P150" t="s">
        <v>5411</v>
      </c>
      <c r="Q150" t="s">
        <v>5412</v>
      </c>
      <c r="R150">
        <v>14546</v>
      </c>
      <c r="S150" t="s">
        <v>3107</v>
      </c>
      <c r="T150">
        <v>4539450755008020</v>
      </c>
      <c r="U150">
        <v>521</v>
      </c>
      <c r="V150">
        <v>43497</v>
      </c>
      <c r="W150" t="s">
        <v>5413</v>
      </c>
      <c r="X150" t="s">
        <v>5414</v>
      </c>
      <c r="Y150" t="s">
        <v>3110</v>
      </c>
      <c r="Z150" t="s">
        <v>5415</v>
      </c>
      <c r="AA150" t="s">
        <v>5416</v>
      </c>
      <c r="AB150" t="s">
        <v>5417</v>
      </c>
      <c r="AC150" t="s">
        <v>5418</v>
      </c>
      <c r="AD150" t="s">
        <v>3195</v>
      </c>
      <c r="AE150">
        <v>180</v>
      </c>
      <c r="AF150">
        <v>81.8</v>
      </c>
      <c r="AG150" t="s">
        <v>3269</v>
      </c>
      <c r="AH150">
        <v>173</v>
      </c>
      <c r="AI150" t="s">
        <v>5419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2017-Jan-09</v>
      </c>
      <c r="G5" s="1"/>
      <c r="H5" t="str">
        <f t="shared" ca="1" si="0"/>
        <v>[*],New Owner for Bus,The owner of a [School Bus](School Bus School Bus View) was changed to [Wilson's School Buses](School Bus Owner Edit) by Greg Neal.,2017-Jan-09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2017-Jan-07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,2017-Jan-07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2017-Jan-06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Neal.,2017-Jan-06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V2" sqref="V2:V7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5520</v>
      </c>
      <c r="E1" t="s">
        <v>5527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3014</v>
      </c>
      <c r="V1" t="s">
        <v>6120</v>
      </c>
    </row>
    <row r="2" spans="1:22" x14ac:dyDescent="0.3">
      <c r="A2">
        <v>1</v>
      </c>
      <c r="B2" t="s">
        <v>17</v>
      </c>
      <c r="C2" t="s">
        <v>15</v>
      </c>
      <c r="D2" t="s">
        <v>5513</v>
      </c>
      <c r="E2" t="s">
        <v>5524</v>
      </c>
      <c r="F2" t="s">
        <v>35</v>
      </c>
      <c r="G2">
        <f ca="1">RANDBETWEEN(10000000,50000000)</f>
        <v>46189650</v>
      </c>
      <c r="H2">
        <f ca="1">RANDBETWEEN(100,1000)</f>
        <v>245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6118</v>
      </c>
      <c r="U2" t="s">
        <v>113</v>
      </c>
      <c r="V2" t="s">
        <v>6121</v>
      </c>
    </row>
    <row r="3" spans="1:22" x14ac:dyDescent="0.3">
      <c r="A3">
        <f>A2+1</f>
        <v>2</v>
      </c>
      <c r="B3" t="s">
        <v>18</v>
      </c>
      <c r="C3" t="s">
        <v>5528</v>
      </c>
      <c r="D3" t="s">
        <v>5521</v>
      </c>
      <c r="E3" t="s">
        <v>5525</v>
      </c>
      <c r="F3" t="s">
        <v>36</v>
      </c>
      <c r="G3">
        <f t="shared" ref="G3:G11" ca="1" si="0">RANDBETWEEN(10000000,50000000)</f>
        <v>24388427</v>
      </c>
      <c r="H3">
        <f t="shared" ref="H3:H11" ca="1" si="1">RANDBETWEEN(100,1000)</f>
        <v>746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6117</v>
      </c>
      <c r="U3" t="s">
        <v>6119</v>
      </c>
      <c r="V3" t="s">
        <v>6122</v>
      </c>
    </row>
    <row r="4" spans="1:22" x14ac:dyDescent="0.3">
      <c r="A4">
        <f t="shared" ref="A4:A67" si="2">A3+1</f>
        <v>3</v>
      </c>
      <c r="B4" t="s">
        <v>19</v>
      </c>
      <c r="C4" t="s">
        <v>5529</v>
      </c>
      <c r="D4" t="s">
        <v>5523</v>
      </c>
      <c r="E4" t="s">
        <v>5526</v>
      </c>
      <c r="F4" t="s">
        <v>37</v>
      </c>
      <c r="G4">
        <f t="shared" ca="1" si="0"/>
        <v>12427599</v>
      </c>
      <c r="H4">
        <f t="shared" ca="1" si="1"/>
        <v>543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6116</v>
      </c>
      <c r="U4" t="s">
        <v>113</v>
      </c>
      <c r="V4" t="s">
        <v>6123</v>
      </c>
    </row>
    <row r="5" spans="1:22" x14ac:dyDescent="0.3">
      <c r="A5">
        <f t="shared" si="2"/>
        <v>4</v>
      </c>
      <c r="B5" t="s">
        <v>20</v>
      </c>
      <c r="C5" t="s">
        <v>5522</v>
      </c>
      <c r="F5" t="s">
        <v>38</v>
      </c>
      <c r="G5">
        <f t="shared" ca="1" si="0"/>
        <v>29208933</v>
      </c>
      <c r="H5">
        <f t="shared" ca="1" si="1"/>
        <v>195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V5" t="s">
        <v>6124</v>
      </c>
    </row>
    <row r="6" spans="1:22" x14ac:dyDescent="0.3">
      <c r="A6">
        <f t="shared" si="2"/>
        <v>5</v>
      </c>
      <c r="B6" t="s">
        <v>21</v>
      </c>
      <c r="C6" t="s">
        <v>5530</v>
      </c>
      <c r="F6" t="s">
        <v>39</v>
      </c>
      <c r="G6">
        <f t="shared" ca="1" si="0"/>
        <v>14197833</v>
      </c>
      <c r="H6">
        <f t="shared" ca="1" si="1"/>
        <v>945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  <c r="V6" t="s">
        <v>6125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28312412</v>
      </c>
      <c r="H7">
        <f t="shared" ca="1" si="1"/>
        <v>112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  <c r="V7" t="s">
        <v>5478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43364192</v>
      </c>
      <c r="H8">
        <f t="shared" ca="1" si="1"/>
        <v>318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47556871</v>
      </c>
      <c r="H9">
        <f t="shared" ca="1" si="1"/>
        <v>791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41981933</v>
      </c>
      <c r="H10">
        <f t="shared" ca="1" si="1"/>
        <v>935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32558287</v>
      </c>
      <c r="H11">
        <f t="shared" ca="1" si="1"/>
        <v>189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2017-01-13T01:03:37Z</dcterms:modified>
</cp:coreProperties>
</file>